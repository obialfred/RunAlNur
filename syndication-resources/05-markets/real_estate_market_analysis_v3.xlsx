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rl\Dropbox\Documents\Syndication Superstars LLC\Mentoring - Courses - Products\Mentoring\Mentoring Documents\Mentoring Documents - Client Ready\Full Document Library - CLIENT VIEWING LINK\Markets\"/>
    </mc:Choice>
  </mc:AlternateContent>
  <xr:revisionPtr revIDLastSave="0" documentId="13_ncr:1_{54DAE18B-2094-4E6A-878D-B5A429823987}" xr6:coauthVersionLast="47" xr6:coauthVersionMax="47" xr10:uidLastSave="{00000000-0000-0000-0000-000000000000}"/>
  <bookViews>
    <workbookView xWindow="-108" yWindow="-108" windowWidth="23256" windowHeight="12576" tabRatio="741" xr2:uid="{DAB3F948-2E1F-4955-852C-857511628565}"/>
  </bookViews>
  <sheets>
    <sheet name="Author" sheetId="12" r:id="rId1"/>
    <sheet name="Comparison" sheetId="6" r:id="rId2"/>
  </sheets>
  <definedNames>
    <definedName name="co_anngrhu">#REF!</definedName>
    <definedName name="nst_annhu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6" l="1"/>
  <c r="Q5" i="6"/>
  <c r="R5" i="6"/>
  <c r="S5" i="6"/>
  <c r="T5" i="6"/>
  <c r="U5" i="6"/>
  <c r="P9" i="6"/>
  <c r="Q9" i="6"/>
  <c r="R9" i="6"/>
  <c r="S9" i="6"/>
  <c r="T9" i="6"/>
  <c r="U9" i="6"/>
  <c r="P10" i="6"/>
  <c r="Q10" i="6"/>
  <c r="R10" i="6"/>
  <c r="S10" i="6"/>
  <c r="T10" i="6"/>
  <c r="U10" i="6"/>
  <c r="P11" i="6"/>
  <c r="Q11" i="6"/>
  <c r="R11" i="6"/>
  <c r="S11" i="6"/>
  <c r="T11" i="6"/>
  <c r="U11" i="6"/>
  <c r="P12" i="6"/>
  <c r="Q12" i="6"/>
  <c r="R12" i="6"/>
  <c r="S12" i="6"/>
  <c r="T12" i="6"/>
  <c r="U12" i="6"/>
  <c r="P13" i="6"/>
  <c r="Q13" i="6"/>
  <c r="R13" i="6"/>
  <c r="S13" i="6"/>
  <c r="T13" i="6"/>
  <c r="U13" i="6"/>
  <c r="P14" i="6"/>
  <c r="Q14" i="6"/>
  <c r="R14" i="6"/>
  <c r="S14" i="6"/>
  <c r="T14" i="6"/>
  <c r="U14" i="6"/>
  <c r="P15" i="6"/>
  <c r="Q15" i="6"/>
  <c r="R15" i="6"/>
  <c r="S15" i="6"/>
  <c r="T15" i="6"/>
  <c r="U15" i="6"/>
  <c r="P16" i="6"/>
  <c r="Q16" i="6"/>
  <c r="R16" i="6"/>
  <c r="S16" i="6"/>
  <c r="T16" i="6"/>
  <c r="U16" i="6"/>
  <c r="P17" i="6"/>
  <c r="Q17" i="6"/>
  <c r="R17" i="6"/>
  <c r="S17" i="6"/>
  <c r="T17" i="6"/>
  <c r="U17" i="6"/>
  <c r="P18" i="6"/>
  <c r="Q18" i="6"/>
  <c r="R18" i="6"/>
  <c r="S18" i="6"/>
  <c r="T18" i="6"/>
  <c r="U18" i="6"/>
  <c r="P19" i="6"/>
  <c r="Q19" i="6"/>
  <c r="R19" i="6"/>
  <c r="S19" i="6"/>
  <c r="T19" i="6"/>
  <c r="U19" i="6"/>
  <c r="P20" i="6"/>
  <c r="Q20" i="6"/>
  <c r="R20" i="6"/>
  <c r="S20" i="6"/>
  <c r="T20" i="6"/>
  <c r="U20" i="6"/>
  <c r="P21" i="6"/>
  <c r="Q21" i="6"/>
  <c r="R21" i="6"/>
  <c r="S21" i="6"/>
  <c r="T21" i="6"/>
  <c r="U21" i="6"/>
  <c r="P22" i="6"/>
  <c r="Q22" i="6"/>
  <c r="R22" i="6"/>
  <c r="S22" i="6"/>
  <c r="T22" i="6"/>
  <c r="U22" i="6"/>
  <c r="P23" i="6"/>
  <c r="Q23" i="6"/>
  <c r="R23" i="6"/>
  <c r="S23" i="6"/>
  <c r="T23" i="6"/>
  <c r="U23" i="6"/>
  <c r="P24" i="6"/>
  <c r="Q24" i="6"/>
  <c r="R24" i="6"/>
  <c r="S24" i="6"/>
  <c r="T24" i="6"/>
  <c r="U24" i="6"/>
  <c r="P25" i="6"/>
  <c r="Q25" i="6"/>
  <c r="R25" i="6"/>
  <c r="S25" i="6"/>
  <c r="T25" i="6"/>
  <c r="U25" i="6"/>
  <c r="P26" i="6"/>
  <c r="Q26" i="6"/>
  <c r="R26" i="6"/>
  <c r="S26" i="6"/>
  <c r="T26" i="6"/>
  <c r="U26" i="6"/>
  <c r="P27" i="6"/>
  <c r="Q27" i="6"/>
  <c r="R27" i="6"/>
  <c r="S27" i="6"/>
  <c r="T27" i="6"/>
  <c r="U27" i="6"/>
  <c r="P30" i="6"/>
  <c r="Q30" i="6"/>
  <c r="R30" i="6"/>
  <c r="S30" i="6"/>
  <c r="T30" i="6"/>
  <c r="U30" i="6"/>
  <c r="P31" i="6"/>
  <c r="Q31" i="6"/>
  <c r="R31" i="6"/>
  <c r="S31" i="6"/>
  <c r="T31" i="6"/>
  <c r="U31" i="6"/>
  <c r="P32" i="6"/>
  <c r="Q32" i="6"/>
  <c r="R32" i="6"/>
  <c r="S32" i="6"/>
  <c r="T32" i="6"/>
  <c r="U32" i="6"/>
  <c r="P33" i="6"/>
  <c r="Q33" i="6"/>
  <c r="R33" i="6"/>
  <c r="S33" i="6"/>
  <c r="T33" i="6"/>
  <c r="U33" i="6"/>
  <c r="P34" i="6"/>
  <c r="Q34" i="6"/>
  <c r="R34" i="6"/>
  <c r="S34" i="6"/>
  <c r="T34" i="6"/>
  <c r="U34" i="6"/>
  <c r="P36" i="6"/>
  <c r="Q36" i="6"/>
  <c r="R36" i="6"/>
  <c r="S36" i="6"/>
  <c r="T36" i="6"/>
  <c r="U36" i="6"/>
  <c r="P38" i="6"/>
  <c r="Q38" i="6"/>
  <c r="R38" i="6"/>
  <c r="S38" i="6"/>
  <c r="T38" i="6"/>
  <c r="U38" i="6"/>
  <c r="P41" i="6"/>
  <c r="Q41" i="6"/>
  <c r="R41" i="6"/>
  <c r="S41" i="6"/>
  <c r="T41" i="6"/>
  <c r="U41" i="6"/>
  <c r="P42" i="6"/>
  <c r="Q42" i="6"/>
  <c r="R42" i="6"/>
  <c r="S42" i="6"/>
  <c r="T42" i="6"/>
  <c r="U42" i="6"/>
  <c r="P43" i="6"/>
  <c r="Q43" i="6"/>
  <c r="R43" i="6"/>
  <c r="S43" i="6"/>
  <c r="T43" i="6"/>
  <c r="U43" i="6"/>
  <c r="P45" i="6"/>
  <c r="Q45" i="6"/>
  <c r="R45" i="6"/>
  <c r="S45" i="6"/>
  <c r="T45" i="6"/>
  <c r="U45" i="6"/>
  <c r="P47" i="6"/>
  <c r="Q47" i="6"/>
  <c r="R47" i="6"/>
  <c r="S47" i="6"/>
  <c r="T47" i="6"/>
  <c r="U47" i="6"/>
  <c r="Q4" i="6"/>
  <c r="R4" i="6"/>
  <c r="S4" i="6"/>
  <c r="T4" i="6"/>
  <c r="I51" i="6" s="1"/>
  <c r="U4" i="6"/>
  <c r="J51" i="6" s="1"/>
  <c r="P4" i="6"/>
  <c r="H51" i="6"/>
  <c r="Q3" i="6"/>
  <c r="R3" i="6"/>
  <c r="S3" i="6"/>
  <c r="T3" i="6"/>
  <c r="U3" i="6"/>
  <c r="P3" i="6"/>
  <c r="I29" i="6"/>
  <c r="F49" i="6" l="1"/>
  <c r="E39" i="6"/>
  <c r="E37" i="6"/>
  <c r="E49" i="6"/>
  <c r="E46" i="6"/>
  <c r="E44" i="6"/>
  <c r="F44" i="6"/>
  <c r="F46" i="6"/>
  <c r="F39" i="6"/>
  <c r="F37" i="6"/>
  <c r="E40" i="6" l="1"/>
  <c r="F40" i="6"/>
  <c r="G49" i="6"/>
  <c r="R49" i="6" s="1"/>
  <c r="G39" i="6"/>
  <c r="R39" i="6" s="1"/>
  <c r="R8" i="6"/>
  <c r="R7" i="6"/>
  <c r="R6" i="6"/>
  <c r="U7" i="6" l="1"/>
  <c r="P49" i="6"/>
  <c r="S49" i="6"/>
  <c r="P39" i="6"/>
  <c r="Q39" i="6"/>
  <c r="T39" i="6"/>
  <c r="Q49" i="6"/>
  <c r="U49" i="6"/>
  <c r="S39" i="6"/>
  <c r="T49" i="6"/>
  <c r="U39" i="6"/>
  <c r="T7" i="6"/>
  <c r="P7" i="6"/>
  <c r="S7" i="6"/>
  <c r="P6" i="6"/>
  <c r="P8" i="6"/>
  <c r="U6" i="6"/>
  <c r="U8" i="6"/>
  <c r="Q6" i="6"/>
  <c r="S6" i="6"/>
  <c r="Q8" i="6"/>
  <c r="Q7" i="6"/>
  <c r="T6" i="6"/>
  <c r="T8" i="6"/>
  <c r="S8" i="6"/>
  <c r="F29" i="6"/>
  <c r="E29" i="6"/>
  <c r="H29" i="6"/>
  <c r="J29" i="6"/>
  <c r="G29" i="6"/>
  <c r="G37" i="6" l="1"/>
  <c r="R37" i="6" l="1"/>
  <c r="Q37" i="6"/>
  <c r="S37" i="6"/>
  <c r="P37" i="6"/>
  <c r="U37" i="6"/>
  <c r="T37" i="6"/>
  <c r="R48" i="6"/>
  <c r="T48" i="6"/>
  <c r="Q48" i="6"/>
  <c r="P48" i="6"/>
  <c r="U48" i="6"/>
  <c r="S48" i="6"/>
  <c r="G46" i="6"/>
  <c r="G40" i="6"/>
  <c r="G44" i="6"/>
  <c r="R44" i="6" l="1"/>
  <c r="P44" i="6"/>
  <c r="S44" i="6"/>
  <c r="Q44" i="6"/>
  <c r="T44" i="6"/>
  <c r="U44" i="6"/>
  <c r="R40" i="6"/>
  <c r="G51" i="6" s="1"/>
  <c r="T40" i="6"/>
  <c r="U40" i="6"/>
  <c r="P40" i="6"/>
  <c r="S40" i="6"/>
  <c r="Q40" i="6"/>
  <c r="R46" i="6"/>
  <c r="S46" i="6"/>
  <c r="Q46" i="6"/>
  <c r="U46" i="6"/>
  <c r="P46" i="6"/>
  <c r="T46" i="6"/>
  <c r="E51" i="6" l="1"/>
  <c r="F51" i="6"/>
</calcChain>
</file>

<file path=xl/sharedStrings.xml><?xml version="1.0" encoding="utf-8"?>
<sst xmlns="http://schemas.openxmlformats.org/spreadsheetml/2006/main" count="203" uniqueCount="90">
  <si>
    <t>Population</t>
  </si>
  <si>
    <t>Labor Force</t>
  </si>
  <si>
    <t>https://www.census.gov/data/datasets/time-series/demo/popest/2010s-total-cities-and-towns.html</t>
  </si>
  <si>
    <t>3-year growth ages 25-34 (county)</t>
  </si>
  <si>
    <t xml:space="preserve"> % of total population ages 25-34 (county)</t>
  </si>
  <si>
    <t>3-year labor force growth</t>
  </si>
  <si>
    <t>General</t>
  </si>
  <si>
    <t>5-year rent growth</t>
  </si>
  <si>
    <t>Calculated</t>
  </si>
  <si>
    <t>% of pop. Ages 25+ with bachelor degree or higher</t>
  </si>
  <si>
    <t>Total population</t>
  </si>
  <si>
    <t>https://www.census.gov/construction/bps/msaannual.html</t>
  </si>
  <si>
    <t>Affordability</t>
  </si>
  <si>
    <t>https://www.tacticares.com/blog-feed/real-estate-investment-state-net-migration</t>
  </si>
  <si>
    <t>Unemployment</t>
  </si>
  <si>
    <t>1-Year avg. monthly unemployment</t>
  </si>
  <si>
    <t>5-year avg. monthly unemployment</t>
  </si>
  <si>
    <t>1-year labor force growth</t>
  </si>
  <si>
    <t>Jobs</t>
  </si>
  <si>
    <t>1-year employment growth</t>
  </si>
  <si>
    <t>3-year employment growth</t>
  </si>
  <si>
    <t>5-year growth ages 25-34 (county)</t>
  </si>
  <si>
    <t>3-year avg. monthly unemployment</t>
  </si>
  <si>
    <t>5-year labor force growth</t>
  </si>
  <si>
    <t>5-year employment growth</t>
  </si>
  <si>
    <t>1-year rent growth</t>
  </si>
  <si>
    <t>3-year rent growth</t>
  </si>
  <si>
    <t>Free Resources</t>
  </si>
  <si>
    <t>https://www.nmhc.org/research-insight/quick-facts-figures/quick-facts-apartment-stock/geography-of-apartment-stock/</t>
  </si>
  <si>
    <t>Rental</t>
  </si>
  <si>
    <t>Rental Fundamentals</t>
  </si>
  <si>
    <t>Multi Development</t>
  </si>
  <si>
    <t>Homeownership</t>
  </si>
  <si>
    <t>Multi Supply</t>
  </si>
  <si>
    <t>Labor Statistics</t>
  </si>
  <si>
    <t>https://www.census.gov/quickfacts/fact/table/US/PST045219</t>
  </si>
  <si>
    <t>Please pay attention to your emails from Tactica RES as there will be updates on bug fixes, improved functionality  and new proforma models.</t>
  </si>
  <si>
    <r>
      <rPr>
        <b/>
        <sz val="14"/>
        <color rgb="FFFF0000"/>
        <rFont val="Segoe UI Black"/>
        <family val="2"/>
      </rPr>
      <t>Disclaimer:</t>
    </r>
    <r>
      <rPr>
        <sz val="14"/>
        <color rgb="FF404040"/>
        <rFont val="Segoe UI Black"/>
        <family val="2"/>
      </rPr>
      <t xml:space="preserve"> Workbook may contain errors and inaccuracies. Please verify formulas, calculations and logic for yourself. The workbook is meant to be utilized as a learning tool and should not be depended on when making financial decisions and assessing the feasibility of an investment.</t>
    </r>
  </si>
  <si>
    <t>&lt;&lt;&lt; Click Logo to visit the Tactica website</t>
  </si>
  <si>
    <t>https://www.tacticares.com/labor-statistics-dashboard</t>
  </si>
  <si>
    <t>https://www.census.gov/data/datasets/time-series/demo/popest/2020s-total-cities-and-towns.html</t>
  </si>
  <si>
    <t>1-year growth ages 25-34 (county)</t>
  </si>
  <si>
    <t>7-year growth ages 25-34 (county)</t>
  </si>
  <si>
    <t>https://www.census.gov/programs-surveys/popest/technical-documentation/research/evaluation-estimates/2020-evaluation-estimates/2010s-county-detail.html</t>
  </si>
  <si>
    <t>Household</t>
  </si>
  <si>
    <t>https://www.apartmentlist.com/research/category/data-rent-estimates</t>
  </si>
  <si>
    <t>SFH permits (MSA)</t>
  </si>
  <si>
    <t>https://www.zillow.com/research/data/</t>
  </si>
  <si>
    <t>5-unit+ % of Total Housing Stock (MSA)</t>
  </si>
  <si>
    <t>3-Year growth</t>
  </si>
  <si>
    <t>5-Year growth</t>
  </si>
  <si>
    <t>7-year growth</t>
  </si>
  <si>
    <t>Estimated Mortgage + other costs</t>
  </si>
  <si>
    <t>SFH permits as % of total county housing stock (MSA)</t>
  </si>
  <si>
    <t>https://www.census.gov/data/tables/time-series/demo/popest/2020s-total-housing-units.html</t>
  </si>
  <si>
    <t>Specific (city unless specified)</t>
  </si>
  <si>
    <t>PMT Formula (assume 5% down with current int. rate) + "other homeownership costs" on census quick facts page</t>
  </si>
  <si>
    <t>Copyright © 2022 Tactica RES LLC. All Rights Reserved.</t>
  </si>
  <si>
    <t xml:space="preserve">Free Resource </t>
  </si>
  <si>
    <t>Houston</t>
  </si>
  <si>
    <t>Dallas</t>
  </si>
  <si>
    <t>Austin</t>
  </si>
  <si>
    <t>5-unit+ permits (total units in (MSA)</t>
  </si>
  <si>
    <t>Ranking</t>
  </si>
  <si>
    <t>Max</t>
  </si>
  <si>
    <t>Min</t>
  </si>
  <si>
    <t>Score (lower = better)</t>
  </si>
  <si>
    <t>Other</t>
  </si>
  <si>
    <t>Ranking (+)</t>
  </si>
  <si>
    <t>3-year vacancy</t>
  </si>
  <si>
    <t>Current vacancy</t>
  </si>
  <si>
    <t>5-year vacancy</t>
  </si>
  <si>
    <t>1-Year growth</t>
  </si>
  <si>
    <t>5-Year median wage</t>
  </si>
  <si>
    <t>Poverty %</t>
  </si>
  <si>
    <t>Average market rent</t>
  </si>
  <si>
    <t>Median home value</t>
  </si>
  <si>
    <t>Median wage/rent</t>
  </si>
  <si>
    <t>Homeownership rate</t>
  </si>
  <si>
    <t>Total apartment units (MSA)</t>
  </si>
  <si>
    <t>Mortgage + MIP &gt; Average rent</t>
  </si>
  <si>
    <t>2018-2019 net migration (state)</t>
  </si>
  <si>
    <t>Total apartment units (MSA) / Population (MSA)</t>
  </si>
  <si>
    <t>Calculated from link above (units / population)</t>
  </si>
  <si>
    <t>Total housing stock (MSA)</t>
  </si>
  <si>
    <t>Total apartment units (MSA) / Total housing stock (MSA)</t>
  </si>
  <si>
    <t>Google Search: "Top Employers" + "MSA" and divide by current job # in BLS dashboard (link above)</t>
  </si>
  <si>
    <t>Organization employing over 5% of the workforce (MSA)</t>
  </si>
  <si>
    <t>https://www.tacticares.com/blog-feed/multifamily-real-estate-market-research-template</t>
  </si>
  <si>
    <t>Learn How To Use This Spreadsheet: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</si>
</sst>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Segoe UI Black"/>
      <family val="2"/>
    </font>
    <font>
      <sz val="10"/>
      <color theme="0"/>
      <name val="Segoe UI Black"/>
      <family val="2"/>
    </font>
    <font>
      <b/>
      <sz val="10"/>
      <color theme="0"/>
      <name val="Segoe UI Black"/>
      <family val="2"/>
    </font>
    <font>
      <sz val="8"/>
      <name val="Calibri"/>
      <family val="2"/>
      <scheme val="minor"/>
    </font>
    <font>
      <sz val="10"/>
      <color theme="5" tint="-0.499984740745262"/>
      <name val="Segoe UI Black"/>
      <family val="2"/>
    </font>
    <font>
      <sz val="10"/>
      <name val="Segoe UI Black"/>
      <family val="2"/>
    </font>
    <font>
      <sz val="12"/>
      <name val="Segoe UI Black"/>
      <family val="2"/>
    </font>
    <font>
      <b/>
      <sz val="14"/>
      <color rgb="FF404040"/>
      <name val="Segoe UI Black"/>
      <family val="2"/>
    </font>
    <font>
      <b/>
      <sz val="14"/>
      <color rgb="FFFF0000"/>
      <name val="Segoe UI Black"/>
      <family val="2"/>
    </font>
    <font>
      <sz val="14"/>
      <color rgb="FF404040"/>
      <name val="Segoe UI Black"/>
      <family val="2"/>
    </font>
    <font>
      <sz val="11"/>
      <color theme="1"/>
      <name val="Segoe UI Black"/>
      <family val="2"/>
    </font>
    <font>
      <sz val="10"/>
      <color rgb="FFC00000"/>
      <name val="Segoe UI Black"/>
      <family val="2"/>
    </font>
    <font>
      <sz val="16"/>
      <color theme="0"/>
      <name val="Segoe UI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2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wrapText="1"/>
    </xf>
    <xf numFmtId="0" fontId="3" fillId="0" borderId="0" xfId="2" applyFill="1"/>
    <xf numFmtId="0" fontId="2" fillId="0" borderId="0" xfId="0" applyFont="1"/>
    <xf numFmtId="0" fontId="5" fillId="2" borderId="0" xfId="0" applyFont="1" applyFill="1" applyAlignment="1">
      <alignment wrapText="1"/>
    </xf>
    <xf numFmtId="0" fontId="10" fillId="0" borderId="0" xfId="0" applyFont="1"/>
    <xf numFmtId="0" fontId="14" fillId="0" borderId="0" xfId="0" applyFont="1"/>
    <xf numFmtId="0" fontId="6" fillId="2" borderId="0" xfId="0" applyFont="1" applyFill="1" applyAlignment="1">
      <alignment horizontal="center" wrapText="1"/>
    </xf>
    <xf numFmtId="0" fontId="15" fillId="0" borderId="0" xfId="0" applyFont="1"/>
    <xf numFmtId="0" fontId="5" fillId="5" borderId="0" xfId="0" applyFont="1" applyFill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0" fontId="9" fillId="0" borderId="3" xfId="1" applyNumberFormat="1" applyFont="1" applyBorder="1" applyAlignment="1">
      <alignment horizontal="center"/>
    </xf>
    <xf numFmtId="10" fontId="9" fillId="0" borderId="4" xfId="1" applyNumberFormat="1" applyFont="1" applyBorder="1" applyAlignment="1">
      <alignment horizontal="center"/>
    </xf>
    <xf numFmtId="10" fontId="9" fillId="0" borderId="4" xfId="1" applyNumberFormat="1" applyFont="1" applyFill="1" applyBorder="1" applyAlignment="1">
      <alignment horizontal="center"/>
    </xf>
    <xf numFmtId="10" fontId="9" fillId="0" borderId="3" xfId="1" applyNumberFormat="1" applyFont="1" applyFill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3" fontId="9" fillId="0" borderId="7" xfId="0" applyNumberFormat="1" applyFont="1" applyBorder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left"/>
    </xf>
    <xf numFmtId="3" fontId="5" fillId="5" borderId="0" xfId="0" applyNumberFormat="1" applyFont="1" applyFill="1" applyAlignment="1">
      <alignment horizontal="center"/>
    </xf>
    <xf numFmtId="0" fontId="4" fillId="4" borderId="9" xfId="0" applyFont="1" applyFill="1" applyBorder="1"/>
    <xf numFmtId="0" fontId="4" fillId="4" borderId="8" xfId="0" applyFont="1" applyFill="1" applyBorder="1" applyAlignment="1">
      <alignment horizontal="left"/>
    </xf>
    <xf numFmtId="0" fontId="4" fillId="4" borderId="5" xfId="0" applyFont="1" applyFill="1" applyBorder="1"/>
    <xf numFmtId="0" fontId="4" fillId="4" borderId="4" xfId="0" applyFont="1" applyFill="1" applyBorder="1" applyAlignment="1">
      <alignment horizontal="left"/>
    </xf>
    <xf numFmtId="0" fontId="4" fillId="6" borderId="0" xfId="0" applyFont="1" applyFill="1"/>
    <xf numFmtId="0" fontId="4" fillId="4" borderId="10" xfId="0" applyFont="1" applyFill="1" applyBorder="1"/>
    <xf numFmtId="0" fontId="4" fillId="4" borderId="6" xfId="0" applyFont="1" applyFill="1" applyBorder="1" applyAlignment="1">
      <alignment horizontal="left"/>
    </xf>
    <xf numFmtId="0" fontId="4" fillId="6" borderId="11" xfId="0" applyFont="1" applyFill="1" applyBorder="1"/>
    <xf numFmtId="0" fontId="4" fillId="6" borderId="12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center" wrapText="1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3" fontId="9" fillId="4" borderId="3" xfId="0" applyNumberFormat="1" applyFont="1" applyFill="1" applyBorder="1" applyAlignment="1">
      <alignment horizontal="center"/>
    </xf>
    <xf numFmtId="3" fontId="9" fillId="4" borderId="4" xfId="0" applyNumberFormat="1" applyFont="1" applyFill="1" applyBorder="1" applyAlignment="1">
      <alignment horizontal="center"/>
    </xf>
    <xf numFmtId="10" fontId="9" fillId="4" borderId="3" xfId="1" applyNumberFormat="1" applyFont="1" applyFill="1" applyBorder="1" applyAlignment="1">
      <alignment horizontal="center"/>
    </xf>
    <xf numFmtId="10" fontId="9" fillId="4" borderId="4" xfId="1" applyNumberFormat="1" applyFont="1" applyFill="1" applyBorder="1" applyAlignment="1">
      <alignment horizontal="center"/>
    </xf>
    <xf numFmtId="164" fontId="9" fillId="4" borderId="3" xfId="0" applyNumberFormat="1" applyFont="1" applyFill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3" fontId="9" fillId="4" borderId="7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wrapText="1"/>
    </xf>
    <xf numFmtId="0" fontId="16" fillId="2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acticar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38100</xdr:rowOff>
    </xdr:from>
    <xdr:ext cx="9035923" cy="2791691"/>
    <xdr:pic>
      <xdr:nvPicPr>
        <xdr:cNvPr id="2" name="Picture 1" descr="Tactica Real Estate Solutions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5AB873-C63E-44F6-9B4A-BA9E3C12E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38100"/>
          <a:ext cx="9035923" cy="279169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acticares.com/blog-feed/multifamily-real-estate-market-research-templat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ensus.gov/quickfacts/fact/table/US/PST045219" TargetMode="External"/><Relationship Id="rId3" Type="http://schemas.openxmlformats.org/officeDocument/2006/relationships/hyperlink" Target="https://www.census.gov/quickfacts/fact/table/US/PST045219" TargetMode="External"/><Relationship Id="rId7" Type="http://schemas.openxmlformats.org/officeDocument/2006/relationships/hyperlink" Target="https://www.tacticares.com/labor-statistics-dashboard?utm_medium=excel&amp;utm_source=free-model&amp;utm_campaign=bls-dashboard" TargetMode="External"/><Relationship Id="rId2" Type="http://schemas.openxmlformats.org/officeDocument/2006/relationships/hyperlink" Target="https://www.census.gov/quickfacts/fact/table/US/PST045219" TargetMode="External"/><Relationship Id="rId1" Type="http://schemas.openxmlformats.org/officeDocument/2006/relationships/hyperlink" Target="https://www.nmhc.org/research-insight/quick-facts-figures/quick-facts-apartment-stock/geography-of-apartment-stock/" TargetMode="External"/><Relationship Id="rId6" Type="http://schemas.openxmlformats.org/officeDocument/2006/relationships/hyperlink" Target="https://www.tacticares.com/labor-statistics-dashboard?utm_medium=excel&amp;utm_source=free-model&amp;utm_campaign=bls-dashboard" TargetMode="External"/><Relationship Id="rId5" Type="http://schemas.openxmlformats.org/officeDocument/2006/relationships/hyperlink" Target="https://www.tacticares.com/blog-feed/real-estate-investment-state-net-migration?utm_medium=excel&amp;utm_source=free-model&amp;utm_campaign=bls-dashboard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census.gov/quickfacts/fact/table/US/PST045219" TargetMode="External"/><Relationship Id="rId9" Type="http://schemas.openxmlformats.org/officeDocument/2006/relationships/hyperlink" Target="https://www.census.gov/quickfacts/fact/table/US/PST045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0CBD-D37A-4D62-A01E-1ADAE6B87B69}">
  <dimension ref="C2:Y28"/>
  <sheetViews>
    <sheetView tabSelected="1" zoomScale="90" zoomScaleNormal="90" workbookViewId="0">
      <selection activeCell="Q7" sqref="Q7"/>
    </sheetView>
  </sheetViews>
  <sheetFormatPr defaultRowHeight="14.4" x14ac:dyDescent="0.3"/>
  <sheetData>
    <row r="2" spans="15:25" ht="16.8" x14ac:dyDescent="0.4">
      <c r="O2" s="16" t="s">
        <v>38</v>
      </c>
    </row>
    <row r="4" spans="15:25" x14ac:dyDescent="0.3"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5:25" x14ac:dyDescent="0.3">
      <c r="Q5" t="s">
        <v>89</v>
      </c>
    </row>
    <row r="6" spans="15:25" x14ac:dyDescent="0.3">
      <c r="Q6" s="1" t="s">
        <v>88</v>
      </c>
    </row>
    <row r="10" spans="15:25" x14ac:dyDescent="0.3">
      <c r="P10" s="13"/>
    </row>
    <row r="18" spans="3:15" ht="70.5" customHeight="1" x14ac:dyDescent="0.3">
      <c r="C18" s="52" t="s">
        <v>37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</row>
    <row r="19" spans="3:15" x14ac:dyDescent="0.3"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</row>
    <row r="20" spans="3:15" x14ac:dyDescent="0.3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</row>
    <row r="21" spans="3:15" x14ac:dyDescent="0.3"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</row>
    <row r="23" spans="3:15" x14ac:dyDescent="0.3">
      <c r="C23" s="53" t="s">
        <v>36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</row>
    <row r="24" spans="3:15" x14ac:dyDescent="0.3"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3:15" x14ac:dyDescent="0.3"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 spans="3:15" x14ac:dyDescent="0.3"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</row>
    <row r="28" spans="3:15" ht="19.2" x14ac:dyDescent="0.45">
      <c r="C28" s="15" t="s">
        <v>57</v>
      </c>
    </row>
  </sheetData>
  <mergeCells count="2">
    <mergeCell ref="C18:O21"/>
    <mergeCell ref="C23:O26"/>
  </mergeCells>
  <hyperlinks>
    <hyperlink ref="Q6" r:id="rId1" xr:uid="{1047F486-564D-417B-B1FE-E047FA56370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4A7B-C9D8-4DA4-8C5F-C79D7A87C2E5}">
  <sheetPr codeName="Sheet5">
    <tabColor theme="4" tint="0.79998168889431442"/>
  </sheetPr>
  <dimension ref="B2:V51"/>
  <sheetViews>
    <sheetView zoomScale="80" zoomScaleNormal="80" workbookViewId="0">
      <selection activeCell="B1" sqref="B1"/>
    </sheetView>
  </sheetViews>
  <sheetFormatPr defaultColWidth="17.33203125" defaultRowHeight="13.2" customHeight="1" outlineLevelCol="1" x14ac:dyDescent="0.35"/>
  <cols>
    <col min="1" max="1" width="2.109375" style="2" customWidth="1"/>
    <col min="2" max="2" width="5.88671875" style="2" customWidth="1"/>
    <col min="3" max="3" width="18.21875" style="2" customWidth="1"/>
    <col min="4" max="4" width="54.109375" style="3" customWidth="1"/>
    <col min="5" max="6" width="10.5546875" style="4" customWidth="1"/>
    <col min="7" max="7" width="11.44140625" style="4" customWidth="1"/>
    <col min="8" max="10" width="10.5546875" style="4" customWidth="1"/>
    <col min="11" max="11" width="2.21875" style="4" customWidth="1"/>
    <col min="12" max="12" width="100.109375" style="2" customWidth="1"/>
    <col min="13" max="13" width="15.6640625" style="2" customWidth="1"/>
    <col min="14" max="14" width="1.77734375" style="2" customWidth="1"/>
    <col min="15" max="15" width="17.33203125" style="2" hidden="1" customWidth="1" outlineLevel="1"/>
    <col min="16" max="21" width="17.33203125" style="4" hidden="1" customWidth="1" outlineLevel="1"/>
    <col min="22" max="22" width="17.33203125" style="2" collapsed="1"/>
    <col min="23" max="16384" width="17.33203125" style="2"/>
  </cols>
  <sheetData>
    <row r="2" spans="2:22" ht="15.45" customHeight="1" x14ac:dyDescent="0.35">
      <c r="V2" s="4" t="s">
        <v>68</v>
      </c>
    </row>
    <row r="3" spans="2:22" ht="15.45" customHeight="1" x14ac:dyDescent="0.35">
      <c r="B3" s="6"/>
      <c r="C3" s="6" t="s">
        <v>6</v>
      </c>
      <c r="D3" s="7" t="s">
        <v>55</v>
      </c>
      <c r="E3" s="17" t="s">
        <v>61</v>
      </c>
      <c r="F3" s="17" t="s">
        <v>60</v>
      </c>
      <c r="G3" s="17" t="s">
        <v>59</v>
      </c>
      <c r="H3" s="17" t="s">
        <v>67</v>
      </c>
      <c r="I3" s="17" t="s">
        <v>67</v>
      </c>
      <c r="J3" s="17" t="s">
        <v>67</v>
      </c>
      <c r="L3" s="14" t="s">
        <v>27</v>
      </c>
      <c r="M3" s="19" t="s">
        <v>58</v>
      </c>
      <c r="N3" s="19"/>
      <c r="O3" s="2" t="s">
        <v>63</v>
      </c>
      <c r="P3" s="4" t="str">
        <f>E3</f>
        <v>Austin</v>
      </c>
      <c r="Q3" s="4" t="str">
        <f t="shared" ref="Q3:U3" si="0">F3</f>
        <v>Dallas</v>
      </c>
      <c r="R3" s="4" t="str">
        <f t="shared" si="0"/>
        <v>Houston</v>
      </c>
      <c r="S3" s="4" t="str">
        <f t="shared" si="0"/>
        <v>Other</v>
      </c>
      <c r="T3" s="4" t="str">
        <f t="shared" si="0"/>
        <v>Other</v>
      </c>
      <c r="U3" s="4" t="str">
        <f t="shared" si="0"/>
        <v>Other</v>
      </c>
    </row>
    <row r="4" spans="2:22" ht="13.2" customHeight="1" x14ac:dyDescent="0.35">
      <c r="B4" s="54" t="s">
        <v>34</v>
      </c>
      <c r="C4" s="32" t="s">
        <v>0</v>
      </c>
      <c r="D4" s="33" t="s">
        <v>10</v>
      </c>
      <c r="E4" s="45">
        <v>964177</v>
      </c>
      <c r="F4" s="45">
        <v>1288457</v>
      </c>
      <c r="G4" s="46">
        <v>2288250</v>
      </c>
      <c r="H4" s="45"/>
      <c r="I4" s="45"/>
      <c r="J4" s="46"/>
      <c r="K4" s="5"/>
      <c r="L4" s="1" t="s">
        <v>35</v>
      </c>
      <c r="O4" s="2" t="s">
        <v>64</v>
      </c>
      <c r="P4" s="5">
        <f t="shared" ref="P4" si="1">IF($O4="Max",RANK(E4,$E4:$J4,0),RANK(E4,$E4:$J4,1))</f>
        <v>3</v>
      </c>
      <c r="Q4" s="5">
        <f t="shared" ref="Q4" si="2">IF($O4="Max",RANK(F4,$E4:$J4,0),RANK(F4,$E4:$J4,1))</f>
        <v>2</v>
      </c>
      <c r="R4" s="5">
        <f t="shared" ref="R4" si="3">IF($O4="Max",RANK(G4,$E4:$J4,0),RANK(G4,$E4:$J4,1))</f>
        <v>1</v>
      </c>
      <c r="S4" s="5" t="e">
        <f t="shared" ref="S4" si="4">IF($O4="Max",RANK(H4,$E4:$J4,0),RANK(H4,$E4:$J4,1))</f>
        <v>#N/A</v>
      </c>
      <c r="T4" s="5" t="e">
        <f t="shared" ref="T4" si="5">IF($O4="Max",RANK(I4,$E4:$J4,0),RANK(I4,$E4:$J4,1))</f>
        <v>#N/A</v>
      </c>
      <c r="U4" s="5" t="e">
        <f t="shared" ref="U4" si="6">IF($O4="Max",RANK(J4,$E4:$J4,0),RANK(J4,$E4:$J4,1))</f>
        <v>#N/A</v>
      </c>
    </row>
    <row r="5" spans="2:22" ht="13.2" customHeight="1" x14ac:dyDescent="0.35">
      <c r="B5" s="54"/>
      <c r="C5" s="34" t="s">
        <v>0</v>
      </c>
      <c r="D5" s="35" t="s">
        <v>72</v>
      </c>
      <c r="E5" s="47">
        <v>1.0964354426910017E-3</v>
      </c>
      <c r="F5" s="47">
        <v>-1.1338715840746971E-2</v>
      </c>
      <c r="G5" s="48">
        <v>-5.1000000000000004E-3</v>
      </c>
      <c r="H5" s="47"/>
      <c r="I5" s="47"/>
      <c r="J5" s="48"/>
      <c r="K5" s="5"/>
      <c r="L5" s="1" t="s">
        <v>40</v>
      </c>
      <c r="M5" s="1" t="s">
        <v>2</v>
      </c>
      <c r="N5" s="1"/>
      <c r="O5" s="2" t="s">
        <v>64</v>
      </c>
      <c r="P5" s="5">
        <f t="shared" ref="P5:P49" si="7">IF($O5="Max",RANK(E5,$E5:$J5,0),RANK(E5,$E5:$J5,1))</f>
        <v>1</v>
      </c>
      <c r="Q5" s="5">
        <f t="shared" ref="Q5:Q49" si="8">IF($O5="Max",RANK(F5,$E5:$J5,0),RANK(F5,$E5:$J5,1))</f>
        <v>3</v>
      </c>
      <c r="R5" s="5">
        <f t="shared" ref="R5:R49" si="9">IF($O5="Max",RANK(G5,$E5:$J5,0),RANK(G5,$E5:$J5,1))</f>
        <v>2</v>
      </c>
      <c r="S5" s="5" t="e">
        <f t="shared" ref="S5:S49" si="10">IF($O5="Max",RANK(H5,$E5:$J5,0),RANK(H5,$E5:$J5,1))</f>
        <v>#N/A</v>
      </c>
      <c r="T5" s="5" t="e">
        <f t="shared" ref="T5:T49" si="11">IF($O5="Max",RANK(I5,$E5:$J5,0),RANK(I5,$E5:$J5,1))</f>
        <v>#N/A</v>
      </c>
      <c r="U5" s="5" t="e">
        <f t="shared" ref="U5:U49" si="12">IF($O5="Max",RANK(J5,$E5:$J5,0),RANK(J5,$E5:$J5,1))</f>
        <v>#N/A</v>
      </c>
    </row>
    <row r="6" spans="2:22" ht="13.2" customHeight="1" x14ac:dyDescent="0.35">
      <c r="B6" s="54"/>
      <c r="C6" s="34" t="s">
        <v>0</v>
      </c>
      <c r="D6" s="35" t="s">
        <v>49</v>
      </c>
      <c r="E6" s="47">
        <v>1.7746026105776025E-3</v>
      </c>
      <c r="F6" s="47">
        <v>-3.9756238252737774E-2</v>
      </c>
      <c r="G6" s="48">
        <v>-1.3078302904415806E-2</v>
      </c>
      <c r="H6" s="47"/>
      <c r="I6" s="47"/>
      <c r="J6" s="48"/>
      <c r="L6" s="1" t="s">
        <v>40</v>
      </c>
      <c r="M6" s="1" t="s">
        <v>2</v>
      </c>
      <c r="N6" s="1"/>
      <c r="O6" s="2" t="s">
        <v>64</v>
      </c>
      <c r="P6" s="5">
        <f t="shared" si="7"/>
        <v>1</v>
      </c>
      <c r="Q6" s="5">
        <f t="shared" si="8"/>
        <v>3</v>
      </c>
      <c r="R6" s="5">
        <f t="shared" si="9"/>
        <v>2</v>
      </c>
      <c r="S6" s="5" t="e">
        <f t="shared" si="10"/>
        <v>#N/A</v>
      </c>
      <c r="T6" s="5" t="e">
        <f t="shared" si="11"/>
        <v>#N/A</v>
      </c>
      <c r="U6" s="5" t="e">
        <f t="shared" si="12"/>
        <v>#N/A</v>
      </c>
    </row>
    <row r="7" spans="2:22" ht="13.2" customHeight="1" x14ac:dyDescent="0.35">
      <c r="B7" s="54"/>
      <c r="C7" s="34" t="s">
        <v>0</v>
      </c>
      <c r="D7" s="35" t="s">
        <v>50</v>
      </c>
      <c r="E7" s="47">
        <v>2.6323996989718434E-2</v>
      </c>
      <c r="F7" s="47">
        <v>-2.6783421304674926E-2</v>
      </c>
      <c r="G7" s="48">
        <v>-9.2200018704990949E-3</v>
      </c>
      <c r="H7" s="47"/>
      <c r="I7" s="47"/>
      <c r="J7" s="48"/>
      <c r="L7" s="1" t="s">
        <v>40</v>
      </c>
      <c r="M7" s="1" t="s">
        <v>2</v>
      </c>
      <c r="N7" s="1"/>
      <c r="O7" s="2" t="s">
        <v>64</v>
      </c>
      <c r="P7" s="5">
        <f t="shared" si="7"/>
        <v>1</v>
      </c>
      <c r="Q7" s="5">
        <f t="shared" si="8"/>
        <v>3</v>
      </c>
      <c r="R7" s="5">
        <f t="shared" si="9"/>
        <v>2</v>
      </c>
      <c r="S7" s="5" t="e">
        <f t="shared" si="10"/>
        <v>#N/A</v>
      </c>
      <c r="T7" s="5" t="e">
        <f t="shared" si="11"/>
        <v>#N/A</v>
      </c>
      <c r="U7" s="5" t="e">
        <f t="shared" si="12"/>
        <v>#N/A</v>
      </c>
    </row>
    <row r="8" spans="2:22" ht="13.2" customHeight="1" x14ac:dyDescent="0.35">
      <c r="B8" s="54"/>
      <c r="C8" s="34" t="s">
        <v>0</v>
      </c>
      <c r="D8" s="35" t="s">
        <v>51</v>
      </c>
      <c r="E8" s="47">
        <v>6.9916885826203812E-2</v>
      </c>
      <c r="F8" s="47">
        <v>7.3168748602530087E-3</v>
      </c>
      <c r="G8" s="48">
        <v>2.0708119184985829E-2</v>
      </c>
      <c r="H8" s="47"/>
      <c r="I8" s="47"/>
      <c r="J8" s="48"/>
      <c r="L8" s="1" t="s">
        <v>40</v>
      </c>
      <c r="M8" s="1" t="s">
        <v>2</v>
      </c>
      <c r="N8" s="1"/>
      <c r="O8" s="2" t="s">
        <v>64</v>
      </c>
      <c r="P8" s="5">
        <f t="shared" si="7"/>
        <v>1</v>
      </c>
      <c r="Q8" s="5">
        <f t="shared" si="8"/>
        <v>3</v>
      </c>
      <c r="R8" s="5">
        <f t="shared" si="9"/>
        <v>2</v>
      </c>
      <c r="S8" s="5" t="e">
        <f t="shared" si="10"/>
        <v>#N/A</v>
      </c>
      <c r="T8" s="5" t="e">
        <f t="shared" si="11"/>
        <v>#N/A</v>
      </c>
      <c r="U8" s="5" t="e">
        <f t="shared" si="12"/>
        <v>#N/A</v>
      </c>
    </row>
    <row r="9" spans="2:22" ht="13.2" customHeight="1" x14ac:dyDescent="0.35">
      <c r="B9" s="54"/>
      <c r="C9" s="34" t="s">
        <v>0</v>
      </c>
      <c r="D9" s="35" t="s">
        <v>4</v>
      </c>
      <c r="E9" s="47">
        <v>0.1522</v>
      </c>
      <c r="F9" s="47">
        <v>0.167461971070091</v>
      </c>
      <c r="G9" s="48">
        <v>0.1588</v>
      </c>
      <c r="H9" s="47"/>
      <c r="I9" s="47"/>
      <c r="J9" s="48"/>
      <c r="L9" s="12" t="s">
        <v>43</v>
      </c>
      <c r="O9" s="2" t="s">
        <v>64</v>
      </c>
      <c r="P9" s="5">
        <f t="shared" si="7"/>
        <v>3</v>
      </c>
      <c r="Q9" s="5">
        <f t="shared" si="8"/>
        <v>1</v>
      </c>
      <c r="R9" s="5">
        <f t="shared" si="9"/>
        <v>2</v>
      </c>
      <c r="S9" s="5" t="e">
        <f t="shared" si="10"/>
        <v>#N/A</v>
      </c>
      <c r="T9" s="5" t="e">
        <f t="shared" si="11"/>
        <v>#N/A</v>
      </c>
      <c r="U9" s="5" t="e">
        <f t="shared" si="12"/>
        <v>#N/A</v>
      </c>
    </row>
    <row r="10" spans="2:22" ht="13.2" customHeight="1" x14ac:dyDescent="0.35">
      <c r="B10" s="54"/>
      <c r="C10" s="34" t="s">
        <v>0</v>
      </c>
      <c r="D10" s="35" t="s">
        <v>41</v>
      </c>
      <c r="E10" s="47">
        <v>1.55707301056347E-2</v>
      </c>
      <c r="F10" s="47">
        <v>4.6407144742950379E-3</v>
      </c>
      <c r="G10" s="48">
        <v>-1.6000000000000001E-3</v>
      </c>
      <c r="H10" s="47"/>
      <c r="I10" s="47"/>
      <c r="J10" s="48"/>
      <c r="L10" s="12" t="s">
        <v>43</v>
      </c>
      <c r="O10" s="2" t="s">
        <v>64</v>
      </c>
      <c r="P10" s="5">
        <f t="shared" si="7"/>
        <v>1</v>
      </c>
      <c r="Q10" s="5">
        <f t="shared" si="8"/>
        <v>2</v>
      </c>
      <c r="R10" s="5">
        <f t="shared" si="9"/>
        <v>3</v>
      </c>
      <c r="S10" s="5" t="e">
        <f t="shared" si="10"/>
        <v>#N/A</v>
      </c>
      <c r="T10" s="5" t="e">
        <f t="shared" si="11"/>
        <v>#N/A</v>
      </c>
      <c r="U10" s="5" t="e">
        <f t="shared" si="12"/>
        <v>#N/A</v>
      </c>
    </row>
    <row r="11" spans="2:22" ht="13.2" customHeight="1" x14ac:dyDescent="0.35">
      <c r="B11" s="54"/>
      <c r="C11" s="34" t="s">
        <v>0</v>
      </c>
      <c r="D11" s="35" t="s">
        <v>3</v>
      </c>
      <c r="E11" s="47">
        <v>4.3500263574064224E-2</v>
      </c>
      <c r="F11" s="47">
        <v>2.2738804949988145E-2</v>
      </c>
      <c r="G11" s="48">
        <v>-3.8E-3</v>
      </c>
      <c r="H11" s="47"/>
      <c r="I11" s="47"/>
      <c r="J11" s="48"/>
      <c r="L11" s="12" t="s">
        <v>43</v>
      </c>
      <c r="O11" s="2" t="s">
        <v>64</v>
      </c>
      <c r="P11" s="5">
        <f t="shared" si="7"/>
        <v>1</v>
      </c>
      <c r="Q11" s="5">
        <f t="shared" si="8"/>
        <v>2</v>
      </c>
      <c r="R11" s="5">
        <f t="shared" si="9"/>
        <v>3</v>
      </c>
      <c r="S11" s="5" t="e">
        <f t="shared" si="10"/>
        <v>#N/A</v>
      </c>
      <c r="T11" s="5" t="e">
        <f t="shared" si="11"/>
        <v>#N/A</v>
      </c>
      <c r="U11" s="5" t="e">
        <f t="shared" si="12"/>
        <v>#N/A</v>
      </c>
    </row>
    <row r="12" spans="2:22" ht="13.2" customHeight="1" x14ac:dyDescent="0.35">
      <c r="B12" s="54"/>
      <c r="C12" s="34" t="s">
        <v>0</v>
      </c>
      <c r="D12" s="35" t="s">
        <v>21</v>
      </c>
      <c r="E12" s="47">
        <v>8.6233860302792564E-2</v>
      </c>
      <c r="F12" s="47">
        <v>6.8600299219994554E-2</v>
      </c>
      <c r="G12" s="48">
        <v>1.17E-2</v>
      </c>
      <c r="H12" s="47"/>
      <c r="I12" s="47"/>
      <c r="J12" s="48"/>
      <c r="L12" s="12" t="s">
        <v>43</v>
      </c>
      <c r="O12" s="2" t="s">
        <v>64</v>
      </c>
      <c r="P12" s="5">
        <f t="shared" si="7"/>
        <v>1</v>
      </c>
      <c r="Q12" s="5">
        <f t="shared" si="8"/>
        <v>2</v>
      </c>
      <c r="R12" s="5">
        <f t="shared" si="9"/>
        <v>3</v>
      </c>
      <c r="S12" s="5" t="e">
        <f t="shared" si="10"/>
        <v>#N/A</v>
      </c>
      <c r="T12" s="5" t="e">
        <f t="shared" si="11"/>
        <v>#N/A</v>
      </c>
      <c r="U12" s="5" t="e">
        <f t="shared" si="12"/>
        <v>#N/A</v>
      </c>
    </row>
    <row r="13" spans="2:22" ht="13.2" customHeight="1" x14ac:dyDescent="0.35">
      <c r="B13" s="54"/>
      <c r="C13" s="34" t="s">
        <v>0</v>
      </c>
      <c r="D13" s="35" t="s">
        <v>42</v>
      </c>
      <c r="E13" s="47">
        <v>0.16728681530577938</v>
      </c>
      <c r="F13" s="47">
        <v>0.10499714620445189</v>
      </c>
      <c r="G13" s="48">
        <v>6.6699999999999995E-2</v>
      </c>
      <c r="H13" s="47"/>
      <c r="I13" s="47"/>
      <c r="J13" s="48"/>
      <c r="L13" s="12" t="s">
        <v>43</v>
      </c>
      <c r="O13" s="2" t="s">
        <v>64</v>
      </c>
      <c r="P13" s="5">
        <f t="shared" si="7"/>
        <v>1</v>
      </c>
      <c r="Q13" s="5">
        <f t="shared" si="8"/>
        <v>2</v>
      </c>
      <c r="R13" s="5">
        <f t="shared" si="9"/>
        <v>3</v>
      </c>
      <c r="S13" s="5" t="e">
        <f t="shared" si="10"/>
        <v>#N/A</v>
      </c>
      <c r="T13" s="5" t="e">
        <f t="shared" si="11"/>
        <v>#N/A</v>
      </c>
      <c r="U13" s="5" t="e">
        <f t="shared" si="12"/>
        <v>#N/A</v>
      </c>
    </row>
    <row r="14" spans="2:22" ht="13.2" customHeight="1" x14ac:dyDescent="0.35">
      <c r="B14" s="54"/>
      <c r="C14" s="37" t="s">
        <v>0</v>
      </c>
      <c r="D14" s="38" t="s">
        <v>81</v>
      </c>
      <c r="E14" s="47">
        <v>3.7000000000000002E-3</v>
      </c>
      <c r="F14" s="47">
        <v>3.7000000000000002E-3</v>
      </c>
      <c r="G14" s="48">
        <v>3.7000000000000002E-3</v>
      </c>
      <c r="H14" s="47"/>
      <c r="I14" s="47"/>
      <c r="J14" s="48"/>
      <c r="L14" s="12" t="s">
        <v>13</v>
      </c>
      <c r="O14" s="2" t="s">
        <v>64</v>
      </c>
      <c r="P14" s="5">
        <f t="shared" si="7"/>
        <v>1</v>
      </c>
      <c r="Q14" s="5">
        <f t="shared" si="8"/>
        <v>1</v>
      </c>
      <c r="R14" s="5">
        <f t="shared" si="9"/>
        <v>1</v>
      </c>
      <c r="S14" s="5" t="e">
        <f t="shared" si="10"/>
        <v>#N/A</v>
      </c>
      <c r="T14" s="5" t="e">
        <f t="shared" si="11"/>
        <v>#N/A</v>
      </c>
      <c r="U14" s="5" t="e">
        <f t="shared" si="12"/>
        <v>#N/A</v>
      </c>
    </row>
    <row r="15" spans="2:22" ht="13.2" customHeight="1" x14ac:dyDescent="0.35">
      <c r="B15" s="54"/>
      <c r="C15" s="39" t="s">
        <v>14</v>
      </c>
      <c r="D15" s="40" t="s">
        <v>15</v>
      </c>
      <c r="E15" s="24">
        <v>3.2500000000000001E-2</v>
      </c>
      <c r="F15" s="25">
        <v>4.7600000000000003E-2</v>
      </c>
      <c r="G15" s="24">
        <v>5.4899999999999997E-2</v>
      </c>
      <c r="H15" s="24"/>
      <c r="I15" s="25"/>
      <c r="J15" s="24"/>
      <c r="L15" s="1" t="s">
        <v>39</v>
      </c>
      <c r="O15" s="2" t="s">
        <v>65</v>
      </c>
      <c r="P15" s="5">
        <f t="shared" si="7"/>
        <v>1</v>
      </c>
      <c r="Q15" s="5">
        <f t="shared" si="8"/>
        <v>2</v>
      </c>
      <c r="R15" s="5">
        <f t="shared" si="9"/>
        <v>3</v>
      </c>
      <c r="S15" s="5" t="e">
        <f t="shared" si="10"/>
        <v>#N/A</v>
      </c>
      <c r="T15" s="5" t="e">
        <f t="shared" si="11"/>
        <v>#N/A</v>
      </c>
      <c r="U15" s="5" t="e">
        <f t="shared" si="12"/>
        <v>#N/A</v>
      </c>
    </row>
    <row r="16" spans="2:22" ht="13.2" customHeight="1" x14ac:dyDescent="0.35">
      <c r="B16" s="54"/>
      <c r="C16" s="39" t="s">
        <v>14</v>
      </c>
      <c r="D16" s="40" t="s">
        <v>22</v>
      </c>
      <c r="E16" s="24">
        <v>4.2299999999999997E-2</v>
      </c>
      <c r="F16" s="25">
        <v>5.74E-2</v>
      </c>
      <c r="G16" s="24">
        <v>6.4399999999999999E-2</v>
      </c>
      <c r="H16" s="24"/>
      <c r="I16" s="25"/>
      <c r="J16" s="24"/>
      <c r="L16" s="1" t="s">
        <v>39</v>
      </c>
      <c r="O16" s="2" t="s">
        <v>65</v>
      </c>
      <c r="P16" s="5">
        <f t="shared" si="7"/>
        <v>1</v>
      </c>
      <c r="Q16" s="5">
        <f t="shared" si="8"/>
        <v>2</v>
      </c>
      <c r="R16" s="5">
        <f t="shared" si="9"/>
        <v>3</v>
      </c>
      <c r="S16" s="5" t="e">
        <f t="shared" si="10"/>
        <v>#N/A</v>
      </c>
      <c r="T16" s="5" t="e">
        <f t="shared" si="11"/>
        <v>#N/A</v>
      </c>
      <c r="U16" s="5" t="e">
        <f t="shared" si="12"/>
        <v>#N/A</v>
      </c>
    </row>
    <row r="17" spans="2:21" ht="13.2" customHeight="1" x14ac:dyDescent="0.35">
      <c r="B17" s="54"/>
      <c r="C17" s="39" t="s">
        <v>14</v>
      </c>
      <c r="D17" s="40" t="s">
        <v>16</v>
      </c>
      <c r="E17" s="24">
        <v>3.6799999999999999E-2</v>
      </c>
      <c r="F17" s="25">
        <v>4.9700000000000001E-2</v>
      </c>
      <c r="G17" s="24">
        <v>5.62E-2</v>
      </c>
      <c r="H17" s="24"/>
      <c r="I17" s="25"/>
      <c r="J17" s="24"/>
      <c r="L17" s="1" t="s">
        <v>39</v>
      </c>
      <c r="O17" s="2" t="s">
        <v>65</v>
      </c>
      <c r="P17" s="5">
        <f t="shared" si="7"/>
        <v>1</v>
      </c>
      <c r="Q17" s="5">
        <f t="shared" si="8"/>
        <v>2</v>
      </c>
      <c r="R17" s="5">
        <f t="shared" si="9"/>
        <v>3</v>
      </c>
      <c r="S17" s="5" t="e">
        <f t="shared" si="10"/>
        <v>#N/A</v>
      </c>
      <c r="T17" s="5" t="e">
        <f t="shared" si="11"/>
        <v>#N/A</v>
      </c>
      <c r="U17" s="5" t="e">
        <f t="shared" si="12"/>
        <v>#N/A</v>
      </c>
    </row>
    <row r="18" spans="2:21" ht="13.2" customHeight="1" x14ac:dyDescent="0.35">
      <c r="B18" s="54"/>
      <c r="C18" s="34" t="s">
        <v>1</v>
      </c>
      <c r="D18" s="35" t="s">
        <v>17</v>
      </c>
      <c r="E18" s="47">
        <v>4.8500000000000001E-2</v>
      </c>
      <c r="F18" s="47">
        <v>3.7499999999999999E-2</v>
      </c>
      <c r="G18" s="48">
        <v>1.6199999999999999E-2</v>
      </c>
      <c r="H18" s="47"/>
      <c r="I18" s="47"/>
      <c r="J18" s="48"/>
      <c r="L18" s="1" t="s">
        <v>39</v>
      </c>
      <c r="O18" s="2" t="s">
        <v>64</v>
      </c>
      <c r="P18" s="5">
        <f t="shared" si="7"/>
        <v>1</v>
      </c>
      <c r="Q18" s="5">
        <f t="shared" si="8"/>
        <v>2</v>
      </c>
      <c r="R18" s="5">
        <f t="shared" si="9"/>
        <v>3</v>
      </c>
      <c r="S18" s="5" t="e">
        <f t="shared" si="10"/>
        <v>#N/A</v>
      </c>
      <c r="T18" s="5" t="e">
        <f t="shared" si="11"/>
        <v>#N/A</v>
      </c>
      <c r="U18" s="5" t="e">
        <f t="shared" si="12"/>
        <v>#N/A</v>
      </c>
    </row>
    <row r="19" spans="2:21" ht="13.2" customHeight="1" x14ac:dyDescent="0.35">
      <c r="B19" s="54"/>
      <c r="C19" s="34" t="s">
        <v>1</v>
      </c>
      <c r="D19" s="35" t="s">
        <v>5</v>
      </c>
      <c r="E19" s="47">
        <v>9.8400000000000001E-2</v>
      </c>
      <c r="F19" s="47">
        <v>7.7200000000000005E-2</v>
      </c>
      <c r="G19" s="48">
        <v>1.61E-2</v>
      </c>
      <c r="H19" s="47"/>
      <c r="I19" s="47"/>
      <c r="J19" s="48"/>
      <c r="L19" s="1" t="s">
        <v>39</v>
      </c>
      <c r="O19" s="2" t="s">
        <v>64</v>
      </c>
      <c r="P19" s="5">
        <f t="shared" si="7"/>
        <v>1</v>
      </c>
      <c r="Q19" s="5">
        <f t="shared" si="8"/>
        <v>2</v>
      </c>
      <c r="R19" s="5">
        <f t="shared" si="9"/>
        <v>3</v>
      </c>
      <c r="S19" s="5" t="e">
        <f t="shared" si="10"/>
        <v>#N/A</v>
      </c>
      <c r="T19" s="5" t="e">
        <f t="shared" si="11"/>
        <v>#N/A</v>
      </c>
      <c r="U19" s="5" t="e">
        <f t="shared" si="12"/>
        <v>#N/A</v>
      </c>
    </row>
    <row r="20" spans="2:21" ht="13.2" customHeight="1" x14ac:dyDescent="0.35">
      <c r="B20" s="54"/>
      <c r="C20" s="34" t="s">
        <v>1</v>
      </c>
      <c r="D20" s="35" t="s">
        <v>23</v>
      </c>
      <c r="E20" s="47">
        <v>0.13869999999999999</v>
      </c>
      <c r="F20" s="47">
        <v>7.2599999999999998E-2</v>
      </c>
      <c r="G20" s="48">
        <v>1.0200000000000001E-2</v>
      </c>
      <c r="H20" s="47"/>
      <c r="I20" s="47"/>
      <c r="J20" s="48"/>
      <c r="L20" s="1" t="s">
        <v>39</v>
      </c>
      <c r="O20" s="2" t="s">
        <v>64</v>
      </c>
      <c r="P20" s="5">
        <f t="shared" si="7"/>
        <v>1</v>
      </c>
      <c r="Q20" s="5">
        <f t="shared" si="8"/>
        <v>2</v>
      </c>
      <c r="R20" s="5">
        <f t="shared" si="9"/>
        <v>3</v>
      </c>
      <c r="S20" s="5" t="e">
        <f t="shared" si="10"/>
        <v>#N/A</v>
      </c>
      <c r="T20" s="5" t="e">
        <f t="shared" si="11"/>
        <v>#N/A</v>
      </c>
      <c r="U20" s="5" t="e">
        <f t="shared" si="12"/>
        <v>#N/A</v>
      </c>
    </row>
    <row r="21" spans="2:21" ht="13.2" customHeight="1" x14ac:dyDescent="0.35">
      <c r="B21" s="54"/>
      <c r="C21" s="39" t="s">
        <v>18</v>
      </c>
      <c r="D21" s="40" t="s">
        <v>19</v>
      </c>
      <c r="E21" s="22">
        <v>6.7599999999999993E-2</v>
      </c>
      <c r="F21" s="22">
        <v>6.7400000000000002E-2</v>
      </c>
      <c r="G21" s="23">
        <v>4.4999999999999998E-2</v>
      </c>
      <c r="H21" s="22"/>
      <c r="I21" s="22"/>
      <c r="J21" s="23"/>
      <c r="L21" s="1" t="s">
        <v>39</v>
      </c>
      <c r="O21" s="2" t="s">
        <v>64</v>
      </c>
      <c r="P21" s="5">
        <f t="shared" si="7"/>
        <v>1</v>
      </c>
      <c r="Q21" s="5">
        <f t="shared" si="8"/>
        <v>2</v>
      </c>
      <c r="R21" s="5">
        <f t="shared" si="9"/>
        <v>3</v>
      </c>
      <c r="S21" s="5" t="e">
        <f t="shared" si="10"/>
        <v>#N/A</v>
      </c>
      <c r="T21" s="5" t="e">
        <f t="shared" si="11"/>
        <v>#N/A</v>
      </c>
      <c r="U21" s="5" t="e">
        <f t="shared" si="12"/>
        <v>#N/A</v>
      </c>
    </row>
    <row r="22" spans="2:21" ht="13.2" customHeight="1" x14ac:dyDescent="0.35">
      <c r="B22" s="54"/>
      <c r="C22" s="39" t="s">
        <v>18</v>
      </c>
      <c r="D22" s="40" t="s">
        <v>20</v>
      </c>
      <c r="E22" s="22">
        <v>9.6500000000000002E-2</v>
      </c>
      <c r="F22" s="22">
        <v>7.4099999999999999E-2</v>
      </c>
      <c r="G22" s="23">
        <v>7.7999999999999996E-3</v>
      </c>
      <c r="H22" s="22"/>
      <c r="I22" s="22"/>
      <c r="J22" s="23"/>
      <c r="L22" s="1" t="s">
        <v>39</v>
      </c>
      <c r="O22" s="2" t="s">
        <v>64</v>
      </c>
      <c r="P22" s="5">
        <f t="shared" si="7"/>
        <v>1</v>
      </c>
      <c r="Q22" s="5">
        <f t="shared" si="8"/>
        <v>2</v>
      </c>
      <c r="R22" s="5">
        <f t="shared" si="9"/>
        <v>3</v>
      </c>
      <c r="S22" s="5" t="e">
        <f t="shared" si="10"/>
        <v>#N/A</v>
      </c>
      <c r="T22" s="5" t="e">
        <f t="shared" si="11"/>
        <v>#N/A</v>
      </c>
      <c r="U22" s="5" t="e">
        <f t="shared" si="12"/>
        <v>#N/A</v>
      </c>
    </row>
    <row r="23" spans="2:21" ht="13.2" customHeight="1" x14ac:dyDescent="0.35">
      <c r="B23" s="54"/>
      <c r="C23" s="39" t="s">
        <v>18</v>
      </c>
      <c r="D23" s="40" t="s">
        <v>24</v>
      </c>
      <c r="E23" s="22">
        <v>0.1439</v>
      </c>
      <c r="F23" s="22">
        <v>7.7600000000000002E-2</v>
      </c>
      <c r="G23" s="23">
        <v>1.7600000000000001E-2</v>
      </c>
      <c r="H23" s="22"/>
      <c r="I23" s="22"/>
      <c r="J23" s="23"/>
      <c r="L23" s="1" t="s">
        <v>39</v>
      </c>
      <c r="O23" s="2" t="s">
        <v>64</v>
      </c>
      <c r="P23" s="5">
        <f t="shared" si="7"/>
        <v>1</v>
      </c>
      <c r="Q23" s="5">
        <f t="shared" si="8"/>
        <v>2</v>
      </c>
      <c r="R23" s="5">
        <f t="shared" si="9"/>
        <v>3</v>
      </c>
      <c r="S23" s="5" t="e">
        <f t="shared" si="10"/>
        <v>#N/A</v>
      </c>
      <c r="T23" s="5" t="e">
        <f t="shared" si="11"/>
        <v>#N/A</v>
      </c>
      <c r="U23" s="5" t="e">
        <f t="shared" si="12"/>
        <v>#N/A</v>
      </c>
    </row>
    <row r="24" spans="2:21" ht="13.2" customHeight="1" x14ac:dyDescent="0.35">
      <c r="B24" s="54"/>
      <c r="C24" s="39" t="s">
        <v>18</v>
      </c>
      <c r="D24" s="40" t="s">
        <v>87</v>
      </c>
      <c r="E24" s="21">
        <v>1</v>
      </c>
      <c r="F24" s="21">
        <v>0</v>
      </c>
      <c r="G24" s="20">
        <v>0</v>
      </c>
      <c r="H24" s="21"/>
      <c r="I24" s="21"/>
      <c r="J24" s="20"/>
      <c r="L24" s="18" t="s">
        <v>86</v>
      </c>
      <c r="O24" s="2" t="s">
        <v>65</v>
      </c>
      <c r="P24" s="5">
        <f t="shared" si="7"/>
        <v>3</v>
      </c>
      <c r="Q24" s="5">
        <f t="shared" si="8"/>
        <v>1</v>
      </c>
      <c r="R24" s="5">
        <f t="shared" si="9"/>
        <v>1</v>
      </c>
      <c r="S24" s="5">
        <f t="shared" si="10"/>
        <v>1</v>
      </c>
      <c r="T24" s="5">
        <f t="shared" si="11"/>
        <v>1</v>
      </c>
      <c r="U24" s="5">
        <f t="shared" si="12"/>
        <v>1</v>
      </c>
    </row>
    <row r="25" spans="2:21" ht="13.2" customHeight="1" x14ac:dyDescent="0.35">
      <c r="B25" s="54"/>
      <c r="C25" s="34" t="s">
        <v>44</v>
      </c>
      <c r="D25" s="35" t="s">
        <v>73</v>
      </c>
      <c r="E25" s="49">
        <v>75752</v>
      </c>
      <c r="F25" s="49">
        <v>54747</v>
      </c>
      <c r="G25" s="49">
        <v>53600</v>
      </c>
      <c r="H25" s="49"/>
      <c r="I25" s="49"/>
      <c r="J25" s="49"/>
      <c r="L25" s="1" t="s">
        <v>35</v>
      </c>
      <c r="O25" s="2" t="s">
        <v>64</v>
      </c>
      <c r="P25" s="5">
        <f t="shared" si="7"/>
        <v>1</v>
      </c>
      <c r="Q25" s="5">
        <f t="shared" si="8"/>
        <v>2</v>
      </c>
      <c r="R25" s="5">
        <f t="shared" si="9"/>
        <v>3</v>
      </c>
      <c r="S25" s="5" t="e">
        <f t="shared" si="10"/>
        <v>#N/A</v>
      </c>
      <c r="T25" s="5" t="e">
        <f t="shared" si="11"/>
        <v>#N/A</v>
      </c>
      <c r="U25" s="5" t="e">
        <f t="shared" si="12"/>
        <v>#N/A</v>
      </c>
    </row>
    <row r="26" spans="2:21" ht="13.2" customHeight="1" x14ac:dyDescent="0.35">
      <c r="B26" s="54"/>
      <c r="C26" s="34" t="s">
        <v>44</v>
      </c>
      <c r="D26" s="35" t="s">
        <v>74</v>
      </c>
      <c r="E26" s="48">
        <v>0.125</v>
      </c>
      <c r="F26" s="47">
        <v>0.18099999999999999</v>
      </c>
      <c r="G26" s="48">
        <v>0.19600000000000001</v>
      </c>
      <c r="H26" s="48"/>
      <c r="I26" s="47"/>
      <c r="J26" s="48"/>
      <c r="L26" s="1" t="s">
        <v>35</v>
      </c>
      <c r="O26" s="2" t="s">
        <v>65</v>
      </c>
      <c r="P26" s="5">
        <f t="shared" si="7"/>
        <v>1</v>
      </c>
      <c r="Q26" s="5">
        <f t="shared" si="8"/>
        <v>2</v>
      </c>
      <c r="R26" s="5">
        <f t="shared" si="9"/>
        <v>3</v>
      </c>
      <c r="S26" s="5" t="e">
        <f t="shared" si="10"/>
        <v>#N/A</v>
      </c>
      <c r="T26" s="5" t="e">
        <f t="shared" si="11"/>
        <v>#N/A</v>
      </c>
      <c r="U26" s="5" t="e">
        <f t="shared" si="12"/>
        <v>#N/A</v>
      </c>
    </row>
    <row r="27" spans="2:21" ht="13.2" customHeight="1" x14ac:dyDescent="0.35">
      <c r="B27" s="54"/>
      <c r="C27" s="34" t="s">
        <v>44</v>
      </c>
      <c r="D27" s="35" t="s">
        <v>9</v>
      </c>
      <c r="E27" s="47">
        <v>0.53400000000000003</v>
      </c>
      <c r="F27" s="47">
        <v>0.34699999999999998</v>
      </c>
      <c r="G27" s="48">
        <v>0.34300000000000003</v>
      </c>
      <c r="H27" s="47"/>
      <c r="I27" s="47"/>
      <c r="J27" s="48"/>
      <c r="L27" s="1" t="s">
        <v>35</v>
      </c>
      <c r="O27" s="2" t="s">
        <v>64</v>
      </c>
      <c r="P27" s="5">
        <f t="shared" si="7"/>
        <v>1</v>
      </c>
      <c r="Q27" s="5">
        <f t="shared" si="8"/>
        <v>2</v>
      </c>
      <c r="R27" s="5">
        <f t="shared" si="9"/>
        <v>3</v>
      </c>
      <c r="S27" s="5" t="e">
        <f t="shared" si="10"/>
        <v>#N/A</v>
      </c>
      <c r="T27" s="5" t="e">
        <f t="shared" si="11"/>
        <v>#N/A</v>
      </c>
      <c r="U27" s="5" t="e">
        <f t="shared" si="12"/>
        <v>#N/A</v>
      </c>
    </row>
    <row r="28" spans="2:21" ht="4.5" customHeight="1" x14ac:dyDescent="0.35">
      <c r="B28" s="36"/>
      <c r="C28" s="36"/>
      <c r="D28" s="42"/>
      <c r="E28" s="44"/>
      <c r="F28" s="44"/>
      <c r="G28" s="44"/>
      <c r="H28" s="44"/>
      <c r="I28" s="44"/>
      <c r="J28" s="44"/>
      <c r="P28" s="5"/>
      <c r="Q28" s="5"/>
      <c r="R28" s="5"/>
      <c r="S28" s="5"/>
      <c r="T28" s="5"/>
      <c r="U28" s="5"/>
    </row>
    <row r="29" spans="2:21" ht="15" customHeight="1" x14ac:dyDescent="0.35">
      <c r="B29" s="8"/>
      <c r="C29" s="8" t="s">
        <v>6</v>
      </c>
      <c r="D29" s="9" t="s">
        <v>55</v>
      </c>
      <c r="E29" s="41" t="str">
        <f t="shared" ref="E29:J29" si="13">E3</f>
        <v>Austin</v>
      </c>
      <c r="F29" s="41" t="str">
        <f t="shared" si="13"/>
        <v>Dallas</v>
      </c>
      <c r="G29" s="41" t="str">
        <f t="shared" si="13"/>
        <v>Houston</v>
      </c>
      <c r="H29" s="41" t="str">
        <f t="shared" si="13"/>
        <v>Other</v>
      </c>
      <c r="I29" s="10" t="str">
        <f t="shared" si="13"/>
        <v>Other</v>
      </c>
      <c r="J29" s="10" t="str">
        <f t="shared" si="13"/>
        <v>Other</v>
      </c>
      <c r="L29" s="11" t="s">
        <v>27</v>
      </c>
      <c r="P29" s="5"/>
      <c r="Q29" s="5"/>
      <c r="R29" s="5"/>
      <c r="S29" s="5"/>
      <c r="T29" s="5"/>
      <c r="U29" s="5"/>
    </row>
    <row r="30" spans="2:21" ht="13.2" customHeight="1" x14ac:dyDescent="0.35">
      <c r="B30" s="55" t="s">
        <v>30</v>
      </c>
      <c r="C30" s="34" t="s">
        <v>29</v>
      </c>
      <c r="D30" s="35" t="s">
        <v>75</v>
      </c>
      <c r="E30" s="50">
        <v>1651</v>
      </c>
      <c r="F30" s="50">
        <v>1330</v>
      </c>
      <c r="G30" s="50">
        <v>1221</v>
      </c>
      <c r="H30" s="50"/>
      <c r="I30" s="49"/>
      <c r="J30" s="49"/>
      <c r="L30" s="1" t="s">
        <v>45</v>
      </c>
      <c r="O30" s="2" t="s">
        <v>65</v>
      </c>
      <c r="P30" s="5">
        <f t="shared" si="7"/>
        <v>3</v>
      </c>
      <c r="Q30" s="5">
        <f t="shared" si="8"/>
        <v>2</v>
      </c>
      <c r="R30" s="5">
        <f t="shared" si="9"/>
        <v>1</v>
      </c>
      <c r="S30" s="5" t="e">
        <f t="shared" si="10"/>
        <v>#N/A</v>
      </c>
      <c r="T30" s="5" t="e">
        <f t="shared" si="11"/>
        <v>#N/A</v>
      </c>
      <c r="U30" s="5" t="e">
        <f t="shared" si="12"/>
        <v>#N/A</v>
      </c>
    </row>
    <row r="31" spans="2:21" ht="13.2" customHeight="1" x14ac:dyDescent="0.35">
      <c r="B31" s="55"/>
      <c r="C31" s="34" t="s">
        <v>29</v>
      </c>
      <c r="D31" s="35" t="s">
        <v>25</v>
      </c>
      <c r="E31" s="47">
        <v>0.19205776173285205</v>
      </c>
      <c r="F31" s="47">
        <v>0.17387466902030013</v>
      </c>
      <c r="G31" s="47">
        <v>0.10099188458070341</v>
      </c>
      <c r="H31" s="47"/>
      <c r="I31" s="47"/>
      <c r="J31" s="47"/>
      <c r="L31" s="1" t="s">
        <v>45</v>
      </c>
      <c r="O31" s="2" t="s">
        <v>64</v>
      </c>
      <c r="P31" s="5">
        <f t="shared" si="7"/>
        <v>1</v>
      </c>
      <c r="Q31" s="5">
        <f t="shared" si="8"/>
        <v>2</v>
      </c>
      <c r="R31" s="5">
        <f t="shared" si="9"/>
        <v>3</v>
      </c>
      <c r="S31" s="5" t="e">
        <f t="shared" si="10"/>
        <v>#N/A</v>
      </c>
      <c r="T31" s="5" t="e">
        <f t="shared" si="11"/>
        <v>#N/A</v>
      </c>
      <c r="U31" s="5" t="e">
        <f t="shared" si="12"/>
        <v>#N/A</v>
      </c>
    </row>
    <row r="32" spans="2:21" ht="13.2" customHeight="1" x14ac:dyDescent="0.35">
      <c r="B32" s="55"/>
      <c r="C32" s="34" t="s">
        <v>29</v>
      </c>
      <c r="D32" s="35" t="s">
        <v>26</v>
      </c>
      <c r="E32" s="47">
        <v>0.25838414634146334</v>
      </c>
      <c r="F32" s="47">
        <v>0.2068965517241379</v>
      </c>
      <c r="G32" s="47">
        <v>0.1019855595667869</v>
      </c>
      <c r="H32" s="47"/>
      <c r="I32" s="47"/>
      <c r="J32" s="47"/>
      <c r="L32" s="1" t="s">
        <v>45</v>
      </c>
      <c r="O32" s="2" t="s">
        <v>64</v>
      </c>
      <c r="P32" s="5">
        <f t="shared" si="7"/>
        <v>1</v>
      </c>
      <c r="Q32" s="5">
        <f t="shared" si="8"/>
        <v>2</v>
      </c>
      <c r="R32" s="5">
        <f t="shared" si="9"/>
        <v>3</v>
      </c>
      <c r="S32" s="5" t="e">
        <f t="shared" si="10"/>
        <v>#N/A</v>
      </c>
      <c r="T32" s="5" t="e">
        <f t="shared" si="11"/>
        <v>#N/A</v>
      </c>
      <c r="U32" s="5" t="e">
        <f t="shared" si="12"/>
        <v>#N/A</v>
      </c>
    </row>
    <row r="33" spans="2:21" ht="13.2" customHeight="1" x14ac:dyDescent="0.35">
      <c r="B33" s="55"/>
      <c r="C33" s="34" t="s">
        <v>29</v>
      </c>
      <c r="D33" s="35" t="s">
        <v>7</v>
      </c>
      <c r="E33" s="47">
        <v>0.32397754611066554</v>
      </c>
      <c r="F33" s="47">
        <v>0.22693726937269365</v>
      </c>
      <c r="G33" s="47">
        <v>0.12742382271468133</v>
      </c>
      <c r="H33" s="47"/>
      <c r="I33" s="47"/>
      <c r="J33" s="47"/>
      <c r="L33" s="1" t="s">
        <v>45</v>
      </c>
      <c r="O33" s="2" t="s">
        <v>64</v>
      </c>
      <c r="P33" s="5">
        <f t="shared" si="7"/>
        <v>1</v>
      </c>
      <c r="Q33" s="5">
        <f t="shared" si="8"/>
        <v>2</v>
      </c>
      <c r="R33" s="5">
        <f t="shared" si="9"/>
        <v>3</v>
      </c>
      <c r="S33" s="5" t="e">
        <f t="shared" si="10"/>
        <v>#N/A</v>
      </c>
      <c r="T33" s="5" t="e">
        <f t="shared" si="11"/>
        <v>#N/A</v>
      </c>
      <c r="U33" s="5" t="e">
        <f t="shared" si="12"/>
        <v>#N/A</v>
      </c>
    </row>
    <row r="34" spans="2:21" ht="13.2" customHeight="1" x14ac:dyDescent="0.35">
      <c r="B34" s="55"/>
      <c r="C34" s="34" t="s">
        <v>29</v>
      </c>
      <c r="D34" s="35" t="s">
        <v>70</v>
      </c>
      <c r="E34" s="47">
        <v>5.9400000000000001E-2</v>
      </c>
      <c r="F34" s="47">
        <v>5.5300000000000002E-2</v>
      </c>
      <c r="G34" s="47">
        <v>6.2173773088598797E-2</v>
      </c>
      <c r="H34" s="47"/>
      <c r="I34" s="47"/>
      <c r="J34" s="47"/>
      <c r="L34" s="1" t="s">
        <v>45</v>
      </c>
      <c r="O34" s="2" t="s">
        <v>65</v>
      </c>
      <c r="P34" s="5">
        <f t="shared" si="7"/>
        <v>2</v>
      </c>
      <c r="Q34" s="5">
        <f t="shared" si="8"/>
        <v>1</v>
      </c>
      <c r="R34" s="5">
        <f t="shared" si="9"/>
        <v>3</v>
      </c>
      <c r="S34" s="5" t="e">
        <f t="shared" si="10"/>
        <v>#N/A</v>
      </c>
      <c r="T34" s="5" t="e">
        <f t="shared" si="11"/>
        <v>#N/A</v>
      </c>
      <c r="U34" s="5" t="e">
        <f t="shared" si="12"/>
        <v>#N/A</v>
      </c>
    </row>
    <row r="35" spans="2:21" ht="13.2" customHeight="1" x14ac:dyDescent="0.35">
      <c r="B35" s="55"/>
      <c r="C35" s="34" t="s">
        <v>29</v>
      </c>
      <c r="D35" s="35" t="s">
        <v>69</v>
      </c>
      <c r="E35" s="47">
        <v>6.7699999999999996E-2</v>
      </c>
      <c r="F35" s="47">
        <v>7.1499999999999994E-2</v>
      </c>
      <c r="G35" s="47">
        <v>7.9500000000000001E-2</v>
      </c>
      <c r="H35" s="47"/>
      <c r="I35" s="47"/>
      <c r="J35" s="47"/>
      <c r="L35" s="1" t="s">
        <v>45</v>
      </c>
      <c r="P35" s="5"/>
      <c r="Q35" s="5"/>
      <c r="R35" s="5"/>
      <c r="S35" s="5"/>
      <c r="T35" s="5"/>
      <c r="U35" s="5"/>
    </row>
    <row r="36" spans="2:21" ht="13.2" customHeight="1" x14ac:dyDescent="0.35">
      <c r="B36" s="55"/>
      <c r="C36" s="34" t="s">
        <v>29</v>
      </c>
      <c r="D36" s="35" t="s">
        <v>71</v>
      </c>
      <c r="E36" s="47">
        <v>7.1400000000000005E-2</v>
      </c>
      <c r="F36" s="47">
        <v>7.5499999999999998E-2</v>
      </c>
      <c r="G36" s="47">
        <v>8.4599999999999995E-2</v>
      </c>
      <c r="H36" s="47"/>
      <c r="I36" s="47"/>
      <c r="J36" s="47"/>
      <c r="L36" s="1" t="s">
        <v>45</v>
      </c>
      <c r="O36" s="2" t="s">
        <v>65</v>
      </c>
      <c r="P36" s="5">
        <f t="shared" si="7"/>
        <v>1</v>
      </c>
      <c r="Q36" s="5">
        <f t="shared" si="8"/>
        <v>2</v>
      </c>
      <c r="R36" s="5">
        <f t="shared" si="9"/>
        <v>3</v>
      </c>
      <c r="S36" s="5" t="e">
        <f t="shared" si="10"/>
        <v>#N/A</v>
      </c>
      <c r="T36" s="5" t="e">
        <f t="shared" si="11"/>
        <v>#N/A</v>
      </c>
      <c r="U36" s="5" t="e">
        <f t="shared" si="12"/>
        <v>#N/A</v>
      </c>
    </row>
    <row r="37" spans="2:21" ht="13.2" customHeight="1" x14ac:dyDescent="0.35">
      <c r="B37" s="55"/>
      <c r="C37" s="39" t="s">
        <v>12</v>
      </c>
      <c r="D37" s="40" t="s">
        <v>77</v>
      </c>
      <c r="E37" s="27">
        <f>E25/12/E30</f>
        <v>3.8235412881082174</v>
      </c>
      <c r="F37" s="27">
        <f>F25/12/F30</f>
        <v>3.4302631578947369</v>
      </c>
      <c r="G37" s="27">
        <f>G25/12/G30</f>
        <v>3.6582036582036586</v>
      </c>
      <c r="H37" s="27"/>
      <c r="I37" s="27"/>
      <c r="J37" s="27"/>
      <c r="L37" s="18" t="s">
        <v>8</v>
      </c>
      <c r="O37" s="2" t="s">
        <v>64</v>
      </c>
      <c r="P37" s="5">
        <f t="shared" si="7"/>
        <v>1</v>
      </c>
      <c r="Q37" s="5">
        <f t="shared" si="8"/>
        <v>3</v>
      </c>
      <c r="R37" s="5">
        <f t="shared" si="9"/>
        <v>2</v>
      </c>
      <c r="S37" s="5" t="e">
        <f t="shared" si="10"/>
        <v>#N/A</v>
      </c>
      <c r="T37" s="5" t="e">
        <f t="shared" si="11"/>
        <v>#N/A</v>
      </c>
      <c r="U37" s="5" t="e">
        <f t="shared" si="12"/>
        <v>#N/A</v>
      </c>
    </row>
    <row r="38" spans="2:21" ht="13.2" customHeight="1" x14ac:dyDescent="0.35">
      <c r="B38" s="55"/>
      <c r="C38" s="39" t="s">
        <v>12</v>
      </c>
      <c r="D38" s="40" t="s">
        <v>76</v>
      </c>
      <c r="E38" s="26">
        <v>681389</v>
      </c>
      <c r="F38" s="26">
        <v>321569</v>
      </c>
      <c r="G38" s="26">
        <v>261791</v>
      </c>
      <c r="H38" s="26"/>
      <c r="I38" s="26"/>
      <c r="J38" s="26"/>
      <c r="L38" s="1" t="s">
        <v>47</v>
      </c>
      <c r="O38" s="2" t="s">
        <v>64</v>
      </c>
      <c r="P38" s="5">
        <f t="shared" si="7"/>
        <v>1</v>
      </c>
      <c r="Q38" s="5">
        <f t="shared" si="8"/>
        <v>2</v>
      </c>
      <c r="R38" s="5">
        <f t="shared" si="9"/>
        <v>3</v>
      </c>
      <c r="S38" s="5" t="e">
        <f t="shared" si="10"/>
        <v>#N/A</v>
      </c>
      <c r="T38" s="5" t="e">
        <f t="shared" si="11"/>
        <v>#N/A</v>
      </c>
      <c r="U38" s="5" t="e">
        <f t="shared" si="12"/>
        <v>#N/A</v>
      </c>
    </row>
    <row r="39" spans="2:21" ht="13.2" customHeight="1" x14ac:dyDescent="0.35">
      <c r="B39" s="55"/>
      <c r="C39" s="39" t="s">
        <v>12</v>
      </c>
      <c r="D39" s="40" t="s">
        <v>52</v>
      </c>
      <c r="E39" s="26">
        <f>PMT(5.5%/12,360,-E38*0.95,,)+809</f>
        <v>4484.4092084689128</v>
      </c>
      <c r="F39" s="26">
        <f>PMT(5.5%/12,360,-F38*0.95,,)+579</f>
        <v>2313.5417430544667</v>
      </c>
      <c r="G39" s="26">
        <f>PMT(5.5%/12,360,-G38*0.95,,)+541</f>
        <v>1953.0994792905155</v>
      </c>
      <c r="H39" s="26"/>
      <c r="I39" s="26"/>
      <c r="J39" s="26"/>
      <c r="L39" s="18" t="s">
        <v>56</v>
      </c>
      <c r="O39" s="2" t="s">
        <v>64</v>
      </c>
      <c r="P39" s="5">
        <f t="shared" si="7"/>
        <v>1</v>
      </c>
      <c r="Q39" s="5">
        <f t="shared" si="8"/>
        <v>2</v>
      </c>
      <c r="R39" s="5">
        <f t="shared" si="9"/>
        <v>3</v>
      </c>
      <c r="S39" s="5" t="e">
        <f t="shared" si="10"/>
        <v>#N/A</v>
      </c>
      <c r="T39" s="5" t="e">
        <f t="shared" si="11"/>
        <v>#N/A</v>
      </c>
      <c r="U39" s="5" t="e">
        <f t="shared" si="12"/>
        <v>#N/A</v>
      </c>
    </row>
    <row r="40" spans="2:21" ht="13.2" customHeight="1" x14ac:dyDescent="0.35">
      <c r="B40" s="55"/>
      <c r="C40" s="39" t="s">
        <v>12</v>
      </c>
      <c r="D40" s="40" t="s">
        <v>80</v>
      </c>
      <c r="E40" s="22">
        <f>E39/E30-1</f>
        <v>1.7161775944693596</v>
      </c>
      <c r="F40" s="22">
        <f>F39/F30-1</f>
        <v>0.73950506996576437</v>
      </c>
      <c r="G40" s="22">
        <f>G39/G30-1</f>
        <v>0.59959007312900536</v>
      </c>
      <c r="H40" s="22"/>
      <c r="I40" s="22"/>
      <c r="J40" s="22"/>
      <c r="L40" s="18" t="s">
        <v>8</v>
      </c>
      <c r="O40" s="2" t="s">
        <v>64</v>
      </c>
      <c r="P40" s="5">
        <f t="shared" si="7"/>
        <v>1</v>
      </c>
      <c r="Q40" s="5">
        <f t="shared" si="8"/>
        <v>2</v>
      </c>
      <c r="R40" s="5">
        <f t="shared" si="9"/>
        <v>3</v>
      </c>
      <c r="S40" s="5" t="e">
        <f t="shared" si="10"/>
        <v>#N/A</v>
      </c>
      <c r="T40" s="5" t="e">
        <f t="shared" si="11"/>
        <v>#N/A</v>
      </c>
      <c r="U40" s="5" t="e">
        <f t="shared" si="12"/>
        <v>#N/A</v>
      </c>
    </row>
    <row r="41" spans="2:21" ht="13.2" customHeight="1" x14ac:dyDescent="0.35">
      <c r="B41" s="55"/>
      <c r="C41" s="34" t="s">
        <v>32</v>
      </c>
      <c r="D41" s="35" t="s">
        <v>78</v>
      </c>
      <c r="E41" s="47">
        <v>0.45500000000000002</v>
      </c>
      <c r="F41" s="47">
        <v>0.41299999999999998</v>
      </c>
      <c r="G41" s="47">
        <v>0.42899999999999999</v>
      </c>
      <c r="H41" s="47"/>
      <c r="I41" s="47"/>
      <c r="J41" s="47"/>
      <c r="L41" s="1" t="s">
        <v>35</v>
      </c>
      <c r="O41" s="2" t="s">
        <v>65</v>
      </c>
      <c r="P41" s="5">
        <f t="shared" si="7"/>
        <v>3</v>
      </c>
      <c r="Q41" s="5">
        <f t="shared" si="8"/>
        <v>1</v>
      </c>
      <c r="R41" s="5">
        <f t="shared" si="9"/>
        <v>2</v>
      </c>
      <c r="S41" s="5" t="e">
        <f t="shared" si="10"/>
        <v>#N/A</v>
      </c>
      <c r="T41" s="5" t="e">
        <f t="shared" si="11"/>
        <v>#N/A</v>
      </c>
      <c r="U41" s="5" t="e">
        <f t="shared" si="12"/>
        <v>#N/A</v>
      </c>
    </row>
    <row r="42" spans="2:21" ht="13.2" customHeight="1" x14ac:dyDescent="0.35">
      <c r="B42" s="55"/>
      <c r="C42" s="34" t="s">
        <v>32</v>
      </c>
      <c r="D42" s="35" t="s">
        <v>84</v>
      </c>
      <c r="E42" s="51">
        <v>996723</v>
      </c>
      <c r="F42" s="51">
        <v>3020245</v>
      </c>
      <c r="G42" s="51">
        <v>2823913</v>
      </c>
      <c r="H42" s="51"/>
      <c r="I42" s="51"/>
      <c r="J42" s="51"/>
      <c r="L42" s="1" t="s">
        <v>54</v>
      </c>
      <c r="O42" s="2" t="s">
        <v>65</v>
      </c>
      <c r="P42" s="5">
        <f t="shared" si="7"/>
        <v>1</v>
      </c>
      <c r="Q42" s="5">
        <f t="shared" si="8"/>
        <v>3</v>
      </c>
      <c r="R42" s="5">
        <f t="shared" si="9"/>
        <v>2</v>
      </c>
      <c r="S42" s="5" t="e">
        <f t="shared" si="10"/>
        <v>#N/A</v>
      </c>
      <c r="T42" s="5" t="e">
        <f t="shared" si="11"/>
        <v>#N/A</v>
      </c>
      <c r="U42" s="5" t="e">
        <f t="shared" si="12"/>
        <v>#N/A</v>
      </c>
    </row>
    <row r="43" spans="2:21" ht="13.2" customHeight="1" x14ac:dyDescent="0.35">
      <c r="B43" s="55"/>
      <c r="C43" s="34" t="s">
        <v>32</v>
      </c>
      <c r="D43" s="35" t="s">
        <v>46</v>
      </c>
      <c r="E43" s="51">
        <v>24486</v>
      </c>
      <c r="F43" s="51">
        <v>51996</v>
      </c>
      <c r="G43" s="51">
        <v>52719</v>
      </c>
      <c r="H43" s="51"/>
      <c r="I43" s="51"/>
      <c r="J43" s="51"/>
      <c r="L43" s="1" t="s">
        <v>11</v>
      </c>
      <c r="O43" s="2" t="s">
        <v>65</v>
      </c>
      <c r="P43" s="5">
        <f t="shared" si="7"/>
        <v>1</v>
      </c>
      <c r="Q43" s="5">
        <f t="shared" si="8"/>
        <v>2</v>
      </c>
      <c r="R43" s="5">
        <f t="shared" si="9"/>
        <v>3</v>
      </c>
      <c r="S43" s="5" t="e">
        <f t="shared" si="10"/>
        <v>#N/A</v>
      </c>
      <c r="T43" s="5" t="e">
        <f t="shared" si="11"/>
        <v>#N/A</v>
      </c>
      <c r="U43" s="5" t="e">
        <f t="shared" si="12"/>
        <v>#N/A</v>
      </c>
    </row>
    <row r="44" spans="2:21" ht="13.2" customHeight="1" x14ac:dyDescent="0.35">
      <c r="B44" s="55"/>
      <c r="C44" s="34" t="s">
        <v>32</v>
      </c>
      <c r="D44" s="35" t="s">
        <v>53</v>
      </c>
      <c r="E44" s="47">
        <f>E43/E42</f>
        <v>2.4566504435033606E-2</v>
      </c>
      <c r="F44" s="47">
        <f>F43/F42</f>
        <v>1.7215821895243597E-2</v>
      </c>
      <c r="G44" s="47">
        <f>G43/G42</f>
        <v>1.8668776268957295E-2</v>
      </c>
      <c r="H44" s="47"/>
      <c r="I44" s="47"/>
      <c r="J44" s="47"/>
      <c r="L44" s="18" t="s">
        <v>8</v>
      </c>
      <c r="O44" s="2" t="s">
        <v>65</v>
      </c>
      <c r="P44" s="5">
        <f t="shared" si="7"/>
        <v>3</v>
      </c>
      <c r="Q44" s="5">
        <f t="shared" si="8"/>
        <v>1</v>
      </c>
      <c r="R44" s="5">
        <f t="shared" si="9"/>
        <v>2</v>
      </c>
      <c r="S44" s="5" t="e">
        <f t="shared" si="10"/>
        <v>#N/A</v>
      </c>
      <c r="T44" s="5" t="e">
        <f t="shared" si="11"/>
        <v>#N/A</v>
      </c>
      <c r="U44" s="5" t="e">
        <f t="shared" si="12"/>
        <v>#N/A</v>
      </c>
    </row>
    <row r="45" spans="2:21" ht="13.2" customHeight="1" x14ac:dyDescent="0.35">
      <c r="B45" s="55"/>
      <c r="C45" s="39" t="s">
        <v>31</v>
      </c>
      <c r="D45" s="40" t="s">
        <v>62</v>
      </c>
      <c r="E45" s="28">
        <v>25642</v>
      </c>
      <c r="F45" s="28">
        <v>25241</v>
      </c>
      <c r="G45" s="28">
        <v>15648</v>
      </c>
      <c r="H45" s="28"/>
      <c r="I45" s="28"/>
      <c r="J45" s="28"/>
      <c r="L45" s="1" t="s">
        <v>11</v>
      </c>
      <c r="O45" s="2" t="s">
        <v>65</v>
      </c>
      <c r="P45" s="5">
        <f t="shared" si="7"/>
        <v>3</v>
      </c>
      <c r="Q45" s="5">
        <f t="shared" si="8"/>
        <v>2</v>
      </c>
      <c r="R45" s="5">
        <f t="shared" si="9"/>
        <v>1</v>
      </c>
      <c r="S45" s="5" t="e">
        <f t="shared" si="10"/>
        <v>#N/A</v>
      </c>
      <c r="T45" s="5" t="e">
        <f t="shared" si="11"/>
        <v>#N/A</v>
      </c>
      <c r="U45" s="5" t="e">
        <f t="shared" si="12"/>
        <v>#N/A</v>
      </c>
    </row>
    <row r="46" spans="2:21" ht="13.2" customHeight="1" x14ac:dyDescent="0.35">
      <c r="B46" s="55"/>
      <c r="C46" s="39" t="s">
        <v>31</v>
      </c>
      <c r="D46" s="40" t="s">
        <v>48</v>
      </c>
      <c r="E46" s="22">
        <f>E45/E42</f>
        <v>2.5726305101818659E-2</v>
      </c>
      <c r="F46" s="22">
        <f>F45/F42</f>
        <v>8.3572690294992629E-3</v>
      </c>
      <c r="G46" s="22">
        <f>G45/G42</f>
        <v>5.5412471984795566E-3</v>
      </c>
      <c r="H46" s="22"/>
      <c r="I46" s="22"/>
      <c r="J46" s="22"/>
      <c r="L46" s="18" t="s">
        <v>8</v>
      </c>
      <c r="O46" s="2" t="s">
        <v>65</v>
      </c>
      <c r="P46" s="5">
        <f t="shared" si="7"/>
        <v>3</v>
      </c>
      <c r="Q46" s="5">
        <f t="shared" si="8"/>
        <v>2</v>
      </c>
      <c r="R46" s="5">
        <f t="shared" si="9"/>
        <v>1</v>
      </c>
      <c r="S46" s="5" t="e">
        <f t="shared" si="10"/>
        <v>#N/A</v>
      </c>
      <c r="T46" s="5" t="e">
        <f t="shared" si="11"/>
        <v>#N/A</v>
      </c>
      <c r="U46" s="5" t="e">
        <f t="shared" si="12"/>
        <v>#N/A</v>
      </c>
    </row>
    <row r="47" spans="2:21" ht="13.2" customHeight="1" x14ac:dyDescent="0.35">
      <c r="B47" s="55"/>
      <c r="C47" s="34" t="s">
        <v>33</v>
      </c>
      <c r="D47" s="35" t="s">
        <v>79</v>
      </c>
      <c r="E47" s="51">
        <v>227346</v>
      </c>
      <c r="F47" s="51">
        <v>735657</v>
      </c>
      <c r="G47" s="51">
        <v>662662</v>
      </c>
      <c r="H47" s="51"/>
      <c r="I47" s="51"/>
      <c r="J47" s="51"/>
      <c r="L47" s="1" t="s">
        <v>28</v>
      </c>
      <c r="O47" s="2" t="s">
        <v>65</v>
      </c>
      <c r="P47" s="5">
        <f t="shared" si="7"/>
        <v>1</v>
      </c>
      <c r="Q47" s="5">
        <f t="shared" si="8"/>
        <v>3</v>
      </c>
      <c r="R47" s="5">
        <f t="shared" si="9"/>
        <v>2</v>
      </c>
      <c r="S47" s="5" t="e">
        <f t="shared" si="10"/>
        <v>#N/A</v>
      </c>
      <c r="T47" s="5" t="e">
        <f t="shared" si="11"/>
        <v>#N/A</v>
      </c>
      <c r="U47" s="5" t="e">
        <f t="shared" si="12"/>
        <v>#N/A</v>
      </c>
    </row>
    <row r="48" spans="2:21" ht="13.2" customHeight="1" x14ac:dyDescent="0.35">
      <c r="B48" s="55"/>
      <c r="C48" s="34" t="s">
        <v>33</v>
      </c>
      <c r="D48" s="35" t="s">
        <v>82</v>
      </c>
      <c r="E48" s="47">
        <v>0.10009999999999999</v>
      </c>
      <c r="F48" s="47">
        <v>9.8000000000000004E-2</v>
      </c>
      <c r="G48" s="47">
        <v>9.4899999999999998E-2</v>
      </c>
      <c r="H48" s="47"/>
      <c r="I48" s="47"/>
      <c r="J48" s="47"/>
      <c r="L48" s="18" t="s">
        <v>83</v>
      </c>
      <c r="O48" s="2" t="s">
        <v>65</v>
      </c>
      <c r="P48" s="5">
        <f t="shared" si="7"/>
        <v>3</v>
      </c>
      <c r="Q48" s="5">
        <f t="shared" si="8"/>
        <v>2</v>
      </c>
      <c r="R48" s="5">
        <f t="shared" si="9"/>
        <v>1</v>
      </c>
      <c r="S48" s="5" t="e">
        <f t="shared" si="10"/>
        <v>#N/A</v>
      </c>
      <c r="T48" s="5" t="e">
        <f t="shared" si="11"/>
        <v>#N/A</v>
      </c>
      <c r="U48" s="5" t="e">
        <f t="shared" si="12"/>
        <v>#N/A</v>
      </c>
    </row>
    <row r="49" spans="2:21" ht="13.2" customHeight="1" x14ac:dyDescent="0.35">
      <c r="B49" s="55"/>
      <c r="C49" s="34" t="s">
        <v>33</v>
      </c>
      <c r="D49" s="35" t="s">
        <v>85</v>
      </c>
      <c r="E49" s="47">
        <f>E47/E42</f>
        <v>0.22809346227587804</v>
      </c>
      <c r="F49" s="47">
        <f>F47/F42</f>
        <v>0.24357527286693628</v>
      </c>
      <c r="G49" s="47">
        <f>G47/G42</f>
        <v>0.23466091200401712</v>
      </c>
      <c r="H49" s="47"/>
      <c r="I49" s="47"/>
      <c r="J49" s="47"/>
      <c r="L49" s="18" t="s">
        <v>8</v>
      </c>
      <c r="O49" s="2" t="s">
        <v>65</v>
      </c>
      <c r="P49" s="5">
        <f t="shared" si="7"/>
        <v>1</v>
      </c>
      <c r="Q49" s="5">
        <f t="shared" si="8"/>
        <v>3</v>
      </c>
      <c r="R49" s="5">
        <f t="shared" si="9"/>
        <v>2</v>
      </c>
      <c r="S49" s="5" t="e">
        <f t="shared" si="10"/>
        <v>#N/A</v>
      </c>
      <c r="T49" s="5" t="e">
        <f t="shared" si="11"/>
        <v>#N/A</v>
      </c>
      <c r="U49" s="5" t="e">
        <f t="shared" si="12"/>
        <v>#N/A</v>
      </c>
    </row>
    <row r="50" spans="2:21" ht="13.2" customHeight="1" x14ac:dyDescent="0.35">
      <c r="C50" s="36"/>
      <c r="D50" s="42"/>
      <c r="E50" s="43"/>
      <c r="F50" s="43"/>
      <c r="G50" s="43"/>
      <c r="H50" s="43"/>
      <c r="I50" s="43"/>
      <c r="J50" s="43"/>
    </row>
    <row r="51" spans="2:21" ht="13.2" customHeight="1" x14ac:dyDescent="0.35">
      <c r="C51" s="29" t="s">
        <v>66</v>
      </c>
      <c r="D51" s="30"/>
      <c r="E51" s="31">
        <f>IFERROR(SUM(P4:P49),"")</f>
        <v>62</v>
      </c>
      <c r="F51" s="31">
        <f t="shared" ref="F51:J51" si="14">IFERROR(SUM(Q4:Q49),"")</f>
        <v>88</v>
      </c>
      <c r="G51" s="31">
        <f t="shared" si="14"/>
        <v>104</v>
      </c>
      <c r="H51" s="31" t="str">
        <f t="shared" si="14"/>
        <v/>
      </c>
      <c r="I51" s="31" t="str">
        <f t="shared" si="14"/>
        <v/>
      </c>
      <c r="J51" s="31" t="str">
        <f t="shared" si="14"/>
        <v/>
      </c>
    </row>
  </sheetData>
  <mergeCells count="2">
    <mergeCell ref="B4:B27"/>
    <mergeCell ref="B30:B49"/>
  </mergeCells>
  <phoneticPr fontId="7" type="noConversion"/>
  <conditionalFormatting sqref="E4:G4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G5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G6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G7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G8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G9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G1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G11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G12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G13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G1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G15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6:G16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:G17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8:G18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G19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G20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G21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G22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:G23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G24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:G25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G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7:G27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:G30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1:G31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:G3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G3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:G3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5:G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6:G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G37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G38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9:G39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0:G4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:G41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2:G42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:G4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:G4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5:G4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6:G4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:G4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G48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9:G49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J4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J5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J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J7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J8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J9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J10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J11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J12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J13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J14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J1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6:J16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:J17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8:J18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J19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J20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J2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J22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:J2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J2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:J25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J2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7:J27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:J30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1:J3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:J3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J33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:J3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5:J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6:J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J3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J3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9:J3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0:J4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:J4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2:J4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:J4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:J4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5:J4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6:J4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:J4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J4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9:J4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J4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J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J6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J7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:J8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:J9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:J10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:J11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J12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:J13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:J14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:J15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:J16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:J17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:J18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:J19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:J20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J21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:J2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3:J2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J2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5:J2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:J2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7:J2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0:J30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1:J31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J32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J33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:J3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5:J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6:J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7:J37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J38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J3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:J40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1:J41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2:J42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:J4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4:J4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5:J4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:J4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:J4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8:J48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9:J4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L47" r:id="rId1" xr:uid="{790B4319-81FA-41A0-9161-4F3566E9C335}"/>
    <hyperlink ref="L27" r:id="rId2" xr:uid="{8A7F1150-6FA2-47A5-A19E-79D9A972BA9C}"/>
    <hyperlink ref="L4" r:id="rId3" xr:uid="{3B3E9963-BA06-40EC-B7E1-96F838888510}"/>
    <hyperlink ref="L41" r:id="rId4" xr:uid="{09C38B01-0820-4DEC-A88A-4D79690B39DF}"/>
    <hyperlink ref="L14" r:id="rId5" xr:uid="{7071EB18-BBC8-44F2-881B-1478A74FB388}"/>
    <hyperlink ref="L15" r:id="rId6" xr:uid="{3758CC8A-7FBA-4B4B-88B8-4355E7B46D79}"/>
    <hyperlink ref="L16:L23" r:id="rId7" display="https://www.tacticares.com/labor-statistics-dashboard" xr:uid="{515202EC-25F9-4BDD-9046-219D0EE2DD94}"/>
    <hyperlink ref="L25" r:id="rId8" xr:uid="{D6E52AA0-0DAF-49D0-B501-2A7D319561C0}"/>
    <hyperlink ref="L26" r:id="rId9" xr:uid="{4B00AFEC-9968-48F6-B96E-14FFFD3D83F6}"/>
  </hyperlinks>
  <pageMargins left="0.7" right="0.7" top="0.75" bottom="0.75" header="0.3" footer="0.3"/>
  <pageSetup orientation="portrait" horizontalDpi="1200" verticalDpi="12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Author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Carillo</cp:lastModifiedBy>
  <dcterms:created xsi:type="dcterms:W3CDTF">2020-07-22T16:02:40Z</dcterms:created>
  <dcterms:modified xsi:type="dcterms:W3CDTF">2024-03-06T16:21:16Z</dcterms:modified>
</cp:coreProperties>
</file>