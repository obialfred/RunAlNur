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\Dropbox\Documents\Syndication Superstars LLC\Mentoring - Courses - Products\Mentoring\Mentoring Documents\Mentoring Documents - Client Ready\Full Document Library - CLIENT VIEWING LINK\Deal Sourcing and Analysis\Analysis\"/>
    </mc:Choice>
  </mc:AlternateContent>
  <xr:revisionPtr revIDLastSave="0" documentId="13_ncr:1_{70FF1D7E-A093-41EA-9256-B15FD20F36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uthor" sheetId="3" r:id="rId1"/>
    <sheet name="Analysis" sheetId="1" r:id="rId2"/>
    <sheet name="Deeper Analysis" sheetId="4" r:id="rId3"/>
  </sheets>
  <definedNames>
    <definedName name="_xlnm.Print_Area" localSheetId="1">Analysis!$B$2:$G$51</definedName>
  </definedNames>
  <calcPr calcId="191029"/>
</workbook>
</file>

<file path=xl/calcChain.xml><?xml version="1.0" encoding="utf-8"?>
<calcChain xmlns="http://schemas.openxmlformats.org/spreadsheetml/2006/main">
  <c r="G27" i="1" l="1"/>
  <c r="C13" i="1"/>
  <c r="D21" i="1"/>
  <c r="D22" i="1"/>
  <c r="D20" i="1"/>
  <c r="G26" i="1"/>
  <c r="C5" i="1" l="1"/>
  <c r="C4" i="1"/>
  <c r="D19" i="1"/>
  <c r="D30" i="1"/>
  <c r="D31" i="1"/>
  <c r="D32" i="1"/>
  <c r="D33" i="1"/>
  <c r="D34" i="1"/>
  <c r="D36" i="1"/>
  <c r="D37" i="1"/>
  <c r="D38" i="1"/>
  <c r="D28" i="1"/>
  <c r="D27" i="1"/>
  <c r="C23" i="1" l="1"/>
  <c r="D23" i="1" s="1"/>
  <c r="D24" i="1" l="1"/>
  <c r="G36" i="1"/>
  <c r="G20" i="1"/>
  <c r="G31" i="1"/>
  <c r="C24" i="1" l="1"/>
  <c r="C29" i="1" s="1"/>
  <c r="D29" i="1" s="1"/>
  <c r="C14" i="1"/>
  <c r="D43" i="1" s="1"/>
  <c r="G37" i="1"/>
  <c r="C12" i="1" l="1"/>
  <c r="G38" i="1"/>
  <c r="G39" i="1" s="1"/>
  <c r="C15" i="1" l="1"/>
  <c r="G32" i="1"/>
  <c r="G33" i="1" s="1"/>
  <c r="C35" i="1" l="1"/>
  <c r="D35" i="1" l="1"/>
  <c r="D39" i="1" s="1"/>
  <c r="D41" i="1" s="1"/>
  <c r="G45" i="1" s="1"/>
  <c r="G46" i="1" s="1"/>
  <c r="C39" i="1"/>
  <c r="D46" i="1" l="1"/>
  <c r="G42" i="1" s="1"/>
  <c r="G44" i="1"/>
  <c r="D40" i="1"/>
  <c r="G43" i="1" l="1"/>
  <c r="D44" i="1" l="1"/>
</calcChain>
</file>

<file path=xl/sharedStrings.xml><?xml version="1.0" encoding="utf-8"?>
<sst xmlns="http://schemas.openxmlformats.org/spreadsheetml/2006/main" count="94" uniqueCount="88">
  <si>
    <t>Price:</t>
  </si>
  <si>
    <t>Insurance</t>
  </si>
  <si>
    <t>Repairs</t>
  </si>
  <si>
    <t>Admin.</t>
  </si>
  <si>
    <t>Marketing</t>
  </si>
  <si>
    <t>Reserves</t>
  </si>
  <si>
    <t>Other</t>
  </si>
  <si>
    <t>Loan Amount:</t>
  </si>
  <si>
    <t>Total Revenue</t>
  </si>
  <si>
    <t>Parking</t>
  </si>
  <si>
    <t>Debt</t>
  </si>
  <si>
    <t>Property Taxes</t>
  </si>
  <si>
    <t>Total Expenses</t>
  </si>
  <si>
    <t>Cash Flow</t>
  </si>
  <si>
    <t>Current Taxes</t>
  </si>
  <si>
    <t>Future Taxes</t>
  </si>
  <si>
    <t>Revenue</t>
  </si>
  <si>
    <t>Expense</t>
  </si>
  <si>
    <t>Annual</t>
  </si>
  <si>
    <t>Capital Budget</t>
  </si>
  <si>
    <t>Item 5</t>
  </si>
  <si>
    <t>Item 6</t>
  </si>
  <si>
    <t>Item 7</t>
  </si>
  <si>
    <t>Item 8</t>
  </si>
  <si>
    <t>Item 9</t>
  </si>
  <si>
    <t>Item 10</t>
  </si>
  <si>
    <t>Operations</t>
  </si>
  <si>
    <t>Total Capital</t>
  </si>
  <si>
    <t>Pricing, Debt &amp; Equity</t>
  </si>
  <si>
    <t>CAPEX</t>
  </si>
  <si>
    <t>Total Cost Basis</t>
  </si>
  <si>
    <t>Return Metrics</t>
  </si>
  <si>
    <t>Bank</t>
  </si>
  <si>
    <t>Assessment Today:</t>
  </si>
  <si>
    <t>Annual Taxes Today:</t>
  </si>
  <si>
    <t>Tax Rate:</t>
  </si>
  <si>
    <t>Reassessment (% of Price):</t>
  </si>
  <si>
    <t>Future Assessment:</t>
  </si>
  <si>
    <t>Future Annual Tax:</t>
  </si>
  <si>
    <t>CAPEX:</t>
  </si>
  <si>
    <t>Loan Cost:</t>
  </si>
  <si>
    <t>Expense Ratio:</t>
  </si>
  <si>
    <t>Type:</t>
  </si>
  <si>
    <t>Interest Rate:</t>
  </si>
  <si>
    <t>Amortization:</t>
  </si>
  <si>
    <t>Loan Cost (% of Loan):</t>
  </si>
  <si>
    <t>Working Capital</t>
  </si>
  <si>
    <t>City/State:</t>
  </si>
  <si>
    <t>Address:</t>
  </si>
  <si>
    <t>General Property Info</t>
  </si>
  <si>
    <t>Units:</t>
  </si>
  <si>
    <t>Total Equity Required*</t>
  </si>
  <si>
    <t>*Includes Loan Cost</t>
  </si>
  <si>
    <t>Debt Service Coverage Ratio:</t>
  </si>
  <si>
    <t>Please pay attention to your emails from Tactica RES as there will be updates on bug fixes, improved functionality  and new proforma models.</t>
  </si>
  <si>
    <r>
      <rPr>
        <b/>
        <sz val="14"/>
        <color rgb="FFFF0000"/>
        <rFont val="Segoe UI Black"/>
        <family val="2"/>
      </rPr>
      <t>Disclaimer:</t>
    </r>
    <r>
      <rPr>
        <sz val="14"/>
        <color rgb="FF404040"/>
        <rFont val="Segoe UI Black"/>
        <family val="2"/>
      </rPr>
      <t xml:space="preserve"> Workbook may contain errors and inaccuracies. Please verify formulas, calculations and logic for yourself. The workbook is meant to be utilized as a learning tool and should not be depended on when making financial decisions and assessing the feasibility of an investment.</t>
    </r>
  </si>
  <si>
    <t>&lt;&lt;&lt; Click Logo to visit the Tactica website</t>
  </si>
  <si>
    <t>LTV:</t>
  </si>
  <si>
    <t>Cap Rate:</t>
  </si>
  <si>
    <t>Average Rent (Monthly)</t>
  </si>
  <si>
    <t>Annual Per Unit</t>
  </si>
  <si>
    <t>Future Tax Per Unit:</t>
  </si>
  <si>
    <t>Annual Payment:</t>
  </si>
  <si>
    <t>Mortgage</t>
  </si>
  <si>
    <t>Rentable SF:</t>
  </si>
  <si>
    <t>Per Unit:</t>
  </si>
  <si>
    <t>Per SF:</t>
  </si>
  <si>
    <t>Item 2</t>
  </si>
  <si>
    <t>Item 3</t>
  </si>
  <si>
    <t>Item 4</t>
  </si>
  <si>
    <t>Taxer Per Unit Today:</t>
  </si>
  <si>
    <t>Monthly Per Unit</t>
  </si>
  <si>
    <t>Rent Premium</t>
  </si>
  <si>
    <t>City, State</t>
  </si>
  <si>
    <t>1111 Main St.</t>
  </si>
  <si>
    <t>NOI</t>
  </si>
  <si>
    <t>Yield on Cost (unlevered):</t>
  </si>
  <si>
    <t>This template contains affiliate links and we may earn a commission if you transact with our affiliate patners.</t>
  </si>
  <si>
    <t>Copyright © 2023 Tactica RES LLC. All Rights Reserved.</t>
  </si>
  <si>
    <t>Payroll</t>
  </si>
  <si>
    <t>Utilities</t>
  </si>
  <si>
    <t>Contract Services</t>
  </si>
  <si>
    <t>Historical Cap Rate:</t>
  </si>
  <si>
    <t>Cash-on-Cash:</t>
  </si>
  <si>
    <t>Residual Sale @ Hist. Cap:</t>
  </si>
  <si>
    <t>Profit Potential:</t>
  </si>
  <si>
    <t>How To Use This Spreadsheet:</t>
  </si>
  <si>
    <t>https://www.tacticares.com/blog-feed/back-of-the-envelope-apartment-analysis-template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</si>
</sst>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1" formatCode="_(* #,##0_);_(* \(#,##0\);_(* &quot;-&quot;_);_(@_)"/>
    <numFmt numFmtId="164" formatCode="&quot;$&quot;#,##0"/>
    <numFmt numFmtId="165" formatCode="0.00%\ &quot;Vacancy&quot;"/>
    <numFmt numFmtId="166" formatCode="&quot;$&quot;#,##0.00"/>
    <numFmt numFmtId="167" formatCode="0.00%\ &quot;MGMT Fee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Black"/>
      <family val="2"/>
    </font>
    <font>
      <b/>
      <sz val="11"/>
      <color theme="1"/>
      <name val="Segoe UI Black"/>
      <family val="2"/>
    </font>
    <font>
      <i/>
      <sz val="9"/>
      <color theme="1"/>
      <name val="Segoe UI Black"/>
      <family val="2"/>
    </font>
    <font>
      <sz val="10"/>
      <color theme="1"/>
      <name val="Segoe UI Black"/>
      <family val="2"/>
    </font>
    <font>
      <sz val="9"/>
      <color theme="1"/>
      <name val="Calibri"/>
      <family val="2"/>
      <scheme val="minor"/>
    </font>
    <font>
      <sz val="9"/>
      <color theme="1"/>
      <name val="Segoe UI Black"/>
      <family val="2"/>
    </font>
    <font>
      <sz val="8"/>
      <name val="Calibri"/>
      <family val="2"/>
      <scheme val="minor"/>
    </font>
    <font>
      <sz val="10"/>
      <color theme="0"/>
      <name val="Segoe UI Black"/>
      <family val="2"/>
    </font>
    <font>
      <b/>
      <sz val="10"/>
      <color theme="1"/>
      <name val="Segoe UI Black"/>
      <family val="2"/>
    </font>
    <font>
      <sz val="10"/>
      <color theme="4" tint="-0.499984740745262"/>
      <name val="Segoe UI Black"/>
      <family val="2"/>
    </font>
    <font>
      <b/>
      <sz val="10"/>
      <name val="Segoe UI Black"/>
      <family val="2"/>
    </font>
    <font>
      <i/>
      <sz val="10"/>
      <name val="Segoe UI Black"/>
      <family val="2"/>
    </font>
    <font>
      <sz val="10"/>
      <name val="Segoe UI Black"/>
      <family val="2"/>
    </font>
    <font>
      <b/>
      <sz val="10"/>
      <color rgb="FFC00000"/>
      <name val="Segoe UI Black"/>
      <family val="2"/>
    </font>
    <font>
      <sz val="10"/>
      <color rgb="FFC00000"/>
      <name val="Segoe UI Black"/>
      <family val="2"/>
    </font>
    <font>
      <i/>
      <sz val="10"/>
      <color theme="1"/>
      <name val="Segoe UI Black"/>
      <family val="2"/>
    </font>
    <font>
      <u/>
      <sz val="10"/>
      <color theme="1"/>
      <name val="Segoe UI Black"/>
      <family val="2"/>
    </font>
    <font>
      <u/>
      <sz val="10"/>
      <name val="Segoe UI Black"/>
      <family val="2"/>
    </font>
    <font>
      <sz val="12"/>
      <name val="Segoe UI Black"/>
      <family val="2"/>
    </font>
    <font>
      <b/>
      <sz val="14"/>
      <color rgb="FF404040"/>
      <name val="Segoe UI Black"/>
      <family val="2"/>
    </font>
    <font>
      <b/>
      <sz val="14"/>
      <color rgb="FFFF0000"/>
      <name val="Segoe UI Black"/>
      <family val="2"/>
    </font>
    <font>
      <sz val="14"/>
      <color rgb="FF404040"/>
      <name val="Segoe UI Black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10" fontId="8" fillId="0" borderId="0" xfId="0" applyNumberFormat="1" applyFont="1" applyAlignment="1">
      <alignment horizontal="center"/>
    </xf>
    <xf numFmtId="0" fontId="2" fillId="0" borderId="0" xfId="2" applyFill="1"/>
    <xf numFmtId="10" fontId="5" fillId="0" borderId="0" xfId="1" applyNumberFormat="1" applyFont="1" applyFill="1" applyAlignment="1">
      <alignment horizontal="center"/>
    </xf>
    <xf numFmtId="0" fontId="6" fillId="0" borderId="0" xfId="0" applyFont="1"/>
    <xf numFmtId="10" fontId="8" fillId="0" borderId="0" xfId="1" applyNumberFormat="1" applyFont="1" applyFill="1" applyAlignment="1">
      <alignment horizontal="center"/>
    </xf>
    <xf numFmtId="0" fontId="10" fillId="4" borderId="0" xfId="0" applyFont="1" applyFill="1" applyAlignment="1">
      <alignment horizontal="left"/>
    </xf>
    <xf numFmtId="164" fontId="12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4" fontId="11" fillId="3" borderId="0" xfId="0" applyNumberFormat="1" applyFont="1" applyFill="1" applyAlignment="1">
      <alignment horizontal="left"/>
    </xf>
    <xf numFmtId="0" fontId="11" fillId="3" borderId="0" xfId="0" applyFont="1" applyFill="1"/>
    <xf numFmtId="0" fontId="11" fillId="5" borderId="0" xfId="0" applyFont="1" applyFill="1"/>
    <xf numFmtId="0" fontId="7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10" fontId="6" fillId="3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164" fontId="12" fillId="5" borderId="0" xfId="0" applyNumberFormat="1" applyFont="1" applyFill="1" applyAlignment="1">
      <alignment horizontal="right"/>
    </xf>
    <xf numFmtId="6" fontId="6" fillId="3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right"/>
    </xf>
    <xf numFmtId="6" fontId="7" fillId="0" borderId="0" xfId="0" applyNumberFormat="1" applyFont="1" applyAlignment="1">
      <alignment horizontal="center"/>
    </xf>
    <xf numFmtId="0" fontId="18" fillId="0" borderId="0" xfId="0" applyFont="1"/>
    <xf numFmtId="166" fontId="18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/>
    <xf numFmtId="164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 indent="1"/>
    </xf>
    <xf numFmtId="10" fontId="12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6" fontId="6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left" indent="1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right"/>
    </xf>
    <xf numFmtId="41" fontId="12" fillId="0" borderId="0" xfId="0" applyNumberFormat="1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17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10" fontId="6" fillId="0" borderId="0" xfId="1" applyNumberFormat="1" applyFont="1" applyFill="1" applyAlignment="1">
      <alignment horizontal="right"/>
    </xf>
    <xf numFmtId="9" fontId="12" fillId="0" borderId="0" xfId="1" applyFont="1" applyFill="1" applyAlignment="1">
      <alignment horizontal="right"/>
    </xf>
    <xf numFmtId="164" fontId="11" fillId="0" borderId="0" xfId="0" applyNumberFormat="1" applyFont="1" applyAlignment="1">
      <alignment horizontal="left"/>
    </xf>
    <xf numFmtId="2" fontId="6" fillId="0" borderId="0" xfId="1" applyNumberFormat="1" applyFont="1" applyFill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5" fillId="0" borderId="0" xfId="0" applyFont="1"/>
    <xf numFmtId="167" fontId="12" fillId="0" borderId="0" xfId="0" applyNumberFormat="1" applyFont="1" applyAlignment="1">
      <alignment horizontal="left" indent="1"/>
    </xf>
    <xf numFmtId="0" fontId="19" fillId="0" borderId="0" xfId="0" applyFont="1"/>
    <xf numFmtId="0" fontId="21" fillId="0" borderId="0" xfId="0" applyFont="1"/>
    <xf numFmtId="0" fontId="15" fillId="0" borderId="0" xfId="0" applyFont="1" applyAlignment="1">
      <alignment horizontal="left" indent="1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4" fontId="18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10" fontId="18" fillId="0" borderId="0" xfId="1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13" fillId="6" borderId="0" xfId="0" applyFont="1" applyFill="1"/>
    <xf numFmtId="164" fontId="16" fillId="6" borderId="0" xfId="0" applyNumberFormat="1" applyFont="1" applyFill="1" applyAlignment="1">
      <alignment horizontal="right"/>
    </xf>
    <xf numFmtId="164" fontId="13" fillId="6" borderId="0" xfId="0" applyNumberFormat="1" applyFont="1" applyFill="1" applyAlignment="1">
      <alignment horizontal="right"/>
    </xf>
    <xf numFmtId="10" fontId="12" fillId="3" borderId="0" xfId="1" applyNumberFormat="1" applyFont="1" applyFill="1" applyAlignment="1">
      <alignment horizontal="right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vertical="top" wrapText="1"/>
    </xf>
    <xf numFmtId="0" fontId="26" fillId="0" borderId="0" xfId="0" applyFont="1"/>
    <xf numFmtId="0" fontId="27" fillId="0" borderId="0" xfId="2" applyFont="1"/>
  </cellXfs>
  <cellStyles count="3">
    <cellStyle name="Hyperlink" xfId="2" builtinId="8"/>
    <cellStyle name="Normal" xfId="0" builtinId="0"/>
    <cellStyle name="Percent" xfId="1" builtinId="5"/>
  </cellStyles>
  <dxfs count="8"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acticares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stacksource.com/partner-landing-pages/tactic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cticares.com/multifamily-redevelopment-model?utm_medium=excel&amp;utm_source=free-model&amp;utm_campaign=env-redevelopment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tacticares.com/multifamily-valueadd-model?utm_medium=excel&amp;utm_source=free-model&amp;utm_campaign=env-value-add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38100</xdr:rowOff>
    </xdr:from>
    <xdr:ext cx="9035923" cy="2791691"/>
    <xdr:pic>
      <xdr:nvPicPr>
        <xdr:cNvPr id="2" name="Picture 1" descr="Tactica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9774F4-F394-4BED-9423-E81B9E1F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38100"/>
          <a:ext cx="9035923" cy="279169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1</xdr:row>
      <xdr:rowOff>28575</xdr:rowOff>
    </xdr:from>
    <xdr:to>
      <xdr:col>16</xdr:col>
      <xdr:colOff>130810</xdr:colOff>
      <xdr:row>16</xdr:row>
      <xdr:rowOff>17057</xdr:rowOff>
    </xdr:to>
    <xdr:pic>
      <xdr:nvPicPr>
        <xdr:cNvPr id="2" name="Picture 1" descr="Do you need a debt quote? Link to StackSource lending platform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E4C1F8-E53E-4357-B115-79AB2EACA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0" y="76200"/>
          <a:ext cx="6737350" cy="2695487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249558</xdr:colOff>
      <xdr:row>0</xdr:row>
      <xdr:rowOff>95253</xdr:rowOff>
    </xdr:from>
    <xdr:to>
      <xdr:col>6</xdr:col>
      <xdr:colOff>593046</xdr:colOff>
      <xdr:row>30</xdr:row>
      <xdr:rowOff>0</xdr:rowOff>
    </xdr:to>
    <xdr:pic>
      <xdr:nvPicPr>
        <xdr:cNvPr id="2" name="Picture 1" descr="Value-Add Mode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54F0D-DCBC-0C84-A5D1-A7A65B62B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558" y="95253"/>
          <a:ext cx="4001088" cy="5333997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  <xdr:twoCellAnchor editAs="oneCell">
    <xdr:from>
      <xdr:col>8</xdr:col>
      <xdr:colOff>17147</xdr:colOff>
      <xdr:row>0</xdr:row>
      <xdr:rowOff>100966</xdr:rowOff>
    </xdr:from>
    <xdr:to>
      <xdr:col>14</xdr:col>
      <xdr:colOff>414515</xdr:colOff>
      <xdr:row>29</xdr:row>
      <xdr:rowOff>171450</xdr:rowOff>
    </xdr:to>
    <xdr:pic>
      <xdr:nvPicPr>
        <xdr:cNvPr id="3" name="Picture 2" descr="Redevelopment Mode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2BAFC5-D99A-E1F7-85BD-1E49FA14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3947" y="100966"/>
          <a:ext cx="4054968" cy="5318759"/>
        </a:xfrm>
        <a:prstGeom prst="rect">
          <a:avLst/>
        </a:prstGeom>
        <a:ln>
          <a:solidFill>
            <a:srgbClr val="00206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acticares.com/blog-feed/back-of-the-envelope-apartment-analysis-templa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EB3B-3784-470F-9B84-89DC43D9F9B7}">
  <sheetPr codeName="Sheet2"/>
  <dimension ref="C2:Q30"/>
  <sheetViews>
    <sheetView tabSelected="1" zoomScale="80" zoomScaleNormal="80" workbookViewId="0">
      <selection activeCell="S9" sqref="S9"/>
    </sheetView>
  </sheetViews>
  <sheetFormatPr defaultRowHeight="14.4" x14ac:dyDescent="0.3"/>
  <sheetData>
    <row r="2" spans="16:17" ht="16.8" x14ac:dyDescent="0.4">
      <c r="P2" s="7" t="s">
        <v>56</v>
      </c>
    </row>
    <row r="3" spans="16:17" x14ac:dyDescent="0.3">
      <c r="Q3" s="66"/>
    </row>
    <row r="6" spans="16:17" ht="18" x14ac:dyDescent="0.35">
      <c r="Q6" s="74" t="s">
        <v>86</v>
      </c>
    </row>
    <row r="7" spans="16:17" ht="18" x14ac:dyDescent="0.35">
      <c r="Q7" s="75" t="s">
        <v>87</v>
      </c>
    </row>
    <row r="18" spans="3:15" ht="70.5" customHeight="1" x14ac:dyDescent="0.3">
      <c r="C18" s="71" t="s">
        <v>55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</row>
    <row r="19" spans="3:15" x14ac:dyDescent="0.3"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</row>
    <row r="20" spans="3:15" x14ac:dyDescent="0.3"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</row>
    <row r="21" spans="3:15" x14ac:dyDescent="0.3"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</row>
    <row r="22" spans="3:15" ht="25.8" customHeight="1" x14ac:dyDescent="0.3">
      <c r="C22" s="73" t="s">
        <v>77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</row>
    <row r="23" spans="3:15" x14ac:dyDescent="0.3"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</row>
    <row r="25" spans="3:15" x14ac:dyDescent="0.3">
      <c r="C25" s="72" t="s">
        <v>54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</row>
    <row r="26" spans="3:15" x14ac:dyDescent="0.3"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</row>
    <row r="27" spans="3:15" x14ac:dyDescent="0.3"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</row>
    <row r="28" spans="3:15" x14ac:dyDescent="0.3"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</row>
    <row r="30" spans="3:15" ht="19.2" x14ac:dyDescent="0.45">
      <c r="C30" s="59" t="s">
        <v>78</v>
      </c>
    </row>
  </sheetData>
  <mergeCells count="3">
    <mergeCell ref="C18:O21"/>
    <mergeCell ref="C25:O28"/>
    <mergeCell ref="C22:O23"/>
  </mergeCells>
  <hyperlinks>
    <hyperlink ref="Q7" r:id="rId1" xr:uid="{E4DA1140-5412-445A-97A4-B3606E54A4B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49"/>
  <sheetViews>
    <sheetView zoomScale="80" zoomScaleNormal="80" workbookViewId="0"/>
  </sheetViews>
  <sheetFormatPr defaultRowHeight="14.4" customHeight="1" x14ac:dyDescent="0.3"/>
  <cols>
    <col min="1" max="1" width="1.6640625" customWidth="1"/>
    <col min="2" max="2" width="33.5546875" bestFit="1" customWidth="1"/>
    <col min="3" max="3" width="17.44140625" style="22" customWidth="1"/>
    <col min="4" max="4" width="15" style="22" customWidth="1"/>
    <col min="5" max="5" width="2.21875" style="3" customWidth="1"/>
    <col min="6" max="6" width="32.109375" style="3" customWidth="1"/>
    <col min="7" max="7" width="16.77734375" style="22" customWidth="1"/>
    <col min="8" max="8" width="1.88671875" customWidth="1"/>
    <col min="9" max="9" width="13.44140625" style="2" customWidth="1"/>
    <col min="10" max="10" width="27" bestFit="1" customWidth="1"/>
    <col min="11" max="11" width="12.109375" customWidth="1"/>
    <col min="17" max="17" width="24.44140625" bestFit="1" customWidth="1"/>
  </cols>
  <sheetData>
    <row r="1" spans="2:10" ht="3.75" customHeight="1" x14ac:dyDescent="0.3">
      <c r="F1"/>
      <c r="G1" s="19"/>
      <c r="H1" s="3"/>
      <c r="I1"/>
    </row>
    <row r="2" spans="2:10" ht="14.4" customHeight="1" x14ac:dyDescent="0.35">
      <c r="B2" s="13" t="s">
        <v>28</v>
      </c>
      <c r="C2" s="26"/>
      <c r="D2" s="26"/>
      <c r="E2" s="40"/>
      <c r="F2" s="13" t="s">
        <v>49</v>
      </c>
      <c r="G2" s="26"/>
      <c r="I2"/>
    </row>
    <row r="3" spans="2:10" ht="14.4" customHeight="1" x14ac:dyDescent="0.35">
      <c r="B3" s="18" t="s">
        <v>0</v>
      </c>
      <c r="C3" s="23">
        <v>28500000</v>
      </c>
      <c r="D3" s="30"/>
      <c r="E3" s="40"/>
      <c r="F3" s="33" t="s">
        <v>48</v>
      </c>
      <c r="G3" s="34" t="s">
        <v>74</v>
      </c>
    </row>
    <row r="4" spans="2:10" ht="14.4" customHeight="1" x14ac:dyDescent="0.35">
      <c r="B4" s="11" t="s">
        <v>65</v>
      </c>
      <c r="C4" s="37">
        <f>C3/G5</f>
        <v>142500</v>
      </c>
      <c r="D4" s="30"/>
      <c r="E4" s="40"/>
      <c r="F4" s="33" t="s">
        <v>47</v>
      </c>
      <c r="G4" s="34" t="s">
        <v>73</v>
      </c>
    </row>
    <row r="5" spans="2:10" ht="14.4" customHeight="1" x14ac:dyDescent="0.35">
      <c r="B5" s="11" t="s">
        <v>66</v>
      </c>
      <c r="C5" s="61">
        <f>C3/G6</f>
        <v>178.125</v>
      </c>
      <c r="E5" s="40"/>
      <c r="F5" s="33" t="s">
        <v>50</v>
      </c>
      <c r="G5" s="34">
        <v>200</v>
      </c>
    </row>
    <row r="6" spans="2:10" ht="14.4" customHeight="1" x14ac:dyDescent="0.35">
      <c r="B6" s="31" t="s">
        <v>10</v>
      </c>
      <c r="C6" s="30"/>
      <c r="D6" s="30"/>
      <c r="E6" s="40"/>
      <c r="F6" s="33" t="s">
        <v>64</v>
      </c>
      <c r="G6" s="49">
        <v>160000</v>
      </c>
    </row>
    <row r="7" spans="2:10" ht="14.4" customHeight="1" x14ac:dyDescent="0.35">
      <c r="B7" s="33" t="s">
        <v>42</v>
      </c>
      <c r="C7" s="34" t="s">
        <v>32</v>
      </c>
      <c r="D7" s="30"/>
      <c r="E7" s="40"/>
    </row>
    <row r="8" spans="2:10" ht="14.4" customHeight="1" x14ac:dyDescent="0.35">
      <c r="B8" s="35" t="s">
        <v>57</v>
      </c>
      <c r="C8" s="36">
        <v>0.65</v>
      </c>
      <c r="D8" s="30"/>
      <c r="E8" s="40"/>
      <c r="F8" s="13" t="s">
        <v>29</v>
      </c>
      <c r="G8" s="26"/>
    </row>
    <row r="9" spans="2:10" ht="14.4" customHeight="1" x14ac:dyDescent="0.35">
      <c r="B9" s="33" t="s">
        <v>43</v>
      </c>
      <c r="C9" s="36">
        <v>5.7500000000000002E-2</v>
      </c>
      <c r="D9" s="30"/>
      <c r="E9" s="40"/>
      <c r="F9" s="11" t="s">
        <v>19</v>
      </c>
      <c r="G9" s="30"/>
    </row>
    <row r="10" spans="2:10" ht="14.4" customHeight="1" x14ac:dyDescent="0.35">
      <c r="B10" s="33" t="s">
        <v>44</v>
      </c>
      <c r="C10" s="34">
        <v>30</v>
      </c>
      <c r="D10" s="30"/>
      <c r="E10" s="40"/>
      <c r="F10" s="35" t="s">
        <v>46</v>
      </c>
      <c r="G10" s="32">
        <v>275000</v>
      </c>
    </row>
    <row r="11" spans="2:10" ht="14.4" customHeight="1" x14ac:dyDescent="0.35">
      <c r="B11" s="33" t="s">
        <v>45</v>
      </c>
      <c r="C11" s="36">
        <v>0.01</v>
      </c>
      <c r="D11" s="30"/>
      <c r="E11" s="40"/>
      <c r="F11" s="35" t="s">
        <v>67</v>
      </c>
      <c r="G11" s="45">
        <v>0</v>
      </c>
    </row>
    <row r="12" spans="2:10" ht="14.4" customHeight="1" x14ac:dyDescent="0.35">
      <c r="B12" s="33" t="s">
        <v>40</v>
      </c>
      <c r="C12" s="37">
        <f>C11*C13</f>
        <v>185250</v>
      </c>
      <c r="E12" s="40"/>
      <c r="F12" s="35" t="s">
        <v>68</v>
      </c>
      <c r="G12" s="45">
        <v>0</v>
      </c>
    </row>
    <row r="13" spans="2:10" ht="14.4" customHeight="1" x14ac:dyDescent="0.35">
      <c r="B13" s="33" t="s">
        <v>7</v>
      </c>
      <c r="C13" s="37">
        <f>IF(B8="LTV:",C3*(C8),C8*(G20+C3))</f>
        <v>18525000</v>
      </c>
      <c r="D13" s="30"/>
      <c r="E13" s="40"/>
      <c r="F13" s="35" t="s">
        <v>69</v>
      </c>
      <c r="G13" s="45">
        <v>0</v>
      </c>
      <c r="I13" s="27"/>
    </row>
    <row r="14" spans="2:10" ht="14.4" customHeight="1" x14ac:dyDescent="0.4">
      <c r="B14" s="33" t="s">
        <v>62</v>
      </c>
      <c r="C14" s="38">
        <f>(PMT(C9/12,C10*12,-C13))*12</f>
        <v>1297282.4598740181</v>
      </c>
      <c r="D14" s="30"/>
      <c r="E14" s="40"/>
      <c r="F14" s="35" t="s">
        <v>20</v>
      </c>
      <c r="G14" s="45">
        <v>0</v>
      </c>
      <c r="I14" s="6"/>
      <c r="J14" s="7"/>
    </row>
    <row r="15" spans="2:10" ht="14.4" customHeight="1" x14ac:dyDescent="0.35">
      <c r="B15" s="15" t="s">
        <v>51</v>
      </c>
      <c r="C15" s="24">
        <f>C3-C13+G20+C12</f>
        <v>10435250</v>
      </c>
      <c r="D15" s="30"/>
      <c r="E15" s="40"/>
      <c r="F15" s="35" t="s">
        <v>21</v>
      </c>
      <c r="G15" s="45">
        <v>0</v>
      </c>
      <c r="I15" s="8"/>
      <c r="J15" s="9"/>
    </row>
    <row r="16" spans="2:10" ht="14.4" customHeight="1" x14ac:dyDescent="0.4">
      <c r="B16" s="56" t="s">
        <v>52</v>
      </c>
      <c r="C16" s="30"/>
      <c r="D16" s="30"/>
      <c r="E16" s="40"/>
      <c r="F16" s="35" t="s">
        <v>22</v>
      </c>
      <c r="G16" s="45">
        <v>0</v>
      </c>
      <c r="I16" s="6"/>
      <c r="J16" s="7"/>
    </row>
    <row r="17" spans="2:17" ht="14.4" customHeight="1" x14ac:dyDescent="0.4">
      <c r="B17" s="13" t="s">
        <v>26</v>
      </c>
      <c r="C17" s="26"/>
      <c r="D17" s="26"/>
      <c r="E17" s="40"/>
      <c r="F17" s="35" t="s">
        <v>23</v>
      </c>
      <c r="G17" s="45">
        <v>0</v>
      </c>
      <c r="I17" s="6"/>
      <c r="J17" s="7"/>
    </row>
    <row r="18" spans="2:17" ht="14.4" customHeight="1" x14ac:dyDescent="0.4">
      <c r="B18" s="11" t="s">
        <v>16</v>
      </c>
      <c r="C18" s="54" t="s">
        <v>71</v>
      </c>
      <c r="D18" s="55" t="s">
        <v>18</v>
      </c>
      <c r="E18" s="40"/>
      <c r="F18" s="35" t="s">
        <v>24</v>
      </c>
      <c r="G18" s="45">
        <v>0</v>
      </c>
      <c r="I18" s="6"/>
      <c r="J18" s="7"/>
    </row>
    <row r="19" spans="2:17" ht="14.4" customHeight="1" x14ac:dyDescent="0.4">
      <c r="B19" s="35" t="s">
        <v>59</v>
      </c>
      <c r="C19" s="32">
        <v>1100</v>
      </c>
      <c r="D19" s="44">
        <f>C19*$G$5*12</f>
        <v>2640000</v>
      </c>
      <c r="E19" s="41"/>
      <c r="F19" s="35" t="s">
        <v>25</v>
      </c>
      <c r="G19" s="45">
        <v>0</v>
      </c>
      <c r="I19" s="6"/>
      <c r="J19" s="7"/>
    </row>
    <row r="20" spans="2:17" ht="14.4" customHeight="1" x14ac:dyDescent="0.35">
      <c r="B20" s="35" t="s">
        <v>72</v>
      </c>
      <c r="C20" s="45">
        <v>150</v>
      </c>
      <c r="D20" s="46">
        <f>C20*$G$5*12</f>
        <v>360000</v>
      </c>
      <c r="E20" s="42"/>
      <c r="F20" s="67" t="s">
        <v>27</v>
      </c>
      <c r="G20" s="69">
        <f>SUM(G10:G19)</f>
        <v>275000</v>
      </c>
      <c r="I20" s="10"/>
      <c r="J20" s="11"/>
    </row>
    <row r="21" spans="2:17" ht="14.4" customHeight="1" x14ac:dyDescent="0.4">
      <c r="B21" s="35" t="s">
        <v>9</v>
      </c>
      <c r="C21" s="45">
        <v>45</v>
      </c>
      <c r="D21" s="46">
        <f t="shared" ref="D21:D22" si="0">C21*$G$5*12</f>
        <v>108000</v>
      </c>
      <c r="E21" s="42"/>
      <c r="F21" s="14"/>
      <c r="G21" s="20"/>
      <c r="I21" s="6"/>
      <c r="J21" s="7"/>
    </row>
    <row r="22" spans="2:17" ht="14.4" customHeight="1" x14ac:dyDescent="0.4">
      <c r="B22" s="35" t="s">
        <v>6</v>
      </c>
      <c r="C22" s="45">
        <v>50</v>
      </c>
      <c r="D22" s="46">
        <f t="shared" si="0"/>
        <v>120000</v>
      </c>
      <c r="E22" s="42"/>
      <c r="F22" s="13" t="s">
        <v>11</v>
      </c>
      <c r="G22" s="26"/>
      <c r="I22" s="6"/>
      <c r="J22" s="7"/>
    </row>
    <row r="23" spans="2:17" ht="14.4" customHeight="1" x14ac:dyDescent="0.4">
      <c r="B23" s="39">
        <v>0.06</v>
      </c>
      <c r="C23" s="47">
        <f>-B23*SUM(C19:C22)</f>
        <v>-80.7</v>
      </c>
      <c r="D23" s="46">
        <f>C23*$G$5*12</f>
        <v>-193680</v>
      </c>
      <c r="E23" s="42"/>
      <c r="F23" s="58" t="s">
        <v>14</v>
      </c>
      <c r="G23" s="30"/>
      <c r="I23" s="6"/>
      <c r="J23" s="7"/>
    </row>
    <row r="24" spans="2:17" ht="14.4" customHeight="1" x14ac:dyDescent="0.4">
      <c r="B24" s="67" t="s">
        <v>8</v>
      </c>
      <c r="C24" s="69">
        <f>D24/$G$5</f>
        <v>15171.6</v>
      </c>
      <c r="D24" s="69">
        <f>SUM(D19:D23)</f>
        <v>3034320</v>
      </c>
      <c r="E24" s="42"/>
      <c r="F24" s="33" t="s">
        <v>33</v>
      </c>
      <c r="G24" s="32">
        <v>23567000</v>
      </c>
      <c r="I24" s="7"/>
      <c r="J24" s="7"/>
    </row>
    <row r="25" spans="2:17" ht="14.4" customHeight="1" x14ac:dyDescent="0.4">
      <c r="B25" s="11"/>
      <c r="C25" s="30"/>
      <c r="D25" s="30"/>
      <c r="E25" s="42"/>
      <c r="F25" s="33" t="s">
        <v>34</v>
      </c>
      <c r="G25" s="32">
        <v>465000</v>
      </c>
      <c r="I25" s="12"/>
      <c r="J25" s="7"/>
    </row>
    <row r="26" spans="2:17" ht="14.4" customHeight="1" x14ac:dyDescent="0.4">
      <c r="B26" s="11" t="s">
        <v>17</v>
      </c>
      <c r="C26" s="54" t="s">
        <v>60</v>
      </c>
      <c r="D26" s="55" t="s">
        <v>18</v>
      </c>
      <c r="E26" s="42"/>
      <c r="F26" s="33" t="s">
        <v>70</v>
      </c>
      <c r="G26" s="37">
        <f>G25/$G$5</f>
        <v>2325</v>
      </c>
      <c r="I26" s="12"/>
      <c r="J26" s="7"/>
    </row>
    <row r="27" spans="2:17" ht="14.4" customHeight="1" x14ac:dyDescent="0.4">
      <c r="B27" s="35" t="s">
        <v>3</v>
      </c>
      <c r="C27" s="32">
        <v>100</v>
      </c>
      <c r="D27" s="48">
        <f>C27*$G$5</f>
        <v>20000</v>
      </c>
      <c r="E27" s="43"/>
      <c r="F27" s="33" t="s">
        <v>35</v>
      </c>
      <c r="G27" s="50">
        <f>G25/G24</f>
        <v>1.9730979759833667E-2</v>
      </c>
      <c r="I27" s="12"/>
      <c r="J27" s="7"/>
    </row>
    <row r="28" spans="2:17" ht="14.4" customHeight="1" x14ac:dyDescent="0.4">
      <c r="B28" s="35" t="s">
        <v>4</v>
      </c>
      <c r="C28" s="45">
        <v>200</v>
      </c>
      <c r="D28" s="47">
        <f>C28*$G$5</f>
        <v>40000</v>
      </c>
      <c r="E28" s="40"/>
      <c r="F28" s="11"/>
      <c r="G28" s="30"/>
      <c r="I28" s="6"/>
      <c r="J28" s="7"/>
    </row>
    <row r="29" spans="2:17" ht="14.4" customHeight="1" x14ac:dyDescent="0.4">
      <c r="B29" s="57">
        <v>3.5000000000000003E-2</v>
      </c>
      <c r="C29" s="46">
        <f>B29*C24</f>
        <v>531.00600000000009</v>
      </c>
      <c r="D29" s="47">
        <f t="shared" ref="D29:D38" si="1">C29*$G$5</f>
        <v>106201.20000000001</v>
      </c>
      <c r="E29" s="40"/>
      <c r="F29" s="58" t="s">
        <v>15</v>
      </c>
      <c r="G29" s="30"/>
      <c r="I29" s="6"/>
      <c r="J29" s="7"/>
    </row>
    <row r="30" spans="2:17" ht="14.4" customHeight="1" x14ac:dyDescent="0.4">
      <c r="B30" s="35" t="s">
        <v>79</v>
      </c>
      <c r="C30" s="45">
        <v>575</v>
      </c>
      <c r="D30" s="47">
        <f t="shared" si="1"/>
        <v>115000</v>
      </c>
      <c r="E30" s="42"/>
      <c r="F30" s="33" t="s">
        <v>36</v>
      </c>
      <c r="G30" s="51">
        <v>0.95</v>
      </c>
      <c r="H30" s="11"/>
      <c r="Q30" s="1"/>
    </row>
    <row r="31" spans="2:17" ht="14.4" customHeight="1" x14ac:dyDescent="0.4">
      <c r="B31" s="35" t="s">
        <v>80</v>
      </c>
      <c r="C31" s="45">
        <v>850</v>
      </c>
      <c r="D31" s="47">
        <f t="shared" si="1"/>
        <v>170000</v>
      </c>
      <c r="E31" s="42"/>
      <c r="F31" s="33" t="s">
        <v>37</v>
      </c>
      <c r="G31" s="37">
        <f>C3*G30</f>
        <v>27075000</v>
      </c>
      <c r="Q31" s="1"/>
    </row>
    <row r="32" spans="2:17" ht="14.4" customHeight="1" x14ac:dyDescent="0.4">
      <c r="B32" s="35" t="s">
        <v>81</v>
      </c>
      <c r="C32" s="45">
        <v>450</v>
      </c>
      <c r="D32" s="47">
        <f t="shared" si="1"/>
        <v>90000</v>
      </c>
      <c r="E32" s="42"/>
      <c r="F32" s="33" t="s">
        <v>38</v>
      </c>
      <c r="G32" s="37">
        <f>G31*G27</f>
        <v>534216.27699749649</v>
      </c>
      <c r="Q32" s="1"/>
    </row>
    <row r="33" spans="2:17" ht="14.4" customHeight="1" x14ac:dyDescent="0.4">
      <c r="B33" s="35" t="s">
        <v>2</v>
      </c>
      <c r="C33" s="45">
        <v>500</v>
      </c>
      <c r="D33" s="47">
        <f t="shared" si="1"/>
        <v>100000</v>
      </c>
      <c r="E33" s="42"/>
      <c r="F33" s="33" t="s">
        <v>61</v>
      </c>
      <c r="G33" s="37">
        <f>G32/$G$5</f>
        <v>2671.0813849874826</v>
      </c>
      <c r="Q33" s="1"/>
    </row>
    <row r="34" spans="2:17" ht="14.4" customHeight="1" x14ac:dyDescent="0.4">
      <c r="B34" s="35" t="s">
        <v>1</v>
      </c>
      <c r="C34" s="45">
        <v>460</v>
      </c>
      <c r="D34" s="47">
        <f t="shared" si="1"/>
        <v>92000</v>
      </c>
      <c r="E34" s="42"/>
      <c r="F34" s="40"/>
      <c r="G34" s="30"/>
      <c r="Q34" s="1"/>
    </row>
    <row r="35" spans="2:17" ht="14.4" customHeight="1" x14ac:dyDescent="0.4">
      <c r="B35" s="60" t="s">
        <v>11</v>
      </c>
      <c r="C35" s="46">
        <f>G33</f>
        <v>2671.0813849874826</v>
      </c>
      <c r="D35" s="47">
        <f t="shared" si="1"/>
        <v>534216.27699749649</v>
      </c>
      <c r="E35" s="42"/>
      <c r="F35" s="13" t="s">
        <v>31</v>
      </c>
      <c r="G35" s="26"/>
      <c r="Q35" s="1"/>
    </row>
    <row r="36" spans="2:17" ht="14.4" customHeight="1" x14ac:dyDescent="0.35">
      <c r="B36" s="35" t="s">
        <v>6</v>
      </c>
      <c r="C36" s="45">
        <v>0</v>
      </c>
      <c r="D36" s="47">
        <f t="shared" si="1"/>
        <v>0</v>
      </c>
      <c r="E36" s="42"/>
      <c r="F36" s="52" t="s">
        <v>0</v>
      </c>
      <c r="G36" s="37">
        <f>C3</f>
        <v>28500000</v>
      </c>
    </row>
    <row r="37" spans="2:17" ht="14.4" customHeight="1" x14ac:dyDescent="0.4">
      <c r="B37" s="35" t="s">
        <v>6</v>
      </c>
      <c r="C37" s="45">
        <v>0</v>
      </c>
      <c r="D37" s="47">
        <f t="shared" si="1"/>
        <v>0</v>
      </c>
      <c r="E37" s="42"/>
      <c r="F37" s="52" t="s">
        <v>39</v>
      </c>
      <c r="G37" s="37">
        <f>G20</f>
        <v>275000</v>
      </c>
      <c r="Q37" s="1"/>
    </row>
    <row r="38" spans="2:17" ht="14.4" customHeight="1" x14ac:dyDescent="0.35">
      <c r="B38" s="35" t="s">
        <v>5</v>
      </c>
      <c r="C38" s="45">
        <v>250</v>
      </c>
      <c r="D38" s="47">
        <f t="shared" si="1"/>
        <v>50000</v>
      </c>
      <c r="E38" s="42"/>
      <c r="F38" s="52" t="s">
        <v>40</v>
      </c>
      <c r="G38" s="37">
        <f>C11*C13</f>
        <v>185250</v>
      </c>
    </row>
    <row r="39" spans="2:17" ht="14.4" customHeight="1" x14ac:dyDescent="0.35">
      <c r="B39" s="67" t="s">
        <v>12</v>
      </c>
      <c r="C39" s="68">
        <f>SUM(C27:C38)</f>
        <v>6587.0873849874824</v>
      </c>
      <c r="D39" s="68">
        <f>SUM(D27:D38)</f>
        <v>1317417.4769974966</v>
      </c>
      <c r="E39" s="42"/>
      <c r="F39" s="67" t="s">
        <v>30</v>
      </c>
      <c r="G39" s="69">
        <f>SUM(G36:G38)</f>
        <v>28960250</v>
      </c>
      <c r="J39" s="62"/>
    </row>
    <row r="40" spans="2:17" ht="14.4" customHeight="1" x14ac:dyDescent="0.4">
      <c r="B40" s="63" t="s">
        <v>41</v>
      </c>
      <c r="C40" s="64"/>
      <c r="D40" s="65">
        <f>D39/D24</f>
        <v>0.43417222870280542</v>
      </c>
      <c r="E40" s="42"/>
      <c r="F40" s="40"/>
      <c r="G40" s="30"/>
      <c r="Q40" s="1"/>
    </row>
    <row r="41" spans="2:17" ht="14.4" customHeight="1" x14ac:dyDescent="0.35">
      <c r="B41" s="67" t="s">
        <v>75</v>
      </c>
      <c r="C41" s="69"/>
      <c r="D41" s="69">
        <f>D24-D39</f>
        <v>1716902.5230025034</v>
      </c>
      <c r="E41" s="43"/>
      <c r="F41" s="16" t="s">
        <v>82</v>
      </c>
      <c r="G41" s="70">
        <v>5.3999999999999999E-2</v>
      </c>
    </row>
    <row r="42" spans="2:17" ht="14.4" customHeight="1" x14ac:dyDescent="0.35">
      <c r="B42" s="11"/>
      <c r="C42" s="30"/>
      <c r="D42" s="30"/>
      <c r="E42" s="40"/>
      <c r="F42" s="16" t="s">
        <v>83</v>
      </c>
      <c r="G42" s="21">
        <f>D46/C15</f>
        <v>4.0211788230132037E-2</v>
      </c>
      <c r="L42" s="62"/>
    </row>
    <row r="43" spans="2:17" ht="14.4" customHeight="1" x14ac:dyDescent="0.35">
      <c r="B43" s="67" t="s">
        <v>63</v>
      </c>
      <c r="C43" s="68"/>
      <c r="D43" s="68">
        <f>C14</f>
        <v>1297282.4598740181</v>
      </c>
      <c r="E43" s="43"/>
      <c r="F43" s="16" t="s">
        <v>58</v>
      </c>
      <c r="G43" s="21">
        <f>D41/C3</f>
        <v>6.0242193789561527E-2</v>
      </c>
    </row>
    <row r="44" spans="2:17" ht="14.4" customHeight="1" x14ac:dyDescent="0.35">
      <c r="B44" s="63" t="s">
        <v>53</v>
      </c>
      <c r="D44" s="53">
        <f>D41/D43</f>
        <v>1.3234608314747704</v>
      </c>
      <c r="E44" s="40"/>
      <c r="F44" s="16" t="s">
        <v>76</v>
      </c>
      <c r="G44" s="21">
        <f>D41/(G39)</f>
        <v>5.9284796332991031E-2</v>
      </c>
    </row>
    <row r="45" spans="2:17" ht="14.4" customHeight="1" x14ac:dyDescent="0.35">
      <c r="E45" s="43"/>
      <c r="F45" s="16" t="s">
        <v>84</v>
      </c>
      <c r="G45" s="25">
        <f>IFERROR(D41/G41,"")</f>
        <v>31794491.166713025</v>
      </c>
    </row>
    <row r="46" spans="2:17" ht="14.4" customHeight="1" x14ac:dyDescent="0.4">
      <c r="B46" s="17" t="s">
        <v>13</v>
      </c>
      <c r="C46" s="25"/>
      <c r="D46" s="25">
        <f>D41-D43</f>
        <v>419620.06312848534</v>
      </c>
      <c r="E46" s="4"/>
      <c r="F46" s="16" t="s">
        <v>85</v>
      </c>
      <c r="G46" s="25">
        <f>IFERROR(G45-G39,"")</f>
        <v>2834241.1667130254</v>
      </c>
    </row>
    <row r="48" spans="2:17" ht="14.4" customHeight="1" x14ac:dyDescent="0.4">
      <c r="B48" s="28"/>
      <c r="C48" s="29"/>
      <c r="D48" s="29"/>
      <c r="E48" s="5"/>
    </row>
    <row r="49" spans="2:4" ht="14.4" customHeight="1" x14ac:dyDescent="0.35">
      <c r="B49" s="28"/>
      <c r="C49" s="29"/>
      <c r="D49" s="29"/>
    </row>
  </sheetData>
  <phoneticPr fontId="9" type="noConversion"/>
  <conditionalFormatting sqref="B40 B44 C46:D46 E48">
    <cfRule type="cellIs" dxfId="7" priority="28" operator="lessThan">
      <formula>0</formula>
    </cfRule>
  </conditionalFormatting>
  <conditionalFormatting sqref="C20:D23">
    <cfRule type="expression" dxfId="6" priority="10">
      <formula>C20&lt;0</formula>
    </cfRule>
  </conditionalFormatting>
  <conditionalFormatting sqref="C28:D38">
    <cfRule type="expression" dxfId="5" priority="4">
      <formula>C28&lt;0</formula>
    </cfRule>
  </conditionalFormatting>
  <conditionalFormatting sqref="D44">
    <cfRule type="cellIs" dxfId="4" priority="1" operator="lessThan">
      <formula>1.2</formula>
    </cfRule>
  </conditionalFormatting>
  <conditionalFormatting sqref="F36:F38">
    <cfRule type="cellIs" dxfId="3" priority="19" operator="lessThan">
      <formula>0</formula>
    </cfRule>
  </conditionalFormatting>
  <conditionalFormatting sqref="F41:F46">
    <cfRule type="cellIs" dxfId="2" priority="3" operator="lessThan">
      <formula>0</formula>
    </cfRule>
  </conditionalFormatting>
  <conditionalFormatting sqref="G11:G19">
    <cfRule type="expression" dxfId="1" priority="12">
      <formula>G11&lt;0</formula>
    </cfRule>
  </conditionalFormatting>
  <conditionalFormatting sqref="G45:G46">
    <cfRule type="cellIs" dxfId="0" priority="2" operator="lessThan">
      <formula>0</formula>
    </cfRule>
  </conditionalFormatting>
  <dataValidations disablePrompts="1" count="1">
    <dataValidation type="list" allowBlank="1" showInputMessage="1" showErrorMessage="1" sqref="B8" xr:uid="{3335CC07-36AA-461F-87B7-A4043EB09F16}">
      <formula1>"LTV:,LTC:"</formula1>
    </dataValidation>
  </dataValidations>
  <pageMargins left="0.7" right="0.7" top="0.75" bottom="0.75" header="0.3" footer="0.3"/>
  <pageSetup scale="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EE75-4E3A-4B66-A13C-92D27AF3ADA1}">
  <sheetPr>
    <tabColor theme="5" tint="0.7999816888943144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Author</vt:lpstr>
      <vt:lpstr>Analysis</vt:lpstr>
      <vt:lpstr>Deeper Analysis</vt:lpstr>
      <vt:lpstr>Analysis!Print_Area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cp:lastPrinted>2020-08-18T13:07:13Z</cp:lastPrinted>
  <dcterms:created xsi:type="dcterms:W3CDTF">2015-06-13T18:00:06Z</dcterms:created>
  <dcterms:modified xsi:type="dcterms:W3CDTF">2024-03-06T16:25:07Z</dcterms:modified>
</cp:coreProperties>
</file>