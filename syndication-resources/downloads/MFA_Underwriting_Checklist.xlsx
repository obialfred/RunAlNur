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G:\My Drive\MFA\Tools\Checklist\"/>
    </mc:Choice>
  </mc:AlternateContent>
  <xr:revisionPtr revIDLastSave="0" documentId="13_ncr:1_{4046CAAA-6284-408E-9B59-E9B0B18724C0}" xr6:coauthVersionLast="47" xr6:coauthVersionMax="47" xr10:uidLastSave="{00000000-0000-0000-0000-000000000000}"/>
  <bookViews>
    <workbookView xWindow="3040" yWindow="730" windowWidth="30640" windowHeight="15270" xr2:uid="{B0D1DEB3-ECAA-4270-A5FA-F4106BACFDE1}"/>
  </bookViews>
  <sheets>
    <sheet name="MFA Underwriting Checkli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1" l="1"/>
  <c r="H39" i="1"/>
  <c r="G39" i="1"/>
  <c r="H33" i="1"/>
  <c r="G33" i="1"/>
  <c r="G51" i="1"/>
  <c r="H27" i="1"/>
  <c r="H24" i="1"/>
  <c r="H12" i="1"/>
  <c r="G7" i="1"/>
  <c r="H53" i="1"/>
  <c r="H52" i="1"/>
  <c r="H47" i="1"/>
  <c r="H46" i="1"/>
  <c r="H49" i="1"/>
  <c r="H48" i="1"/>
  <c r="H45" i="1"/>
  <c r="H44" i="1"/>
  <c r="H43" i="1"/>
  <c r="H42" i="1"/>
  <c r="H41" i="1"/>
  <c r="H40" i="1"/>
  <c r="H37" i="1"/>
  <c r="H36" i="1"/>
  <c r="H35" i="1"/>
  <c r="H34" i="1"/>
  <c r="H32" i="1"/>
  <c r="H31" i="1"/>
  <c r="H30" i="1"/>
  <c r="H29" i="1"/>
  <c r="H28" i="1"/>
  <c r="H25" i="1"/>
  <c r="H23" i="1"/>
  <c r="H22" i="1"/>
  <c r="H15" i="1" s="1"/>
  <c r="H21" i="1"/>
  <c r="H20" i="1"/>
  <c r="H19" i="1"/>
  <c r="H18" i="1"/>
  <c r="H17" i="1"/>
  <c r="H16" i="1"/>
  <c r="H13" i="1"/>
  <c r="H10" i="1"/>
  <c r="H7" i="1" s="1"/>
  <c r="H9" i="1"/>
  <c r="H8" i="1"/>
  <c r="C47" i="1"/>
  <c r="C46" i="1"/>
  <c r="G24" i="1" l="1"/>
  <c r="G15" i="1"/>
  <c r="H5" i="1"/>
  <c r="G27" i="1"/>
  <c r="G5" i="1" s="1"/>
  <c r="G12" i="1"/>
  <c r="C31" i="1" l="1"/>
  <c r="C29" i="1"/>
  <c r="D9" i="1"/>
  <c r="D10" i="1" s="1"/>
  <c r="D13" i="1" s="1"/>
  <c r="D16" i="1" s="1"/>
  <c r="C53" i="1" l="1"/>
  <c r="C52" i="1"/>
  <c r="C48" i="1"/>
  <c r="C49" i="1"/>
  <c r="C45" i="1"/>
  <c r="C22" i="1"/>
  <c r="C21" i="1"/>
  <c r="C20" i="1"/>
  <c r="C19" i="1"/>
  <c r="C44" i="1"/>
  <c r="C18" i="1"/>
  <c r="C17" i="1"/>
  <c r="C16" i="1"/>
  <c r="C23" i="1"/>
  <c r="C43" i="1"/>
  <c r="C42" i="1"/>
  <c r="C37" i="1"/>
  <c r="C41" i="1"/>
  <c r="C35" i="1"/>
  <c r="C40" i="1"/>
  <c r="C36" i="1"/>
  <c r="C34" i="1"/>
  <c r="C32" i="1"/>
  <c r="C30" i="1"/>
  <c r="C28" i="1"/>
  <c r="C25" i="1"/>
  <c r="C13" i="1"/>
  <c r="C10" i="1"/>
  <c r="C9" i="1"/>
  <c r="C8" i="1"/>
  <c r="D17" i="1" l="1"/>
  <c r="D18" i="1" s="1"/>
  <c r="D19" i="1" s="1"/>
  <c r="D20" i="1" l="1"/>
  <c r="D21" i="1" s="1"/>
  <c r="D22" i="1" s="1"/>
  <c r="D23" i="1" s="1"/>
  <c r="D25" i="1" s="1"/>
  <c r="D28" i="1" s="1"/>
  <c r="D29" i="1" s="1"/>
  <c r="D30" i="1" s="1"/>
  <c r="D31" i="1" s="1"/>
  <c r="D32" i="1" s="1"/>
  <c r="D34" i="1" s="1"/>
  <c r="D35" i="1" s="1"/>
  <c r="D36" i="1" s="1"/>
  <c r="D37" i="1" s="1"/>
  <c r="D40" i="1" s="1"/>
  <c r="D41" i="1" s="1"/>
  <c r="D42" i="1" s="1"/>
  <c r="D43" i="1" s="1"/>
  <c r="D44" i="1" s="1"/>
  <c r="D45" i="1" s="1"/>
  <c r="D46" i="1" s="1"/>
  <c r="D47" i="1" s="1"/>
  <c r="D48" i="1" s="1"/>
  <c r="D49" i="1" l="1"/>
  <c r="D52" i="1" s="1"/>
  <c r="D5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Craig Drummond</author>
  </authors>
  <commentList>
    <comment ref="F5" authorId="0" shapeId="0" xr:uid="{E95C6E9F-F1A8-423D-BD4A-90AABF399A21}">
      <text>
        <r>
          <rPr>
            <sz val="9"/>
            <color indexed="81"/>
            <rFont val="Calibri"/>
            <family val="2"/>
            <scheme val="minor"/>
          </rPr>
          <t>Mark each item you complete as "Y". The Actual Time calculations will only capture items that you mark as done</t>
        </r>
      </text>
    </comment>
    <comment ref="G5" authorId="0" shapeId="0" xr:uid="{07DE088E-1856-4EA8-97F9-7707B4674D94}">
      <text>
        <r>
          <rPr>
            <sz val="9"/>
            <color indexed="81"/>
            <rFont val="Calibri"/>
            <family val="2"/>
            <scheme val="minor"/>
          </rPr>
          <t>The Estimated Time is a high-level estimate and will vary greatly depending on your individual deal complexity. Adjust these times as needed.</t>
        </r>
      </text>
    </comment>
    <comment ref="H5" authorId="0" shapeId="0" xr:uid="{D474ED13-86A6-42BE-8053-FB90E68115C7}">
      <text>
        <r>
          <rPr>
            <sz val="9"/>
            <color indexed="81"/>
            <rFont val="Calibri"/>
            <family val="2"/>
            <scheme val="minor"/>
          </rPr>
          <t>The Actual Time calculations will only capture items that you mark as done (Col F). You may overwrite the Actual Times with your own values</t>
        </r>
      </text>
    </comment>
  </commentList>
</comments>
</file>

<file path=xl/sharedStrings.xml><?xml version="1.0" encoding="utf-8"?>
<sst xmlns="http://schemas.openxmlformats.org/spreadsheetml/2006/main" count="182" uniqueCount="101">
  <si>
    <t>Task</t>
  </si>
  <si>
    <t>Description</t>
  </si>
  <si>
    <t>Initial Overview</t>
  </si>
  <si>
    <t>Google Map</t>
  </si>
  <si>
    <t>T12</t>
  </si>
  <si>
    <t>Populate Unit Mix</t>
  </si>
  <si>
    <t>Verify initial inputs</t>
  </si>
  <si>
    <t>Detailed Renovation</t>
  </si>
  <si>
    <t>Repair Detail</t>
  </si>
  <si>
    <t>Rent Strategy</t>
  </si>
  <si>
    <t>Rent Comps</t>
  </si>
  <si>
    <t>Proforma Income / Expenses</t>
  </si>
  <si>
    <t>Other Income Strategy</t>
  </si>
  <si>
    <t>Taxes</t>
  </si>
  <si>
    <t>Tax</t>
  </si>
  <si>
    <t>Growth Rates</t>
  </si>
  <si>
    <t>Timing / Cap Rates</t>
  </si>
  <si>
    <t>Purchase Price</t>
  </si>
  <si>
    <t>Closing Costs</t>
  </si>
  <si>
    <t>Detailed Closing Costs</t>
  </si>
  <si>
    <t>Reserves</t>
  </si>
  <si>
    <t>Exterior Project Costs</t>
  </si>
  <si>
    <t>Investor Split &amp; GP Fees</t>
  </si>
  <si>
    <t>Initial Debt Assumptions</t>
  </si>
  <si>
    <t>Detailed Debt Assumptions</t>
  </si>
  <si>
    <t>Adjust Model for Desired Returns</t>
  </si>
  <si>
    <t>Evaluate Sales Comps</t>
  </si>
  <si>
    <t>Summary</t>
  </si>
  <si>
    <t>Prepare Summary Sheet</t>
  </si>
  <si>
    <t>Income</t>
  </si>
  <si>
    <t>High-Level Market Check</t>
  </si>
  <si>
    <t>Present deal to Partners</t>
  </si>
  <si>
    <t>✓</t>
  </si>
  <si>
    <t>Import &amp; Map Rent Roll</t>
  </si>
  <si>
    <t>Import &amp; Map T12</t>
  </si>
  <si>
    <t>Update RR Summary tab</t>
  </si>
  <si>
    <t>RR_Summary</t>
  </si>
  <si>
    <t>RR_Input</t>
  </si>
  <si>
    <t>Property Name:</t>
  </si>
  <si>
    <t>Date:</t>
  </si>
  <si>
    <t>Property Address:</t>
  </si>
  <si>
    <t>Deal Folder Link:</t>
  </si>
  <si>
    <t xml:space="preserve"> </t>
  </si>
  <si>
    <t>FREE</t>
  </si>
  <si>
    <t>LITE</t>
  </si>
  <si>
    <t>ADVANCED</t>
  </si>
  <si>
    <t>MFA Underwriting File Used</t>
  </si>
  <si>
    <t>Determine exterior project costs based on OM.  Update as needed (i.e. after property visit, broker discussions, etc.)</t>
  </si>
  <si>
    <t>"Drive" the area in Google Streetview. Is the area appealing? Are the surrounding neighborhoods well maintained? Are there national chain businesses nearby?</t>
  </si>
  <si>
    <r>
      <t xml:space="preserve">Use the </t>
    </r>
    <r>
      <rPr>
        <b/>
        <u/>
        <sz val="12"/>
        <color theme="1"/>
        <rFont val="Calibri"/>
        <family val="2"/>
        <scheme val="minor"/>
      </rPr>
      <t>MFA Rent Roll Formatter</t>
    </r>
    <r>
      <rPr>
        <sz val="12"/>
        <color theme="1"/>
        <rFont val="Calibri"/>
        <family val="2"/>
        <scheme val="minor"/>
      </rPr>
      <t xml:space="preserve"> tool (included with MFA-ADVANCED subscription) to ensure that the rent roll is correctly formatted prior to pasting into the MFA ADVANCED underwriting model.</t>
    </r>
  </si>
  <si>
    <t>DECISION POINT: GO / NO GO</t>
  </si>
  <si>
    <t>y</t>
  </si>
  <si>
    <t>Verify that T12, RR, Unit Mix, and Property Info are complete and accurate. You can validate vs. the raw data files &amp;/or the OM</t>
  </si>
  <si>
    <t>Initial Underwriting</t>
  </si>
  <si>
    <t>Initial Deal Assumptions</t>
  </si>
  <si>
    <r>
      <t xml:space="preserve">Quik UW Analysis </t>
    </r>
    <r>
      <rPr>
        <sz val="12"/>
        <rFont val="Calibri"/>
        <family val="2"/>
        <scheme val="minor"/>
      </rPr>
      <t>(Optional)</t>
    </r>
  </si>
  <si>
    <t>Market Analysis</t>
  </si>
  <si>
    <r>
      <t xml:space="preserve">Detailed Market Analysis </t>
    </r>
    <r>
      <rPr>
        <sz val="12"/>
        <rFont val="Calibri"/>
        <family val="2"/>
        <scheme val="minor"/>
      </rPr>
      <t>(Optional)</t>
    </r>
  </si>
  <si>
    <t>Initial Renovation Strategy</t>
  </si>
  <si>
    <r>
      <t xml:space="preserve">UW Model Tab
</t>
    </r>
    <r>
      <rPr>
        <sz val="11"/>
        <color theme="0"/>
        <rFont val="Calibri"/>
        <family val="2"/>
        <scheme val="minor"/>
      </rPr>
      <t>(if applicable)</t>
    </r>
  </si>
  <si>
    <t>Detailed Underwriting</t>
  </si>
  <si>
    <t>Property Management Review</t>
  </si>
  <si>
    <t>Obtain Insurance Quotes</t>
  </si>
  <si>
    <t>Summarize &amp; Present Deal</t>
  </si>
  <si>
    <t>Set PP equal to whisper price for initial analysis.</t>
  </si>
  <si>
    <t>Reserves. How much operational reserves do you want to hold? CREE Capital typically reserves 6mo of year 1 expenses</t>
  </si>
  <si>
    <t>Set your investor structures. The MFA uses a cash-on-cash preferred return structure with GP/LP split after the preferred return is met. A common structure is 8% preferred return with a 70/30 LP/GP split.</t>
  </si>
  <si>
    <t>UW using high-level debt assumptions based on recent quotes for similar asset size/class. You can also check with the listing broker to see if they have prepared a term sheet.</t>
  </si>
  <si>
    <t>Update / Verify growth rates &amp; % GPR assumptions based on your local market knowledge and the asset class being analyzed.</t>
  </si>
  <si>
    <t>Quickly review the OM. Does the deal meet you criteria for asset class, units, location, age, value-add?</t>
  </si>
  <si>
    <t>Evaluate high-level market info. Median HH Income (justicemap.org), crime rates, area population growth, etc.</t>
  </si>
  <si>
    <r>
      <t xml:space="preserve">Prepare UW File </t>
    </r>
    <r>
      <rPr>
        <sz val="12"/>
        <rFont val="Calibri"/>
        <family val="2"/>
        <scheme val="minor"/>
      </rPr>
      <t>(MFA Specific Tasks)</t>
    </r>
  </si>
  <si>
    <t xml:space="preserve">Set Rents for Market &amp; Post-Reno. Evaluate in-place &amp; market rents vs. RR indicators and adjust market rent if necessary. Set post-reno rents for renovated units. If property already has renovated units, the RR indicators will help determine what they are achieving for their renovated units.  Check rent estimates vs. Rentometer / CoStar / Apartments.com.  </t>
  </si>
  <si>
    <t>UW_Model</t>
  </si>
  <si>
    <t>Complete the renovation strategy (units to be renovated, cost per unit, renovation timing). High-level assumptions are ok at this stage. If the deal looks good, you'll go back later to prepare a detailed renovation strategy.</t>
  </si>
  <si>
    <t>Normalize year 1 proforma income &amp; expenses. Evaluate past performance &amp; document anomalies. Be sure to consider other income strategies, RUBS %, vacancy, loss to lease, etc. Taxes are often your largest expense and often underestimated in initial underwriting. Be sure to understand how taxes will be treated and make an educated guess in your initial underwriting. If you move forward past the initial underwriting, you will need to perform a detailed tax analysis.</t>
  </si>
  <si>
    <r>
      <t xml:space="preserve">Evaluate deal for Other Income Value Add. Complete Other Income worksheet and incorporate into UW Model tab.  </t>
    </r>
    <r>
      <rPr>
        <b/>
        <sz val="12"/>
        <color rgb="FFFF0000"/>
        <rFont val="Calibri"/>
        <family val="2"/>
        <scheme val="minor"/>
      </rPr>
      <t xml:space="preserve">NOTE: </t>
    </r>
    <r>
      <rPr>
        <sz val="12"/>
        <color theme="1"/>
        <rFont val="Calibri"/>
        <family val="2"/>
        <scheme val="minor"/>
      </rPr>
      <t>If you're not using the MFA-ADVANCED you should still spend time understanding your other income strategy. Small changes to increase other income can have massive effects on the value of your asset.</t>
    </r>
  </si>
  <si>
    <t>Prepare the detailed closing costs breakout. You may choose to itemize your closing costs in the MFA-ADVANCED</t>
  </si>
  <si>
    <t>Obtain a loan quote from one of CREE Capital's preferred lenders.</t>
  </si>
  <si>
    <t>Evaluate sales comps. CoStar, Yardi, and Crexi are great for this. If you don't have a subscription you can ask your broker or property manager for a report.</t>
  </si>
  <si>
    <r>
      <t>Compare subject property Market and Post-Reno rents vs. comp using the Rent Comps tab.  Adjust rent strategy on the Unit Mix as needed.</t>
    </r>
    <r>
      <rPr>
        <b/>
        <sz val="12"/>
        <color rgb="FFFF0000"/>
        <rFont val="Calibri"/>
        <family val="2"/>
        <scheme val="minor"/>
      </rPr>
      <t xml:space="preserve"> NOTE: </t>
    </r>
    <r>
      <rPr>
        <sz val="12"/>
        <color theme="1"/>
        <rFont val="Calibri"/>
        <family val="2"/>
        <scheme val="minor"/>
      </rPr>
      <t>If you're not using the MFA-ADVANCED, it will critical for you to understand how your rents compare to the competition. Your GPR (Gross Potential Rent) is the largest number in your proforma and has a huge impact on your underwriting. Spend time here getting this right.</t>
    </r>
  </si>
  <si>
    <t>If you have a great relationship with a property manager you can ask them to review your rent, renovation, and proforma strategy. Do this sparingly as you do not want to wear out your relationship!</t>
  </si>
  <si>
    <t>Paste property pics into Summary sheet.  Size to 1.65" H and arrange into picture area.  Place picture labels to indicate # of classic vs renovated units. If not using the MFA you should prepare a concise summary of your underwriting for your partners.</t>
  </si>
  <si>
    <t>Present your deal and make a final decision to move forward or not.</t>
  </si>
  <si>
    <t>Process Rent Roll</t>
  </si>
  <si>
    <t>Perform Quik Underwriting</t>
  </si>
  <si>
    <t>Obtain an insurance quote from a licensed insurance broker</t>
  </si>
  <si>
    <t>Review Offering Memorandum (OM)</t>
  </si>
  <si>
    <t>Set project timing and current market cap rate.  Use CoStar, Crexi, Brokers, Property Management, for cap rate guidance.</t>
  </si>
  <si>
    <r>
      <t xml:space="preserve">Typically set closing costs to 2% to 4%. </t>
    </r>
    <r>
      <rPr>
        <b/>
        <sz val="12"/>
        <color rgb="FFFF0000"/>
        <rFont val="Calibri"/>
        <family val="2"/>
        <scheme val="minor"/>
      </rPr>
      <t>NOTE:</t>
    </r>
    <r>
      <rPr>
        <sz val="12"/>
        <color theme="1"/>
        <rFont val="Calibri"/>
        <family val="2"/>
        <scheme val="minor"/>
      </rPr>
      <t xml:space="preserve"> in the MFA the closing cost % should not include the cost of financing. That is calculated in the Debt Structure section.</t>
    </r>
  </si>
  <si>
    <t>Paste T12 into T12 tab and map the T12 categories. Evaluate T12 for anomalies &amp; take notes. Follow up with broker on any questions.</t>
  </si>
  <si>
    <t>Update the RR Summary dashboard by clicking "Refresh Data". Analyze Rent Roll trends. Do leasing trends support their market rents? Is there a large loss to lease for any of the unit types? Evaluate vacancy by unit type. Document any anomalies or opportunities.</t>
  </si>
  <si>
    <t>Click "Populate Unit Mix" macro button on either the UW_Model table or RR_Summary tab to populate unit mix table on the 'UW Model' tab.</t>
  </si>
  <si>
    <r>
      <t xml:space="preserve">Complete by Unit Type line-item renovation table to dial in repair costs / per unit. </t>
    </r>
    <r>
      <rPr>
        <b/>
        <sz val="12"/>
        <color rgb="FFFF0000"/>
        <rFont val="Calibri"/>
        <family val="2"/>
        <scheme val="minor"/>
      </rPr>
      <t xml:space="preserve">NOTE: </t>
    </r>
    <r>
      <rPr>
        <sz val="12"/>
        <color theme="1"/>
        <rFont val="Calibri"/>
        <family val="2"/>
        <scheme val="minor"/>
      </rPr>
      <t>If you're not using the MFA-ADVANCED, it will be important for you to detail your renovation strategy as the size of your unit types and number of bathrooms could impact your renovation budget. Also consider any exterior renovations needed. Be sure to include a contingency, typically 10% of renovation costs.</t>
    </r>
  </si>
  <si>
    <r>
      <t xml:space="preserve">Determine tax after sale.  Use the simple calculator on the Tax tab of the MFA-ADVANCED. If you're not using the MFA-ADVANCED you can calculate your tax amount using the following calculation: Purchase Price x Assessed Value x Millage Rate.  Be sure to pull the most recent tax bill &amp; assessor data &amp; check against T12.  Call the county/city assessor and ask if commercial properties are reassessed after sale.  Verify millage rate. Ask about any other potential tax events (i.e. supplemental tax, scheduled reappraisals on year x, etc.).  Verify assumption with other nearby assets. Update Yr1 Proforma with your new tax estimate. </t>
    </r>
    <r>
      <rPr>
        <sz val="12"/>
        <color rgb="FFFF0000"/>
        <rFont val="Calibri"/>
        <family val="2"/>
        <scheme val="minor"/>
      </rPr>
      <t xml:space="preserve"> </t>
    </r>
    <r>
      <rPr>
        <b/>
        <sz val="12"/>
        <color rgb="FFFF0000"/>
        <rFont val="Calibri"/>
        <family val="2"/>
        <scheme val="minor"/>
      </rPr>
      <t>NOTE:</t>
    </r>
    <r>
      <rPr>
        <sz val="12"/>
        <color rgb="FFFF0000"/>
        <rFont val="Calibri"/>
        <family val="2"/>
        <scheme val="minor"/>
      </rPr>
      <t xml:space="preserve"> do not provide assessor w/specific property details (i.e. address).</t>
    </r>
  </si>
  <si>
    <t>The Quik UW is a great way to quickly model a value-add deal without completing a full underwriting analysis. Recommended to perform a quik UW analysis using the broker's OM for base inputs. This will likely be the most optimistic scenario and if you can't meet returns with these inputs then the deal is likely a pass. If there is not an OM you can use T12 for some of the inputs along with your own assumptions. Adjust deal assumptions as desired. If returns are close to desired, then perform a full UW. Use knowledge of local market cap rates (or Costar/Broker Input) &amp; recent debt quotes for initial Quik UW</t>
  </si>
  <si>
    <r>
      <t xml:space="preserve">If you're unfamiliar with an area it is recommended that you evaluate local demographics in detail. Recommend using the </t>
    </r>
    <r>
      <rPr>
        <b/>
        <u/>
        <sz val="12"/>
        <color theme="1"/>
        <rFont val="Calibri"/>
        <family val="2"/>
        <scheme val="minor"/>
      </rPr>
      <t>MFA Market Analysis</t>
    </r>
    <r>
      <rPr>
        <sz val="12"/>
        <color theme="1"/>
        <rFont val="Calibri"/>
        <family val="2"/>
        <scheme val="minor"/>
      </rPr>
      <t xml:space="preserve"> tool (free at www.mfaunderwriting.com). Some key indicators to consider: Is the local population growing? Is the median HH income at least 3x the anticipated annual post-renovation rents?  Evaluate area crime, unemployment, poverty, job growth/industry. Divide Median HH income by 36 (3 years x 12 months) to determine the max monthly rent amount.  Example) Median HH Income = $47,329.  $47,329 / 36 = $1,315 (the max recommended monthly rent)</t>
    </r>
  </si>
  <si>
    <t>T12, RR_Input, UW_Model</t>
  </si>
  <si>
    <r>
      <rPr>
        <sz val="11"/>
        <rFont val="Calibri"/>
        <family val="2"/>
        <scheme val="minor"/>
      </rPr>
      <t xml:space="preserve">Tweak model assumptions until desired reserves are achieved. Some dials to consider are Offer Price, Rent strategy, Yr1 Proforma, Growth rates, Debt, Investor splits, and Cap rates. Goal Seek is great for this. Check out my video for how to use Goal Seek –&gt; </t>
    </r>
    <r>
      <rPr>
        <u/>
        <sz val="11"/>
        <color theme="10"/>
        <rFont val="Calibri"/>
        <family val="2"/>
        <scheme val="minor"/>
      </rPr>
      <t>https://www.youtube.com/watch?v=XK-iSgrcrso</t>
    </r>
  </si>
  <si>
    <r>
      <t xml:space="preserve">Paste Rent Roll into Rent Roll tab. Map all rent roll fields. Input terms used to identify Vacant units, model units (if any), and admin units (if any). </t>
    </r>
    <r>
      <rPr>
        <b/>
        <sz val="12"/>
        <color rgb="FFFF0000"/>
        <rFont val="Calibri"/>
        <family val="2"/>
        <scheme val="minor"/>
      </rPr>
      <t>NOTE:</t>
    </r>
    <r>
      <rPr>
        <sz val="12"/>
        <color theme="1"/>
        <rFont val="Calibri"/>
        <family val="2"/>
        <scheme val="minor"/>
      </rPr>
      <t xml:space="preserve"> If you are not using the MFA-ADVANCED template, it is strongly recommended that you still analyze the Rent Roll data as it is your best indication of current rental performance.</t>
    </r>
  </si>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</sst>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0&quot;.&quot;"/>
  </numFmts>
  <fonts count="25" x14ac:knownFonts="1">
    <font>
      <sz val="11"/>
      <color theme="1"/>
      <name val="Calibri"/>
      <family val="2"/>
      <scheme val="minor"/>
    </font>
    <font>
      <sz val="9"/>
      <color theme="1"/>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2"/>
      <color rgb="FF00B050"/>
      <name val="Calibri"/>
      <family val="2"/>
      <scheme val="minor"/>
    </font>
    <font>
      <sz val="10"/>
      <name val="Calibri"/>
      <family val="2"/>
      <scheme val="minor"/>
    </font>
    <font>
      <sz val="11"/>
      <color rgb="FF000000"/>
      <name val="Calibri"/>
      <family val="2"/>
    </font>
    <font>
      <b/>
      <sz val="12"/>
      <color rgb="FF0000FF"/>
      <name val="Calibri"/>
      <family val="2"/>
      <scheme val="minor"/>
    </font>
    <font>
      <sz val="12"/>
      <color rgb="FFFF0000"/>
      <name val="Calibri"/>
      <family val="2"/>
      <scheme val="minor"/>
    </font>
    <font>
      <b/>
      <sz val="12"/>
      <color rgb="FFFF0000"/>
      <name val="Calibri"/>
      <family val="2"/>
      <scheme val="minor"/>
    </font>
    <font>
      <sz val="12"/>
      <name val="Calibri"/>
      <family val="2"/>
      <scheme val="minor"/>
    </font>
    <font>
      <b/>
      <sz val="12"/>
      <color theme="1"/>
      <name val="Calibri"/>
      <family val="2"/>
      <scheme val="minor"/>
    </font>
    <font>
      <b/>
      <sz val="14"/>
      <color theme="1"/>
      <name val="Calibri"/>
      <family val="2"/>
      <scheme val="minor"/>
    </font>
    <font>
      <b/>
      <sz val="14"/>
      <color theme="0"/>
      <name val="Calibri"/>
      <family val="2"/>
      <scheme val="minor"/>
    </font>
    <font>
      <sz val="14"/>
      <color theme="0"/>
      <name val="Calibri"/>
      <family val="2"/>
      <scheme val="minor"/>
    </font>
    <font>
      <b/>
      <u/>
      <sz val="12"/>
      <color theme="1"/>
      <name val="Calibri"/>
      <family val="2"/>
      <scheme val="minor"/>
    </font>
    <font>
      <b/>
      <sz val="12"/>
      <name val="Calibri"/>
      <family val="2"/>
      <scheme val="minor"/>
    </font>
    <font>
      <b/>
      <sz val="14"/>
      <name val="Calibri"/>
      <family val="2"/>
      <scheme val="minor"/>
    </font>
    <font>
      <b/>
      <i/>
      <sz val="12"/>
      <color rgb="FF13545E"/>
      <name val="Calibri"/>
      <family val="2"/>
      <scheme val="minor"/>
    </font>
    <font>
      <i/>
      <sz val="10"/>
      <color rgb="FF13545E"/>
      <name val="Calibri"/>
      <family val="2"/>
      <scheme val="minor"/>
    </font>
    <font>
      <sz val="11"/>
      <name val="Calibri"/>
      <family val="2"/>
      <scheme val="minor"/>
    </font>
    <font>
      <b/>
      <sz val="10"/>
      <color theme="1"/>
      <name val="Calibri"/>
      <family val="2"/>
      <scheme val="minor"/>
    </font>
    <font>
      <sz val="9"/>
      <color indexed="81"/>
      <name val="Calibri"/>
      <family val="2"/>
      <scheme val="minor"/>
    </font>
    <font>
      <u/>
      <sz val="11"/>
      <color theme="10"/>
      <name val="Calibri"/>
      <family val="2"/>
      <scheme val="minor"/>
    </font>
  </fonts>
  <fills count="7">
    <fill>
      <patternFill patternType="none"/>
    </fill>
    <fill>
      <patternFill patternType="gray125"/>
    </fill>
    <fill>
      <patternFill patternType="solid">
        <fgColor rgb="FF13545E"/>
        <bgColor indexed="64"/>
      </patternFill>
    </fill>
    <fill>
      <patternFill patternType="solid">
        <fgColor rgb="FFFFFFCC"/>
        <bgColor indexed="64"/>
      </patternFill>
    </fill>
    <fill>
      <patternFill patternType="solid">
        <fgColor rgb="FFCDE1E7"/>
        <bgColor indexed="64"/>
      </patternFill>
    </fill>
    <fill>
      <patternFill patternType="solid">
        <fgColor theme="7" tint="0.39997558519241921"/>
        <bgColor indexed="64"/>
      </patternFill>
    </fill>
    <fill>
      <patternFill patternType="solid">
        <fgColor theme="0"/>
        <bgColor indexed="64"/>
      </patternFill>
    </fill>
  </fills>
  <borders count="30">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right/>
      <top/>
      <bottom style="thin">
        <color theme="1" tint="0.249977111117893"/>
      </bottom>
      <diagonal/>
    </border>
    <border>
      <left style="thin">
        <color theme="1" tint="0.249977111117893"/>
      </left>
      <right style="thin">
        <color theme="1" tint="0.249977111117893"/>
      </right>
      <top/>
      <bottom style="thin">
        <color theme="1" tint="0.249977111117893"/>
      </bottom>
      <diagonal/>
    </border>
    <border>
      <left/>
      <right/>
      <top/>
      <bottom style="thin">
        <color indexed="64"/>
      </bottom>
      <diagonal/>
    </border>
    <border>
      <left style="thin">
        <color theme="1" tint="0.249977111117893"/>
      </left>
      <right style="thin">
        <color indexed="64"/>
      </right>
      <top style="thin">
        <color theme="1" tint="0.249977111117893"/>
      </top>
      <bottom style="thin">
        <color theme="1" tint="0.249977111117893"/>
      </bottom>
      <diagonal/>
    </border>
    <border>
      <left/>
      <right style="thin">
        <color theme="1" tint="0.249977111117893"/>
      </right>
      <top/>
      <bottom style="thin">
        <color theme="1" tint="0.249977111117893"/>
      </bottom>
      <diagonal/>
    </border>
    <border>
      <left/>
      <right style="thin">
        <color indexed="64"/>
      </right>
      <top/>
      <bottom style="thin">
        <color indexed="64"/>
      </bottom>
      <diagonal/>
    </border>
    <border>
      <left style="thin">
        <color indexed="64"/>
      </left>
      <right style="thin">
        <color indexed="64"/>
      </right>
      <top style="thin">
        <color theme="1" tint="0.249977111117893"/>
      </top>
      <bottom style="thin">
        <color theme="1" tint="0.249977111117893"/>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diagonal/>
    </border>
    <border>
      <left/>
      <right style="thin">
        <color theme="0" tint="-0.24994659260841701"/>
      </right>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theme="1" tint="0.249977111117893"/>
      </bottom>
      <diagonal/>
    </border>
    <border>
      <left/>
      <right/>
      <top style="thin">
        <color indexed="64"/>
      </top>
      <bottom style="thin">
        <color theme="1" tint="0.249977111117893"/>
      </bottom>
      <diagonal/>
    </border>
    <border>
      <left/>
      <right/>
      <top style="thin">
        <color indexed="64"/>
      </top>
      <bottom/>
      <diagonal/>
    </border>
    <border>
      <left style="thin">
        <color indexed="64"/>
      </left>
      <right/>
      <top style="thin">
        <color indexed="64"/>
      </top>
      <bottom/>
      <diagonal/>
    </border>
    <border>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top style="thin">
        <color indexed="64"/>
      </top>
      <bottom style="thin">
        <color theme="0" tint="-0.24994659260841701"/>
      </bottom>
      <diagonal/>
    </border>
    <border>
      <left/>
      <right/>
      <top style="thin">
        <color indexed="64"/>
      </top>
      <bottom style="thin">
        <color theme="0" tint="-0.24994659260841701"/>
      </bottom>
      <diagonal/>
    </border>
    <border>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diagonal/>
    </border>
    <border>
      <left/>
      <right/>
      <top style="dashed">
        <color rgb="FF13545E"/>
      </top>
      <bottom style="dashed">
        <color rgb="FF13545E"/>
      </bottom>
      <diagonal/>
    </border>
    <border>
      <left style="thin">
        <color indexed="64"/>
      </left>
      <right/>
      <top/>
      <bottom/>
      <diagonal/>
    </border>
    <border>
      <left style="thin">
        <color theme="0" tint="-0.24994659260841701"/>
      </left>
      <right style="thin">
        <color indexed="64"/>
      </right>
      <top/>
      <bottom/>
      <diagonal/>
    </border>
    <border>
      <left style="thin">
        <color theme="1" tint="0.249977111117893"/>
      </left>
      <right style="thin">
        <color indexed="64"/>
      </right>
      <top/>
      <bottom style="thin">
        <color theme="1" tint="0.249977111117893"/>
      </bottom>
      <diagonal/>
    </border>
  </borders>
  <cellStyleXfs count="3">
    <xf numFmtId="0" fontId="0" fillId="0" borderId="0"/>
    <xf numFmtId="0" fontId="7" fillId="0" borderId="0"/>
    <xf numFmtId="0" fontId="24" fillId="0" borderId="0" applyNumberFormat="0" applyFill="0" applyBorder="0" applyAlignment="0" applyProtection="0"/>
  </cellStyleXfs>
  <cellXfs count="68">
    <xf numFmtId="0" fontId="0" fillId="0" borderId="0" xfId="0"/>
    <xf numFmtId="0" fontId="1" fillId="0" borderId="0" xfId="0" applyFont="1"/>
    <xf numFmtId="0" fontId="4" fillId="0" borderId="0" xfId="0" applyFont="1" applyAlignment="1">
      <alignment horizontal="left"/>
    </xf>
    <xf numFmtId="0" fontId="4" fillId="0" borderId="0" xfId="0" applyFont="1" applyAlignment="1">
      <alignment horizontal="right"/>
    </xf>
    <xf numFmtId="164" fontId="17" fillId="4" borderId="14" xfId="0" applyNumberFormat="1" applyFont="1" applyFill="1" applyBorder="1" applyAlignment="1">
      <alignment horizontal="center" vertical="center"/>
    </xf>
    <xf numFmtId="0" fontId="17" fillId="4" borderId="14" xfId="0" applyFont="1" applyFill="1" applyBorder="1" applyAlignment="1">
      <alignment horizontal="center" vertical="center"/>
    </xf>
    <xf numFmtId="164" fontId="17" fillId="4" borderId="14" xfId="0" applyNumberFormat="1" applyFont="1" applyFill="1" applyBorder="1" applyAlignment="1">
      <alignment horizontal="center" vertical="center" wrapText="1"/>
    </xf>
    <xf numFmtId="164" fontId="17" fillId="4" borderId="10" xfId="0" applyNumberFormat="1" applyFont="1" applyFill="1" applyBorder="1" applyAlignment="1">
      <alignment vertical="center"/>
    </xf>
    <xf numFmtId="0" fontId="17" fillId="4" borderId="11" xfId="0" applyFont="1" applyFill="1" applyBorder="1" applyAlignment="1">
      <alignment vertical="center"/>
    </xf>
    <xf numFmtId="164" fontId="18" fillId="4" borderId="14" xfId="0" applyNumberFormat="1" applyFont="1" applyFill="1" applyBorder="1" applyAlignment="1">
      <alignment horizontal="center" vertical="center"/>
    </xf>
    <xf numFmtId="0" fontId="8" fillId="3" borderId="9" xfId="0" applyFont="1" applyFill="1" applyBorder="1" applyAlignment="1">
      <alignment horizontal="center" vertical="center"/>
    </xf>
    <xf numFmtId="0" fontId="8" fillId="3" borderId="16" xfId="0" applyFont="1" applyFill="1" applyBorder="1" applyAlignment="1">
      <alignment horizontal="center" vertical="center"/>
    </xf>
    <xf numFmtId="0" fontId="22" fillId="5" borderId="14" xfId="0" applyFont="1" applyFill="1" applyBorder="1" applyAlignment="1">
      <alignment vertical="center"/>
    </xf>
    <xf numFmtId="0" fontId="22" fillId="5" borderId="10" xfId="0" applyFont="1" applyFill="1" applyBorder="1" applyAlignment="1">
      <alignment vertical="center"/>
    </xf>
    <xf numFmtId="0" fontId="17" fillId="4" borderId="15" xfId="0" applyFont="1" applyFill="1" applyBorder="1" applyAlignment="1">
      <alignment vertical="center"/>
    </xf>
    <xf numFmtId="164" fontId="17" fillId="4" borderId="5" xfId="0" applyNumberFormat="1" applyFont="1" applyFill="1" applyBorder="1" applyAlignment="1">
      <alignment horizontal="center" vertical="center"/>
    </xf>
    <xf numFmtId="0" fontId="17" fillId="4" borderId="5" xfId="0" applyFont="1" applyFill="1" applyBorder="1" applyAlignment="1">
      <alignment horizontal="center" vertical="center"/>
    </xf>
    <xf numFmtId="164" fontId="17" fillId="4" borderId="5" xfId="0" applyNumberFormat="1" applyFont="1" applyFill="1" applyBorder="1" applyAlignment="1">
      <alignment horizontal="center" vertical="center" wrapText="1"/>
    </xf>
    <xf numFmtId="164" fontId="17" fillId="4" borderId="8" xfId="0" applyNumberFormat="1" applyFont="1" applyFill="1" applyBorder="1" applyAlignment="1">
      <alignment vertical="center"/>
    </xf>
    <xf numFmtId="164" fontId="18" fillId="4" borderId="5" xfId="0" applyNumberFormat="1" applyFont="1" applyFill="1" applyBorder="1" applyAlignment="1">
      <alignment horizontal="center" vertical="center"/>
    </xf>
    <xf numFmtId="0" fontId="2" fillId="5" borderId="11" xfId="0" applyFont="1" applyFill="1" applyBorder="1" applyAlignment="1">
      <alignment horizontal="left" vertical="center" indent="3"/>
    </xf>
    <xf numFmtId="0" fontId="6" fillId="3" borderId="26" xfId="0" applyFont="1" applyFill="1" applyBorder="1" applyAlignment="1">
      <alignment horizontal="left" vertical="center"/>
    </xf>
    <xf numFmtId="14" fontId="6" fillId="3" borderId="26" xfId="0" applyNumberFormat="1" applyFont="1" applyFill="1" applyBorder="1" applyAlignment="1">
      <alignment horizontal="left" vertical="center"/>
    </xf>
    <xf numFmtId="0" fontId="1" fillId="0" borderId="0" xfId="0" applyFont="1" applyAlignment="1">
      <alignment vertical="center"/>
    </xf>
    <xf numFmtId="0" fontId="0" fillId="0" borderId="0" xfId="0" applyAlignment="1">
      <alignment vertical="center"/>
    </xf>
    <xf numFmtId="21" fontId="12" fillId="4" borderId="17" xfId="0" applyNumberFormat="1" applyFont="1" applyFill="1" applyBorder="1" applyAlignment="1">
      <alignment horizontal="center" vertical="center"/>
    </xf>
    <xf numFmtId="21" fontId="12" fillId="4" borderId="3" xfId="0" applyNumberFormat="1" applyFont="1" applyFill="1" applyBorder="1" applyAlignment="1">
      <alignment horizontal="center" vertical="center"/>
    </xf>
    <xf numFmtId="164" fontId="15" fillId="2" borderId="12" xfId="0" applyNumberFormat="1" applyFont="1" applyFill="1" applyBorder="1" applyAlignment="1">
      <alignment horizontal="center"/>
    </xf>
    <xf numFmtId="0" fontId="5" fillId="6" borderId="15" xfId="0" applyFont="1" applyFill="1" applyBorder="1" applyAlignment="1">
      <alignment horizontal="right" vertical="center"/>
    </xf>
    <xf numFmtId="165" fontId="11" fillId="6" borderId="5" xfId="0" applyNumberFormat="1" applyFont="1" applyFill="1" applyBorder="1" applyAlignment="1">
      <alignment horizontal="right" vertical="center"/>
    </xf>
    <xf numFmtId="0" fontId="4" fillId="6" borderId="7" xfId="0" applyFont="1" applyFill="1" applyBorder="1" applyAlignment="1">
      <alignment vertical="center" wrapText="1"/>
    </xf>
    <xf numFmtId="0" fontId="5" fillId="6" borderId="11" xfId="0" applyFont="1" applyFill="1" applyBorder="1" applyAlignment="1">
      <alignment horizontal="right" vertical="center"/>
    </xf>
    <xf numFmtId="165" fontId="11" fillId="6" borderId="14" xfId="0" applyNumberFormat="1" applyFont="1" applyFill="1" applyBorder="1" applyAlignment="1">
      <alignment horizontal="right" vertical="center"/>
    </xf>
    <xf numFmtId="0" fontId="4" fillId="6" borderId="2" xfId="0" applyFont="1" applyFill="1" applyBorder="1" applyAlignment="1">
      <alignment vertical="center" wrapText="1"/>
    </xf>
    <xf numFmtId="21" fontId="4" fillId="6" borderId="4" xfId="0" applyNumberFormat="1" applyFont="1" applyFill="1" applyBorder="1" applyAlignment="1">
      <alignment horizontal="center" vertical="center"/>
    </xf>
    <xf numFmtId="21" fontId="4" fillId="6" borderId="1" xfId="0" applyNumberFormat="1" applyFont="1" applyFill="1" applyBorder="1" applyAlignment="1">
      <alignment horizontal="center" vertical="center"/>
    </xf>
    <xf numFmtId="21" fontId="13" fillId="6" borderId="4" xfId="0" applyNumberFormat="1" applyFont="1" applyFill="1" applyBorder="1" applyAlignment="1">
      <alignment horizontal="center" vertical="center"/>
    </xf>
    <xf numFmtId="0" fontId="4" fillId="6" borderId="29" xfId="0" applyFont="1" applyFill="1" applyBorder="1" applyAlignment="1">
      <alignment vertical="center" wrapText="1"/>
    </xf>
    <xf numFmtId="21" fontId="13" fillId="6" borderId="1" xfId="0" applyNumberFormat="1" applyFont="1" applyFill="1" applyBorder="1" applyAlignment="1">
      <alignment horizontal="center" vertical="center"/>
    </xf>
    <xf numFmtId="0" fontId="4" fillId="6" borderId="6" xfId="0" applyFont="1" applyFill="1" applyBorder="1" applyAlignment="1">
      <alignment vertical="center" wrapText="1"/>
    </xf>
    <xf numFmtId="0" fontId="0" fillId="6" borderId="0" xfId="0" applyFill="1"/>
    <xf numFmtId="0" fontId="4" fillId="6" borderId="0" xfId="0" applyFont="1" applyFill="1" applyAlignment="1">
      <alignment horizontal="right"/>
    </xf>
    <xf numFmtId="0" fontId="4" fillId="6" borderId="0" xfId="0" applyFont="1" applyFill="1" applyAlignment="1">
      <alignment horizontal="left"/>
    </xf>
    <xf numFmtId="0" fontId="19" fillId="6" borderId="0" xfId="0" applyFont="1" applyFill="1" applyAlignment="1">
      <alignment vertical="center" wrapText="1"/>
    </xf>
    <xf numFmtId="0" fontId="4" fillId="6" borderId="0" xfId="0" applyFont="1" applyFill="1" applyAlignment="1">
      <alignment horizontal="right" wrapText="1"/>
    </xf>
    <xf numFmtId="0" fontId="4" fillId="6" borderId="0" xfId="0" applyFont="1" applyFill="1" applyAlignment="1">
      <alignment horizontal="left" wrapText="1"/>
    </xf>
    <xf numFmtId="0" fontId="1" fillId="6" borderId="0" xfId="0" applyFont="1" applyFill="1" applyAlignment="1">
      <alignment wrapText="1"/>
    </xf>
    <xf numFmtId="0" fontId="19" fillId="6" borderId="5" xfId="0" applyFont="1" applyFill="1" applyBorder="1" applyAlignment="1">
      <alignment vertical="center" wrapText="1"/>
    </xf>
    <xf numFmtId="0" fontId="20" fillId="6" borderId="0" xfId="0" applyFont="1" applyFill="1" applyAlignment="1">
      <alignment horizontal="right" vertical="center"/>
    </xf>
    <xf numFmtId="0" fontId="4" fillId="6" borderId="1" xfId="0" applyFont="1" applyFill="1" applyBorder="1" applyAlignment="1">
      <alignment vertical="top" wrapText="1"/>
    </xf>
    <xf numFmtId="0" fontId="4" fillId="6" borderId="1" xfId="0" applyFont="1" applyFill="1" applyBorder="1" applyAlignment="1">
      <alignment vertical="center" wrapText="1"/>
    </xf>
    <xf numFmtId="0" fontId="24" fillId="6" borderId="1" xfId="2" applyFill="1" applyBorder="1" applyAlignment="1">
      <alignment vertical="center" wrapText="1"/>
    </xf>
    <xf numFmtId="164" fontId="14" fillId="2" borderId="21" xfId="0" applyNumberFormat="1" applyFont="1" applyFill="1" applyBorder="1" applyAlignment="1">
      <alignment horizontal="center" wrapText="1"/>
    </xf>
    <xf numFmtId="164" fontId="14" fillId="2" borderId="12" xfId="0" applyNumberFormat="1" applyFont="1" applyFill="1" applyBorder="1" applyAlignment="1">
      <alignment horizontal="center" wrapText="1"/>
    </xf>
    <xf numFmtId="164" fontId="14" fillId="2" borderId="19" xfId="0" applyNumberFormat="1" applyFont="1" applyFill="1" applyBorder="1" applyAlignment="1">
      <alignment horizontal="left" vertical="center" indent="2"/>
    </xf>
    <xf numFmtId="164" fontId="14" fillId="2" borderId="18" xfId="0" applyNumberFormat="1" applyFont="1" applyFill="1" applyBorder="1" applyAlignment="1">
      <alignment horizontal="left" vertical="center" indent="2"/>
    </xf>
    <xf numFmtId="164" fontId="14" fillId="2" borderId="20" xfId="0" applyNumberFormat="1" applyFont="1" applyFill="1" applyBorder="1" applyAlignment="1">
      <alignment horizontal="left" vertical="center" indent="2"/>
    </xf>
    <xf numFmtId="164" fontId="14" fillId="2" borderId="27" xfId="0" applyNumberFormat="1" applyFont="1" applyFill="1" applyBorder="1" applyAlignment="1">
      <alignment horizontal="left" vertical="center" indent="2"/>
    </xf>
    <xf numFmtId="164" fontId="14" fillId="2" borderId="0" xfId="0" applyNumberFormat="1" applyFont="1" applyFill="1" applyAlignment="1">
      <alignment horizontal="left" vertical="center" indent="2"/>
    </xf>
    <xf numFmtId="164" fontId="14" fillId="2" borderId="13" xfId="0" applyNumberFormat="1" applyFont="1" applyFill="1" applyBorder="1" applyAlignment="1">
      <alignment horizontal="left" vertical="center" indent="2"/>
    </xf>
    <xf numFmtId="0" fontId="14" fillId="2" borderId="21" xfId="0" applyFont="1" applyFill="1" applyBorder="1" applyAlignment="1">
      <alignment horizontal="center" vertical="center" wrapText="1"/>
    </xf>
    <xf numFmtId="0" fontId="14" fillId="2" borderId="12" xfId="0" applyFont="1" applyFill="1" applyBorder="1" applyAlignment="1">
      <alignment horizontal="center" vertical="center"/>
    </xf>
    <xf numFmtId="0" fontId="6" fillId="3" borderId="26" xfId="0" applyFont="1" applyFill="1" applyBorder="1" applyAlignment="1">
      <alignment horizontal="left" vertical="center"/>
    </xf>
    <xf numFmtId="164" fontId="14" fillId="2" borderId="22" xfId="0" applyNumberFormat="1" applyFont="1" applyFill="1" applyBorder="1" applyAlignment="1">
      <alignment horizontal="center"/>
    </xf>
    <xf numFmtId="164" fontId="14" fillId="2" borderId="23" xfId="0" applyNumberFormat="1" applyFont="1" applyFill="1" applyBorder="1" applyAlignment="1">
      <alignment horizontal="center"/>
    </xf>
    <xf numFmtId="164" fontId="14" fillId="2" borderId="24" xfId="0" applyNumberFormat="1" applyFont="1" applyFill="1" applyBorder="1" applyAlignment="1">
      <alignment horizontal="center"/>
    </xf>
    <xf numFmtId="164" fontId="14" fillId="2" borderId="25" xfId="0" applyNumberFormat="1" applyFont="1" applyFill="1" applyBorder="1" applyAlignment="1">
      <alignment horizontal="center" vertical="center"/>
    </xf>
    <xf numFmtId="164" fontId="14" fillId="2" borderId="28" xfId="0" applyNumberFormat="1" applyFont="1" applyFill="1" applyBorder="1" applyAlignment="1">
      <alignment horizontal="center" vertical="center"/>
    </xf>
  </cellXfs>
  <cellStyles count="3">
    <cellStyle name="Hyperlink" xfId="2" builtinId="8"/>
    <cellStyle name="Normal" xfId="0" builtinId="0"/>
    <cellStyle name="Normal 4" xfId="1" xr:uid="{47EF00C7-BC9C-4645-B512-BB7B2CBA31D4}"/>
  </cellStyles>
  <dxfs count="11">
    <dxf>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ill>
        <patternFill>
          <bgColor theme="0" tint="-0.14996795556505021"/>
        </patternFill>
      </fill>
    </dxf>
    <dxf>
      <font>
        <color theme="1" tint="0.34998626667073579"/>
      </font>
      <fill>
        <patternFill>
          <bgColor theme="0" tint="-0.14996795556505021"/>
        </patternFill>
      </fill>
    </dxf>
    <dxf>
      <fill>
        <patternFill>
          <bgColor theme="0" tint="-0.14996795556505021"/>
        </patternFill>
      </fill>
    </dxf>
  </dxfs>
  <tableStyles count="0" defaultTableStyle="TableStyleMedium2" defaultPivotStyle="PivotStyleLight16"/>
  <colors>
    <mruColors>
      <color rgb="FF2297AA"/>
      <color rgb="FF0000FF"/>
      <color rgb="FF13545E"/>
      <color rgb="FFCDE1E7"/>
      <color rgb="FFFFFFCC"/>
      <color rgb="FFDBD600"/>
      <color rgb="FF0D698B"/>
      <color rgb="FF059D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www.mfaunderwriting.com/" TargetMode="External"/><Relationship Id="rId1" Type="http://schemas.openxmlformats.org/officeDocument/2006/relationships/hyperlink" Target="http://www.MFAUnderwriting.com" TargetMode="External"/></Relationships>
</file>

<file path=xl/drawings/drawing1.xml><?xml version="1.0" encoding="utf-8"?>
<xdr:wsDr xmlns:xdr="http://schemas.openxmlformats.org/drawingml/2006/spreadsheetDrawing" xmlns:a="http://schemas.openxmlformats.org/drawingml/2006/main">
  <xdr:twoCellAnchor>
    <xdr:from>
      <xdr:col>4</xdr:col>
      <xdr:colOff>777874</xdr:colOff>
      <xdr:row>0</xdr:row>
      <xdr:rowOff>0</xdr:rowOff>
    </xdr:from>
    <xdr:to>
      <xdr:col>6</xdr:col>
      <xdr:colOff>1008063</xdr:colOff>
      <xdr:row>3</xdr:row>
      <xdr:rowOff>198436</xdr:rowOff>
    </xdr:to>
    <xdr:sp macro="" textlink="">
      <xdr:nvSpPr>
        <xdr:cNvPr id="14" name="TextBox 13">
          <a:hlinkClick xmlns:r="http://schemas.openxmlformats.org/officeDocument/2006/relationships" r:id="rId1"/>
          <a:extLst>
            <a:ext uri="{FF2B5EF4-FFF2-40B4-BE49-F238E27FC236}">
              <a16:creationId xmlns:a16="http://schemas.microsoft.com/office/drawing/2014/main" id="{557FF306-A8B9-F85C-237D-85372E42FC45}"/>
            </a:ext>
          </a:extLst>
        </xdr:cNvPr>
        <xdr:cNvSpPr txBox="1"/>
      </xdr:nvSpPr>
      <xdr:spPr>
        <a:xfrm>
          <a:off x="1460499" y="0"/>
          <a:ext cx="3436939" cy="80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i="1">
              <a:solidFill>
                <a:srgbClr val="13545E"/>
              </a:solidFill>
            </a:rPr>
            <a:t>The MFA Underwriting Checklist ensures that investors cover all the essential aspects of underwriting and helps avoid common mistakes.</a:t>
          </a:r>
        </a:p>
        <a:p>
          <a:pPr algn="l"/>
          <a:r>
            <a:rPr lang="en-US" sz="1050" b="0" i="1">
              <a:solidFill>
                <a:srgbClr val="13545E"/>
              </a:solidFill>
            </a:rPr>
            <a:t>Learn more at </a:t>
          </a:r>
          <a:r>
            <a:rPr lang="en-US" sz="1050" b="0" i="1" u="sng">
              <a:solidFill>
                <a:srgbClr val="0000FF"/>
              </a:solidFill>
            </a:rPr>
            <a:t>www.MFAUnderwriting.com</a:t>
          </a:r>
        </a:p>
      </xdr:txBody>
    </xdr:sp>
    <xdr:clientData/>
  </xdr:twoCellAnchor>
  <xdr:twoCellAnchor editAs="oneCell">
    <xdr:from>
      <xdr:col>2</xdr:col>
      <xdr:colOff>39686</xdr:colOff>
      <xdr:row>0</xdr:row>
      <xdr:rowOff>39689</xdr:rowOff>
    </xdr:from>
    <xdr:to>
      <xdr:col>4</xdr:col>
      <xdr:colOff>788505</xdr:colOff>
      <xdr:row>3</xdr:row>
      <xdr:rowOff>118873</xdr:rowOff>
    </xdr:to>
    <xdr:pic>
      <xdr:nvPicPr>
        <xdr:cNvPr id="5" name="Picture 4">
          <a:hlinkClick xmlns:r="http://schemas.openxmlformats.org/officeDocument/2006/relationships" r:id="rId2"/>
          <a:extLst>
            <a:ext uri="{FF2B5EF4-FFF2-40B4-BE49-F238E27FC236}">
              <a16:creationId xmlns:a16="http://schemas.microsoft.com/office/drawing/2014/main" id="{A63F5887-3334-E0BA-B0FC-C7E9E2F0B65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776" r="2509" b="8034"/>
        <a:stretch/>
      </xdr:blipFill>
      <xdr:spPr>
        <a:xfrm>
          <a:off x="190499" y="39689"/>
          <a:ext cx="1280631" cy="6903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youtube.com/watch?v=XK-iSgrcrs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8AE24-8A72-418C-90AE-BA6818BE29CF}">
  <sheetPr codeName="Sheet1"/>
  <dimension ref="A1:P55"/>
  <sheetViews>
    <sheetView showGridLines="0" tabSelected="1" topLeftCell="B1" zoomScale="80" zoomScaleNormal="80" workbookViewId="0">
      <pane ySplit="6" topLeftCell="A7" activePane="bottomLeft" state="frozen"/>
      <selection pane="bottomLeft" activeCell="F7" sqref="F7"/>
    </sheetView>
  </sheetViews>
  <sheetFormatPr defaultColWidth="8.81640625" defaultRowHeight="15.5" outlineLevelRow="1" x14ac:dyDescent="0.35"/>
  <cols>
    <col min="1" max="1" width="2.6328125" hidden="1" customWidth="1"/>
    <col min="2" max="2" width="2.1796875" customWidth="1"/>
    <col min="3" max="3" width="3.81640625" style="3" customWidth="1"/>
    <col min="4" max="4" width="3.7265625" style="2" bestFit="1" customWidth="1"/>
    <col min="5" max="5" width="36.453125" customWidth="1"/>
    <col min="6" max="6" width="9.453125" customWidth="1"/>
    <col min="7" max="8" width="18.6328125" customWidth="1"/>
    <col min="9" max="11" width="14.81640625" customWidth="1"/>
    <col min="12" max="12" width="22.6328125" customWidth="1"/>
    <col min="13" max="13" width="97.26953125" customWidth="1"/>
  </cols>
  <sheetData>
    <row r="1" spans="1:16" ht="16" customHeight="1" x14ac:dyDescent="0.35">
      <c r="C1" s="41"/>
      <c r="D1" s="42"/>
      <c r="E1" s="40"/>
      <c r="F1" s="43"/>
      <c r="G1" s="43"/>
      <c r="H1" s="43"/>
      <c r="I1" s="40"/>
      <c r="J1" s="40"/>
      <c r="K1" s="40"/>
      <c r="L1" s="40"/>
      <c r="M1" s="40"/>
      <c r="O1" s="1"/>
      <c r="P1" s="1"/>
    </row>
    <row r="2" spans="1:16" ht="16" customHeight="1" x14ac:dyDescent="0.35">
      <c r="C2" s="41"/>
      <c r="D2" s="42"/>
      <c r="E2" s="40"/>
      <c r="F2" s="43"/>
      <c r="G2" s="43"/>
      <c r="H2" s="48" t="s">
        <v>38</v>
      </c>
      <c r="I2" s="62"/>
      <c r="J2" s="62"/>
      <c r="K2" s="48" t="s">
        <v>39</v>
      </c>
      <c r="L2" s="22"/>
      <c r="M2" s="40" t="s">
        <v>42</v>
      </c>
      <c r="O2" s="1"/>
      <c r="P2" s="1"/>
    </row>
    <row r="3" spans="1:16" x14ac:dyDescent="0.35">
      <c r="C3" s="41"/>
      <c r="D3" s="42"/>
      <c r="E3" s="40"/>
      <c r="F3" s="43"/>
      <c r="G3" s="43"/>
      <c r="H3" s="48" t="s">
        <v>40</v>
      </c>
      <c r="I3" s="62"/>
      <c r="J3" s="62"/>
      <c r="K3" s="48" t="s">
        <v>41</v>
      </c>
      <c r="L3" s="21"/>
      <c r="M3" s="40" t="s">
        <v>42</v>
      </c>
      <c r="O3" s="1"/>
      <c r="P3" s="1"/>
    </row>
    <row r="4" spans="1:16" x14ac:dyDescent="0.35">
      <c r="A4" s="1"/>
      <c r="C4" s="44"/>
      <c r="D4" s="45"/>
      <c r="E4" s="46"/>
      <c r="F4" s="47"/>
      <c r="G4" s="47"/>
      <c r="H4" s="47"/>
      <c r="I4" s="40"/>
      <c r="J4" s="40"/>
      <c r="K4" s="40"/>
      <c r="L4" s="40"/>
      <c r="M4" s="40"/>
      <c r="O4" s="1"/>
      <c r="P4" s="1"/>
    </row>
    <row r="5" spans="1:16" ht="18.5" x14ac:dyDescent="0.45">
      <c r="A5" s="1"/>
      <c r="C5" s="54" t="s">
        <v>0</v>
      </c>
      <c r="D5" s="55"/>
      <c r="E5" s="56"/>
      <c r="F5" s="60" t="s">
        <v>100</v>
      </c>
      <c r="G5" s="52" t="str">
        <f>"Estimated Time" &amp; CHAR(10) &amp; TEXT(SUMIF(A7:A53,"y",G7:G53),"H:MM ")</f>
        <v xml:space="preserve">Estimated Time
4:17 </v>
      </c>
      <c r="H5" s="52" t="str">
        <f>"Actual Time" &amp; CHAR(10) &amp; TEXT(SUMIF(F8:F53,"Y",H8:H53),"H:MM ")</f>
        <v xml:space="preserve">Actual Time
0:00 </v>
      </c>
      <c r="I5" s="63" t="s">
        <v>46</v>
      </c>
      <c r="J5" s="64"/>
      <c r="K5" s="65"/>
      <c r="L5" s="52" t="s">
        <v>59</v>
      </c>
      <c r="M5" s="66" t="s">
        <v>1</v>
      </c>
      <c r="O5" s="1"/>
      <c r="P5" s="1"/>
    </row>
    <row r="6" spans="1:16" ht="18.5" x14ac:dyDescent="0.45">
      <c r="A6" s="1"/>
      <c r="C6" s="57"/>
      <c r="D6" s="58"/>
      <c r="E6" s="59"/>
      <c r="F6" s="61"/>
      <c r="G6" s="53"/>
      <c r="H6" s="53"/>
      <c r="I6" s="27" t="s">
        <v>43</v>
      </c>
      <c r="J6" s="27" t="s">
        <v>44</v>
      </c>
      <c r="K6" s="27" t="s">
        <v>45</v>
      </c>
      <c r="L6" s="53"/>
      <c r="M6" s="67"/>
      <c r="O6" s="1"/>
      <c r="P6" s="1"/>
    </row>
    <row r="7" spans="1:16" s="24" customFormat="1" x14ac:dyDescent="0.35">
      <c r="A7" s="23" t="s">
        <v>51</v>
      </c>
      <c r="C7" s="8" t="s">
        <v>2</v>
      </c>
      <c r="D7" s="4"/>
      <c r="E7" s="4"/>
      <c r="F7" s="5"/>
      <c r="G7" s="25">
        <f>SUM(G8:G10)</f>
        <v>6.9444444444444441E-3</v>
      </c>
      <c r="H7" s="25">
        <f>SUMIF(F8:F10,"Y",H8:H10)</f>
        <v>0</v>
      </c>
      <c r="I7" s="4"/>
      <c r="J7" s="4"/>
      <c r="K7" s="4"/>
      <c r="L7" s="6"/>
      <c r="M7" s="7"/>
    </row>
    <row r="8" spans="1:16" ht="18.5" outlineLevel="1" x14ac:dyDescent="0.35">
      <c r="A8" s="1"/>
      <c r="C8" s="28" t="str">
        <f>IF(F8="Y","✅","")</f>
        <v/>
      </c>
      <c r="D8" s="29">
        <v>1</v>
      </c>
      <c r="E8" s="30" t="s">
        <v>87</v>
      </c>
      <c r="F8" s="11"/>
      <c r="G8" s="34">
        <v>2.0833333333333333E-3</v>
      </c>
      <c r="H8" s="35">
        <f>IF(F8="Y",G8,0)</f>
        <v>0</v>
      </c>
      <c r="I8" s="36"/>
      <c r="J8" s="36"/>
      <c r="K8" s="36"/>
      <c r="L8" s="30"/>
      <c r="M8" s="37" t="s">
        <v>69</v>
      </c>
    </row>
    <row r="9" spans="1:16" ht="31" outlineLevel="1" x14ac:dyDescent="0.35">
      <c r="A9" s="1"/>
      <c r="C9" s="31" t="str">
        <f>IF(F9="Y","✅","")</f>
        <v/>
      </c>
      <c r="D9" s="32">
        <f>D8+1</f>
        <v>2</v>
      </c>
      <c r="E9" s="33" t="s">
        <v>3</v>
      </c>
      <c r="F9" s="10"/>
      <c r="G9" s="35">
        <v>2.0833333333333333E-3</v>
      </c>
      <c r="H9" s="35">
        <f t="shared" ref="H9:H10" si="0">IF(F9="Y",G9,0)</f>
        <v>0</v>
      </c>
      <c r="I9" s="38"/>
      <c r="J9" s="38"/>
      <c r="K9" s="38"/>
      <c r="L9" s="33"/>
      <c r="M9" s="39" t="s">
        <v>48</v>
      </c>
    </row>
    <row r="10" spans="1:16" ht="31" outlineLevel="1" x14ac:dyDescent="0.35">
      <c r="A10" s="1"/>
      <c r="C10" s="31" t="str">
        <f>IF(F10="Y","✅","")</f>
        <v/>
      </c>
      <c r="D10" s="32">
        <f t="shared" ref="D10:D32" si="1">D9+1</f>
        <v>3</v>
      </c>
      <c r="E10" s="33" t="s">
        <v>30</v>
      </c>
      <c r="F10" s="10"/>
      <c r="G10" s="35">
        <v>2.7777777777777779E-3</v>
      </c>
      <c r="H10" s="35">
        <f t="shared" si="0"/>
        <v>0</v>
      </c>
      <c r="I10" s="38"/>
      <c r="J10" s="38"/>
      <c r="K10" s="38"/>
      <c r="L10" s="33"/>
      <c r="M10" s="39" t="s">
        <v>70</v>
      </c>
    </row>
    <row r="11" spans="1:16" ht="14.5" outlineLevel="1" x14ac:dyDescent="0.35">
      <c r="A11" s="1"/>
      <c r="C11" s="20" t="s">
        <v>50</v>
      </c>
      <c r="D11" s="12"/>
      <c r="E11" s="12"/>
      <c r="F11" s="12"/>
      <c r="G11" s="12"/>
      <c r="H11" s="12"/>
      <c r="I11" s="12"/>
      <c r="J11" s="12"/>
      <c r="K11" s="12"/>
      <c r="L11" s="12"/>
      <c r="M11" s="13"/>
    </row>
    <row r="12" spans="1:16" s="24" customFormat="1" x14ac:dyDescent="0.35">
      <c r="A12" s="23" t="s">
        <v>51</v>
      </c>
      <c r="C12" s="8" t="s">
        <v>57</v>
      </c>
      <c r="D12" s="4"/>
      <c r="E12" s="4"/>
      <c r="F12" s="5"/>
      <c r="G12" s="25">
        <f>SUM(G13)</f>
        <v>1.3888888888888888E-2</v>
      </c>
      <c r="H12" s="25">
        <f>SUMIF(F13,"Y",H13)</f>
        <v>0</v>
      </c>
      <c r="I12" s="4"/>
      <c r="J12" s="4"/>
      <c r="K12" s="4"/>
      <c r="L12" s="6"/>
      <c r="M12" s="7"/>
    </row>
    <row r="13" spans="1:16" ht="108.5" outlineLevel="1" x14ac:dyDescent="0.35">
      <c r="A13" s="1"/>
      <c r="C13" s="31" t="str">
        <f>IF(F13="Y","✅","")</f>
        <v/>
      </c>
      <c r="D13" s="32">
        <f>D10+1</f>
        <v>4</v>
      </c>
      <c r="E13" s="33" t="s">
        <v>56</v>
      </c>
      <c r="F13" s="10"/>
      <c r="G13" s="35">
        <v>1.3888888888888888E-2</v>
      </c>
      <c r="H13" s="35">
        <f>IF(F13="Y",G13,0)</f>
        <v>0</v>
      </c>
      <c r="I13" s="38"/>
      <c r="J13" s="38"/>
      <c r="K13" s="38"/>
      <c r="L13" s="33"/>
      <c r="M13" s="39" t="s">
        <v>96</v>
      </c>
    </row>
    <row r="14" spans="1:16" ht="14.5" outlineLevel="1" x14ac:dyDescent="0.35">
      <c r="A14" s="1"/>
      <c r="C14" s="20" t="s">
        <v>50</v>
      </c>
      <c r="D14" s="12"/>
      <c r="E14" s="12"/>
      <c r="F14" s="12"/>
      <c r="G14" s="12"/>
      <c r="H14" s="12"/>
      <c r="I14" s="12"/>
      <c r="J14" s="12"/>
      <c r="K14" s="12"/>
      <c r="L14" s="12"/>
      <c r="M14" s="13"/>
    </row>
    <row r="15" spans="1:16" s="24" customFormat="1" ht="18.5" x14ac:dyDescent="0.35">
      <c r="A15" s="23" t="s">
        <v>51</v>
      </c>
      <c r="C15" s="14" t="s">
        <v>54</v>
      </c>
      <c r="D15" s="15"/>
      <c r="E15" s="15"/>
      <c r="F15" s="16"/>
      <c r="G15" s="26">
        <f>SUM(G16:G23)</f>
        <v>1.6203703703703703E-3</v>
      </c>
      <c r="H15" s="26">
        <f>SUMIF(F16:F23,"Y",H16:H23)</f>
        <v>0</v>
      </c>
      <c r="I15" s="19"/>
      <c r="J15" s="19"/>
      <c r="K15" s="19"/>
      <c r="L15" s="17"/>
      <c r="M15" s="18"/>
      <c r="O15" s="23"/>
    </row>
    <row r="16" spans="1:16" ht="31" outlineLevel="1" x14ac:dyDescent="0.35">
      <c r="A16" s="1"/>
      <c r="C16" s="31" t="str">
        <f t="shared" ref="C16:C23" si="2">IF(F16="Y","✅","")</f>
        <v/>
      </c>
      <c r="D16" s="32">
        <f>D13+1</f>
        <v>5</v>
      </c>
      <c r="E16" s="33" t="s">
        <v>16</v>
      </c>
      <c r="F16" s="10"/>
      <c r="G16" s="35">
        <v>1.1574074074074073E-4</v>
      </c>
      <c r="H16" s="35">
        <f t="shared" ref="H16:H23" si="3">IF(F16="Y",G16,0)</f>
        <v>0</v>
      </c>
      <c r="I16" s="38" t="s">
        <v>32</v>
      </c>
      <c r="J16" s="38" t="s">
        <v>32</v>
      </c>
      <c r="K16" s="38" t="s">
        <v>32</v>
      </c>
      <c r="L16" s="33" t="s">
        <v>73</v>
      </c>
      <c r="M16" s="49" t="s">
        <v>88</v>
      </c>
      <c r="O16" s="1"/>
    </row>
    <row r="17" spans="1:15" ht="18.5" outlineLevel="1" x14ac:dyDescent="0.35">
      <c r="A17" s="1"/>
      <c r="C17" s="31" t="str">
        <f t="shared" si="2"/>
        <v/>
      </c>
      <c r="D17" s="32">
        <f t="shared" ref="D17:D23" si="4">D16+1</f>
        <v>6</v>
      </c>
      <c r="E17" s="33" t="s">
        <v>17</v>
      </c>
      <c r="F17" s="10"/>
      <c r="G17" s="35">
        <v>1.1574074074074073E-4</v>
      </c>
      <c r="H17" s="35">
        <f t="shared" si="3"/>
        <v>0</v>
      </c>
      <c r="I17" s="38" t="s">
        <v>32</v>
      </c>
      <c r="J17" s="38" t="s">
        <v>32</v>
      </c>
      <c r="K17" s="38" t="s">
        <v>32</v>
      </c>
      <c r="L17" s="33" t="s">
        <v>73</v>
      </c>
      <c r="M17" s="49" t="s">
        <v>64</v>
      </c>
      <c r="O17" s="1"/>
    </row>
    <row r="18" spans="1:15" ht="31" outlineLevel="1" x14ac:dyDescent="0.35">
      <c r="A18" s="1"/>
      <c r="C18" s="31" t="str">
        <f t="shared" si="2"/>
        <v/>
      </c>
      <c r="D18" s="32">
        <f t="shared" si="4"/>
        <v>7</v>
      </c>
      <c r="E18" s="33" t="s">
        <v>18</v>
      </c>
      <c r="F18" s="10"/>
      <c r="G18" s="35">
        <v>1.1574074074074073E-4</v>
      </c>
      <c r="H18" s="35">
        <f t="shared" si="3"/>
        <v>0</v>
      </c>
      <c r="I18" s="38" t="s">
        <v>32</v>
      </c>
      <c r="J18" s="38" t="s">
        <v>32</v>
      </c>
      <c r="K18" s="38" t="s">
        <v>32</v>
      </c>
      <c r="L18" s="33" t="s">
        <v>73</v>
      </c>
      <c r="M18" s="49" t="s">
        <v>89</v>
      </c>
      <c r="O18" s="1"/>
    </row>
    <row r="19" spans="1:15" ht="31" outlineLevel="1" x14ac:dyDescent="0.35">
      <c r="A19" s="1"/>
      <c r="C19" s="31" t="str">
        <f t="shared" si="2"/>
        <v/>
      </c>
      <c r="D19" s="32">
        <f t="shared" si="4"/>
        <v>8</v>
      </c>
      <c r="E19" s="33" t="s">
        <v>20</v>
      </c>
      <c r="F19" s="10"/>
      <c r="G19" s="35">
        <v>1.1574074074074073E-4</v>
      </c>
      <c r="H19" s="35">
        <f t="shared" si="3"/>
        <v>0</v>
      </c>
      <c r="I19" s="38" t="s">
        <v>32</v>
      </c>
      <c r="J19" s="38" t="s">
        <v>32</v>
      </c>
      <c r="K19" s="38" t="s">
        <v>32</v>
      </c>
      <c r="L19" s="33" t="s">
        <v>73</v>
      </c>
      <c r="M19" s="49" t="s">
        <v>65</v>
      </c>
      <c r="O19" s="1"/>
    </row>
    <row r="20" spans="1:15" ht="31" outlineLevel="1" x14ac:dyDescent="0.35">
      <c r="A20" s="1"/>
      <c r="C20" s="31" t="str">
        <f t="shared" si="2"/>
        <v/>
      </c>
      <c r="D20" s="32">
        <f t="shared" si="4"/>
        <v>9</v>
      </c>
      <c r="E20" s="33" t="s">
        <v>21</v>
      </c>
      <c r="F20" s="10"/>
      <c r="G20" s="35">
        <v>3.4722222222222224E-4</v>
      </c>
      <c r="H20" s="35">
        <f t="shared" si="3"/>
        <v>0</v>
      </c>
      <c r="I20" s="38" t="s">
        <v>32</v>
      </c>
      <c r="J20" s="38" t="s">
        <v>32</v>
      </c>
      <c r="K20" s="38" t="s">
        <v>32</v>
      </c>
      <c r="L20" s="33" t="s">
        <v>73</v>
      </c>
      <c r="M20" s="49" t="s">
        <v>47</v>
      </c>
      <c r="O20" s="1"/>
    </row>
    <row r="21" spans="1:15" ht="31" outlineLevel="1" x14ac:dyDescent="0.35">
      <c r="A21" s="1"/>
      <c r="C21" s="31" t="str">
        <f t="shared" si="2"/>
        <v/>
      </c>
      <c r="D21" s="32">
        <f t="shared" si="4"/>
        <v>10</v>
      </c>
      <c r="E21" s="33" t="s">
        <v>22</v>
      </c>
      <c r="F21" s="10"/>
      <c r="G21" s="35">
        <v>1.1574074074074073E-4</v>
      </c>
      <c r="H21" s="35">
        <f t="shared" si="3"/>
        <v>0</v>
      </c>
      <c r="I21" s="38" t="s">
        <v>32</v>
      </c>
      <c r="J21" s="38" t="s">
        <v>32</v>
      </c>
      <c r="K21" s="38" t="s">
        <v>32</v>
      </c>
      <c r="L21" s="33" t="s">
        <v>73</v>
      </c>
      <c r="M21" s="49" t="s">
        <v>66</v>
      </c>
      <c r="O21" s="1"/>
    </row>
    <row r="22" spans="1:15" ht="31" outlineLevel="1" x14ac:dyDescent="0.35">
      <c r="A22" s="1"/>
      <c r="C22" s="31" t="str">
        <f t="shared" si="2"/>
        <v/>
      </c>
      <c r="D22" s="32">
        <f t="shared" si="4"/>
        <v>11</v>
      </c>
      <c r="E22" s="33" t="s">
        <v>23</v>
      </c>
      <c r="F22" s="10"/>
      <c r="G22" s="35">
        <v>3.4722222222222224E-4</v>
      </c>
      <c r="H22" s="35">
        <f t="shared" si="3"/>
        <v>0</v>
      </c>
      <c r="I22" s="38" t="s">
        <v>32</v>
      </c>
      <c r="J22" s="38" t="s">
        <v>32</v>
      </c>
      <c r="K22" s="38" t="s">
        <v>32</v>
      </c>
      <c r="L22" s="33" t="s">
        <v>73</v>
      </c>
      <c r="M22" s="49" t="s">
        <v>67</v>
      </c>
      <c r="O22" s="1"/>
    </row>
    <row r="23" spans="1:15" ht="31" outlineLevel="1" x14ac:dyDescent="0.35">
      <c r="A23" s="1"/>
      <c r="C23" s="31" t="str">
        <f t="shared" si="2"/>
        <v/>
      </c>
      <c r="D23" s="32">
        <f t="shared" si="4"/>
        <v>12</v>
      </c>
      <c r="E23" s="33" t="s">
        <v>15</v>
      </c>
      <c r="F23" s="10"/>
      <c r="G23" s="35">
        <v>3.4722222222222224E-4</v>
      </c>
      <c r="H23" s="35">
        <f t="shared" si="3"/>
        <v>0</v>
      </c>
      <c r="I23" s="38" t="s">
        <v>32</v>
      </c>
      <c r="J23" s="38" t="s">
        <v>32</v>
      </c>
      <c r="K23" s="38" t="s">
        <v>32</v>
      </c>
      <c r="L23" s="33" t="s">
        <v>73</v>
      </c>
      <c r="M23" s="49" t="s">
        <v>68</v>
      </c>
      <c r="O23" s="1"/>
    </row>
    <row r="24" spans="1:15" s="24" customFormat="1" ht="18.5" x14ac:dyDescent="0.35">
      <c r="A24" s="23" t="s">
        <v>51</v>
      </c>
      <c r="C24" s="8" t="s">
        <v>55</v>
      </c>
      <c r="D24" s="4"/>
      <c r="E24" s="4"/>
      <c r="F24" s="5"/>
      <c r="G24" s="25">
        <f>G25</f>
        <v>6.9444444444444441E-3</v>
      </c>
      <c r="H24" s="25">
        <f>SUMIF(F25,"Y",H25)</f>
        <v>0</v>
      </c>
      <c r="I24" s="9"/>
      <c r="J24" s="9"/>
      <c r="K24" s="9"/>
      <c r="L24" s="6"/>
      <c r="M24" s="7"/>
      <c r="O24" s="23"/>
    </row>
    <row r="25" spans="1:15" ht="93" outlineLevel="1" x14ac:dyDescent="0.35">
      <c r="A25" s="1"/>
      <c r="C25" s="31" t="str">
        <f>IF(F25="Y","✅","")</f>
        <v/>
      </c>
      <c r="D25" s="32">
        <f>D23+1</f>
        <v>13</v>
      </c>
      <c r="E25" s="33" t="s">
        <v>85</v>
      </c>
      <c r="F25" s="10"/>
      <c r="G25" s="35">
        <v>6.9444444444444441E-3</v>
      </c>
      <c r="H25" s="35">
        <f>IF(F25="Y",G25,0)</f>
        <v>0</v>
      </c>
      <c r="I25" s="38"/>
      <c r="J25" s="38" t="s">
        <v>32</v>
      </c>
      <c r="K25" s="38" t="s">
        <v>32</v>
      </c>
      <c r="L25" s="33" t="s">
        <v>73</v>
      </c>
      <c r="M25" s="49" t="s">
        <v>95</v>
      </c>
      <c r="O25" s="1"/>
    </row>
    <row r="26" spans="1:15" ht="14.5" outlineLevel="1" x14ac:dyDescent="0.35">
      <c r="A26" s="1"/>
      <c r="C26" s="20" t="s">
        <v>50</v>
      </c>
      <c r="D26" s="12"/>
      <c r="E26" s="12"/>
      <c r="F26" s="12"/>
      <c r="G26" s="12"/>
      <c r="H26" s="12"/>
      <c r="I26" s="12"/>
      <c r="J26" s="12"/>
      <c r="K26" s="12"/>
      <c r="L26" s="12"/>
      <c r="M26" s="13"/>
    </row>
    <row r="27" spans="1:15" s="24" customFormat="1" ht="18.5" x14ac:dyDescent="0.35">
      <c r="A27" s="23" t="s">
        <v>51</v>
      </c>
      <c r="C27" s="8" t="s">
        <v>71</v>
      </c>
      <c r="D27" s="4"/>
      <c r="E27" s="4"/>
      <c r="F27" s="5"/>
      <c r="G27" s="25">
        <f>SUM(G28:G32)</f>
        <v>1.1805555555555554E-2</v>
      </c>
      <c r="H27" s="25">
        <f>SUMIF(F28:F32,"Y",H28:H32)</f>
        <v>0</v>
      </c>
      <c r="I27" s="9"/>
      <c r="J27" s="9"/>
      <c r="K27" s="9"/>
      <c r="L27" s="6"/>
      <c r="M27" s="7"/>
      <c r="O27" s="23"/>
    </row>
    <row r="28" spans="1:15" ht="31" outlineLevel="1" x14ac:dyDescent="0.35">
      <c r="A28" s="1"/>
      <c r="C28" s="31" t="str">
        <f>IF(F28="Y","✅","")</f>
        <v/>
      </c>
      <c r="D28" s="32">
        <f>D25+1</f>
        <v>14</v>
      </c>
      <c r="E28" s="33" t="s">
        <v>34</v>
      </c>
      <c r="F28" s="10"/>
      <c r="G28" s="35">
        <v>3.472222222222222E-3</v>
      </c>
      <c r="H28" s="35">
        <f t="shared" ref="H28:H32" si="5">IF(F28="Y",G28,0)</f>
        <v>0</v>
      </c>
      <c r="I28" s="38"/>
      <c r="J28" s="38" t="s">
        <v>32</v>
      </c>
      <c r="K28" s="38" t="s">
        <v>32</v>
      </c>
      <c r="L28" s="33" t="s">
        <v>4</v>
      </c>
      <c r="M28" s="50" t="s">
        <v>90</v>
      </c>
      <c r="O28" s="1"/>
    </row>
    <row r="29" spans="1:15" ht="31" outlineLevel="1" x14ac:dyDescent="0.35">
      <c r="A29" s="1"/>
      <c r="C29" s="31" t="str">
        <f>IF(F29="Y","✅","")</f>
        <v/>
      </c>
      <c r="D29" s="32">
        <f>D28+1</f>
        <v>15</v>
      </c>
      <c r="E29" s="33" t="s">
        <v>84</v>
      </c>
      <c r="F29" s="10"/>
      <c r="G29" s="35">
        <v>2.0833333333333333E-3</v>
      </c>
      <c r="H29" s="35">
        <f t="shared" si="5"/>
        <v>0</v>
      </c>
      <c r="I29" s="38"/>
      <c r="J29" s="38"/>
      <c r="K29" s="38" t="s">
        <v>32</v>
      </c>
      <c r="L29" s="33"/>
      <c r="M29" s="50" t="s">
        <v>49</v>
      </c>
      <c r="O29" s="1"/>
    </row>
    <row r="30" spans="1:15" ht="62" outlineLevel="1" x14ac:dyDescent="0.35">
      <c r="A30" s="1"/>
      <c r="C30" s="31" t="str">
        <f>IF(F30="Y","✅","")</f>
        <v/>
      </c>
      <c r="D30" s="32">
        <f t="shared" si="1"/>
        <v>16</v>
      </c>
      <c r="E30" s="33" t="s">
        <v>33</v>
      </c>
      <c r="F30" s="10"/>
      <c r="G30" s="35">
        <v>3.472222222222222E-3</v>
      </c>
      <c r="H30" s="35">
        <f t="shared" si="5"/>
        <v>0</v>
      </c>
      <c r="I30" s="38"/>
      <c r="J30" s="38"/>
      <c r="K30" s="38" t="s">
        <v>32</v>
      </c>
      <c r="L30" s="33" t="s">
        <v>37</v>
      </c>
      <c r="M30" s="50" t="s">
        <v>99</v>
      </c>
      <c r="O30" s="1"/>
    </row>
    <row r="31" spans="1:15" ht="46.5" outlineLevel="1" x14ac:dyDescent="0.35">
      <c r="A31" s="1"/>
      <c r="C31" s="31" t="str">
        <f>IF(F31="Y","✅","")</f>
        <v/>
      </c>
      <c r="D31" s="32">
        <f t="shared" si="1"/>
        <v>17</v>
      </c>
      <c r="E31" s="33" t="s">
        <v>35</v>
      </c>
      <c r="F31" s="10"/>
      <c r="G31" s="35">
        <v>2.0833333333333333E-3</v>
      </c>
      <c r="H31" s="35">
        <f t="shared" si="5"/>
        <v>0</v>
      </c>
      <c r="I31" s="38"/>
      <c r="J31" s="38"/>
      <c r="K31" s="38" t="s">
        <v>32</v>
      </c>
      <c r="L31" s="33" t="s">
        <v>36</v>
      </c>
      <c r="M31" s="50" t="s">
        <v>91</v>
      </c>
      <c r="O31" s="1"/>
    </row>
    <row r="32" spans="1:15" ht="31" outlineLevel="1" x14ac:dyDescent="0.35">
      <c r="A32" s="1"/>
      <c r="C32" s="31" t="str">
        <f>IF(F32="Y","✅","")</f>
        <v/>
      </c>
      <c r="D32" s="32">
        <f t="shared" si="1"/>
        <v>18</v>
      </c>
      <c r="E32" s="33" t="s">
        <v>5</v>
      </c>
      <c r="F32" s="10"/>
      <c r="G32" s="35">
        <v>6.9444444444444447E-4</v>
      </c>
      <c r="H32" s="35">
        <f t="shared" si="5"/>
        <v>0</v>
      </c>
      <c r="I32" s="38"/>
      <c r="J32" s="38"/>
      <c r="K32" s="38" t="s">
        <v>32</v>
      </c>
      <c r="L32" s="33" t="s">
        <v>73</v>
      </c>
      <c r="M32" s="50" t="s">
        <v>92</v>
      </c>
      <c r="O32" s="1"/>
    </row>
    <row r="33" spans="1:15" s="24" customFormat="1" ht="18.5" x14ac:dyDescent="0.35">
      <c r="A33" s="23" t="s">
        <v>51</v>
      </c>
      <c r="C33" s="8" t="s">
        <v>53</v>
      </c>
      <c r="D33" s="4"/>
      <c r="E33" s="4"/>
      <c r="F33" s="5"/>
      <c r="G33" s="25">
        <f>SUM(G34:G37)</f>
        <v>1.5972222222222221E-2</v>
      </c>
      <c r="H33" s="25">
        <f>SUMIF(F34:F37,"Y",H34:H37)</f>
        <v>0</v>
      </c>
      <c r="I33" s="9"/>
      <c r="J33" s="9"/>
      <c r="K33" s="9"/>
      <c r="L33" s="6"/>
      <c r="M33" s="7"/>
      <c r="O33" s="23"/>
    </row>
    <row r="34" spans="1:15" ht="31" outlineLevel="1" x14ac:dyDescent="0.35">
      <c r="A34" s="1"/>
      <c r="C34" s="31" t="str">
        <f>IF(F34="Y","✅","")</f>
        <v/>
      </c>
      <c r="D34" s="32">
        <f>D32+1</f>
        <v>19</v>
      </c>
      <c r="E34" s="33" t="s">
        <v>6</v>
      </c>
      <c r="F34" s="10"/>
      <c r="G34" s="35">
        <v>2.0833333333333333E-3</v>
      </c>
      <c r="H34" s="35">
        <f t="shared" ref="H34:H37" si="6">IF(F34="Y",G34,0)</f>
        <v>0</v>
      </c>
      <c r="I34" s="38" t="s">
        <v>32</v>
      </c>
      <c r="J34" s="38" t="s">
        <v>32</v>
      </c>
      <c r="K34" s="38" t="s">
        <v>32</v>
      </c>
      <c r="L34" s="33" t="s">
        <v>97</v>
      </c>
      <c r="M34" s="50" t="s">
        <v>52</v>
      </c>
      <c r="O34" s="1"/>
    </row>
    <row r="35" spans="1:15" ht="62" outlineLevel="1" x14ac:dyDescent="0.35">
      <c r="A35" s="1"/>
      <c r="C35" s="31" t="str">
        <f>IF(F35="Y","✅","")</f>
        <v/>
      </c>
      <c r="D35" s="32">
        <f>D34+1</f>
        <v>20</v>
      </c>
      <c r="E35" s="33" t="s">
        <v>9</v>
      </c>
      <c r="F35" s="10"/>
      <c r="G35" s="35">
        <v>3.472222222222222E-3</v>
      </c>
      <c r="H35" s="35">
        <f t="shared" si="6"/>
        <v>0</v>
      </c>
      <c r="I35" s="38" t="s">
        <v>32</v>
      </c>
      <c r="J35" s="38" t="s">
        <v>32</v>
      </c>
      <c r="K35" s="38" t="s">
        <v>32</v>
      </c>
      <c r="L35" s="33" t="s">
        <v>73</v>
      </c>
      <c r="M35" s="50" t="s">
        <v>72</v>
      </c>
      <c r="O35" s="1"/>
    </row>
    <row r="36" spans="1:15" ht="46.5" outlineLevel="1" x14ac:dyDescent="0.35">
      <c r="A36" s="1"/>
      <c r="C36" s="31" t="str">
        <f>IF(F36="Y","✅","")</f>
        <v/>
      </c>
      <c r="D36" s="32">
        <f t="shared" ref="D36:D37" si="7">D35+1</f>
        <v>21</v>
      </c>
      <c r="E36" s="33" t="s">
        <v>58</v>
      </c>
      <c r="F36" s="10"/>
      <c r="G36" s="35">
        <v>3.472222222222222E-3</v>
      </c>
      <c r="H36" s="35">
        <f t="shared" si="6"/>
        <v>0</v>
      </c>
      <c r="I36" s="38" t="s">
        <v>32</v>
      </c>
      <c r="J36" s="38" t="s">
        <v>32</v>
      </c>
      <c r="K36" s="38" t="s">
        <v>32</v>
      </c>
      <c r="L36" s="33" t="s">
        <v>73</v>
      </c>
      <c r="M36" s="50" t="s">
        <v>74</v>
      </c>
      <c r="O36" s="1"/>
    </row>
    <row r="37" spans="1:15" ht="77.5" outlineLevel="1" x14ac:dyDescent="0.35">
      <c r="A37" s="1"/>
      <c r="C37" s="31" t="str">
        <f>IF(F37="Y","✅","")</f>
        <v/>
      </c>
      <c r="D37" s="32">
        <f t="shared" si="7"/>
        <v>22</v>
      </c>
      <c r="E37" s="33" t="s">
        <v>11</v>
      </c>
      <c r="F37" s="10"/>
      <c r="G37" s="35">
        <v>6.9444444444444441E-3</v>
      </c>
      <c r="H37" s="35">
        <f t="shared" si="6"/>
        <v>0</v>
      </c>
      <c r="I37" s="38" t="s">
        <v>32</v>
      </c>
      <c r="J37" s="38" t="s">
        <v>32</v>
      </c>
      <c r="K37" s="38" t="s">
        <v>32</v>
      </c>
      <c r="L37" s="33" t="s">
        <v>73</v>
      </c>
      <c r="M37" s="50" t="s">
        <v>75</v>
      </c>
      <c r="O37" s="1"/>
    </row>
    <row r="38" spans="1:15" ht="14.5" outlineLevel="1" x14ac:dyDescent="0.35">
      <c r="A38" s="1"/>
      <c r="C38" s="20" t="s">
        <v>50</v>
      </c>
      <c r="D38" s="12"/>
      <c r="E38" s="12"/>
      <c r="F38" s="12"/>
      <c r="G38" s="12"/>
      <c r="H38" s="12"/>
      <c r="I38" s="12"/>
      <c r="J38" s="12"/>
      <c r="K38" s="12"/>
      <c r="L38" s="12"/>
      <c r="M38" s="13"/>
    </row>
    <row r="39" spans="1:15" s="24" customFormat="1" ht="18.5" x14ac:dyDescent="0.35">
      <c r="A39" s="23" t="s">
        <v>51</v>
      </c>
      <c r="C39" s="8" t="s">
        <v>60</v>
      </c>
      <c r="D39" s="4"/>
      <c r="E39" s="4"/>
      <c r="F39" s="5"/>
      <c r="G39" s="25">
        <f>SUM(G40:G49)</f>
        <v>0.1076388888888889</v>
      </c>
      <c r="H39" s="25">
        <f>SUMIF(F40:F49,"Y",H40:H49)</f>
        <v>0</v>
      </c>
      <c r="I39" s="9"/>
      <c r="J39" s="9"/>
      <c r="K39" s="9"/>
      <c r="L39" s="6"/>
      <c r="M39" s="7"/>
      <c r="O39" s="23"/>
    </row>
    <row r="40" spans="1:15" ht="62" outlineLevel="1" x14ac:dyDescent="0.35">
      <c r="A40" s="1"/>
      <c r="C40" s="31" t="str">
        <f t="shared" ref="C40:C49" si="8">IF(F40="Y","✅","")</f>
        <v/>
      </c>
      <c r="D40" s="32">
        <f>D37+1</f>
        <v>23</v>
      </c>
      <c r="E40" s="33" t="s">
        <v>7</v>
      </c>
      <c r="F40" s="10"/>
      <c r="G40" s="35">
        <v>1.0416666666666666E-2</v>
      </c>
      <c r="H40" s="35">
        <f t="shared" ref="H40:H47" si="9">IF(F40="Y",G40,0)</f>
        <v>0</v>
      </c>
      <c r="I40" s="38"/>
      <c r="J40" s="38"/>
      <c r="K40" s="38" t="s">
        <v>32</v>
      </c>
      <c r="L40" s="33" t="s">
        <v>8</v>
      </c>
      <c r="M40" s="50" t="s">
        <v>93</v>
      </c>
      <c r="O40" s="1"/>
    </row>
    <row r="41" spans="1:15" ht="62" outlineLevel="1" x14ac:dyDescent="0.35">
      <c r="A41" s="1"/>
      <c r="C41" s="31" t="str">
        <f t="shared" si="8"/>
        <v/>
      </c>
      <c r="D41" s="32">
        <f>D40+1</f>
        <v>24</v>
      </c>
      <c r="E41" s="33" t="s">
        <v>10</v>
      </c>
      <c r="F41" s="10"/>
      <c r="G41" s="35">
        <v>1.3888888888888888E-2</v>
      </c>
      <c r="H41" s="35">
        <f t="shared" si="9"/>
        <v>0</v>
      </c>
      <c r="I41" s="38"/>
      <c r="J41" s="38"/>
      <c r="K41" s="38" t="s">
        <v>32</v>
      </c>
      <c r="L41" s="33" t="s">
        <v>10</v>
      </c>
      <c r="M41" s="50" t="s">
        <v>80</v>
      </c>
      <c r="O41" s="1"/>
    </row>
    <row r="42" spans="1:15" ht="62" outlineLevel="1" x14ac:dyDescent="0.35">
      <c r="A42" s="1"/>
      <c r="C42" s="31" t="str">
        <f t="shared" si="8"/>
        <v/>
      </c>
      <c r="D42" s="32">
        <f t="shared" ref="D42:D49" si="10">D41+1</f>
        <v>25</v>
      </c>
      <c r="E42" s="33" t="s">
        <v>12</v>
      </c>
      <c r="F42" s="10"/>
      <c r="G42" s="35">
        <v>6.9444444444444441E-3</v>
      </c>
      <c r="H42" s="35">
        <f t="shared" si="9"/>
        <v>0</v>
      </c>
      <c r="I42" s="38"/>
      <c r="J42" s="38"/>
      <c r="K42" s="38" t="s">
        <v>32</v>
      </c>
      <c r="L42" s="33" t="s">
        <v>29</v>
      </c>
      <c r="M42" s="50" t="s">
        <v>76</v>
      </c>
      <c r="O42" s="1"/>
    </row>
    <row r="43" spans="1:15" ht="108.5" outlineLevel="1" x14ac:dyDescent="0.35">
      <c r="A43" s="1"/>
      <c r="C43" s="31" t="str">
        <f t="shared" si="8"/>
        <v/>
      </c>
      <c r="D43" s="32">
        <f t="shared" si="10"/>
        <v>26</v>
      </c>
      <c r="E43" s="33" t="s">
        <v>13</v>
      </c>
      <c r="F43" s="10"/>
      <c r="G43" s="35">
        <v>1.3888888888888888E-2</v>
      </c>
      <c r="H43" s="35">
        <f t="shared" si="9"/>
        <v>0</v>
      </c>
      <c r="I43" s="38"/>
      <c r="J43" s="38"/>
      <c r="K43" s="38" t="s">
        <v>32</v>
      </c>
      <c r="L43" s="33" t="s">
        <v>14</v>
      </c>
      <c r="M43" s="50" t="s">
        <v>94</v>
      </c>
      <c r="O43" s="1"/>
    </row>
    <row r="44" spans="1:15" ht="31" outlineLevel="1" x14ac:dyDescent="0.35">
      <c r="A44" s="1"/>
      <c r="C44" s="31" t="str">
        <f t="shared" si="8"/>
        <v/>
      </c>
      <c r="D44" s="32">
        <f t="shared" si="10"/>
        <v>27</v>
      </c>
      <c r="E44" s="33" t="s">
        <v>19</v>
      </c>
      <c r="F44" s="10"/>
      <c r="G44" s="35">
        <v>1.0416666666666666E-2</v>
      </c>
      <c r="H44" s="35">
        <f t="shared" si="9"/>
        <v>0</v>
      </c>
      <c r="I44" s="38"/>
      <c r="J44" s="38"/>
      <c r="K44" s="38" t="s">
        <v>32</v>
      </c>
      <c r="L44" s="33" t="s">
        <v>19</v>
      </c>
      <c r="M44" s="50" t="s">
        <v>77</v>
      </c>
      <c r="O44" s="1"/>
    </row>
    <row r="45" spans="1:15" ht="18.5" outlineLevel="1" x14ac:dyDescent="0.35">
      <c r="A45" s="1"/>
      <c r="C45" s="31" t="str">
        <f t="shared" si="8"/>
        <v/>
      </c>
      <c r="D45" s="32">
        <f t="shared" si="10"/>
        <v>28</v>
      </c>
      <c r="E45" s="33" t="s">
        <v>24</v>
      </c>
      <c r="F45" s="10"/>
      <c r="G45" s="35">
        <v>1.0416666666666666E-2</v>
      </c>
      <c r="H45" s="35">
        <f t="shared" si="9"/>
        <v>0</v>
      </c>
      <c r="I45" s="38"/>
      <c r="J45" s="38"/>
      <c r="K45" s="38"/>
      <c r="L45" s="33"/>
      <c r="M45" s="50" t="s">
        <v>78</v>
      </c>
      <c r="O45" s="1"/>
    </row>
    <row r="46" spans="1:15" ht="18.5" outlineLevel="1" x14ac:dyDescent="0.35">
      <c r="A46" s="1"/>
      <c r="C46" s="31" t="str">
        <f t="shared" si="8"/>
        <v/>
      </c>
      <c r="D46" s="32">
        <f t="shared" si="10"/>
        <v>29</v>
      </c>
      <c r="E46" s="33" t="s">
        <v>62</v>
      </c>
      <c r="F46" s="10"/>
      <c r="G46" s="35">
        <v>1.0416666666666666E-2</v>
      </c>
      <c r="H46" s="35">
        <f t="shared" si="9"/>
        <v>0</v>
      </c>
      <c r="I46" s="38"/>
      <c r="J46" s="38"/>
      <c r="K46" s="38"/>
      <c r="L46" s="33"/>
      <c r="M46" s="50" t="s">
        <v>86</v>
      </c>
      <c r="O46" s="1"/>
    </row>
    <row r="47" spans="1:15" ht="31" outlineLevel="1" x14ac:dyDescent="0.35">
      <c r="A47" s="1"/>
      <c r="C47" s="31" t="str">
        <f t="shared" si="8"/>
        <v/>
      </c>
      <c r="D47" s="32">
        <f t="shared" si="10"/>
        <v>30</v>
      </c>
      <c r="E47" s="33" t="s">
        <v>61</v>
      </c>
      <c r="F47" s="10"/>
      <c r="G47" s="35">
        <v>1.0416666666666666E-2</v>
      </c>
      <c r="H47" s="35">
        <f t="shared" si="9"/>
        <v>0</v>
      </c>
      <c r="I47" s="38"/>
      <c r="J47" s="38"/>
      <c r="K47" s="38"/>
      <c r="L47" s="33"/>
      <c r="M47" s="50" t="s">
        <v>81</v>
      </c>
      <c r="O47" s="1"/>
    </row>
    <row r="48" spans="1:15" ht="31" outlineLevel="1" x14ac:dyDescent="0.35">
      <c r="A48" s="1"/>
      <c r="C48" s="31" t="str">
        <f t="shared" si="8"/>
        <v/>
      </c>
      <c r="D48" s="32">
        <f t="shared" si="10"/>
        <v>31</v>
      </c>
      <c r="E48" s="33" t="s">
        <v>26</v>
      </c>
      <c r="F48" s="10"/>
      <c r="G48" s="35">
        <v>1.0416666666666666E-2</v>
      </c>
      <c r="H48" s="35">
        <f>IF(F48="Y",G48,0)</f>
        <v>0</v>
      </c>
      <c r="I48" s="38"/>
      <c r="J48" s="38"/>
      <c r="K48" s="38"/>
      <c r="L48" s="33"/>
      <c r="M48" s="50" t="s">
        <v>79</v>
      </c>
      <c r="O48" s="1"/>
    </row>
    <row r="49" spans="1:15" ht="43.5" outlineLevel="1" x14ac:dyDescent="0.35">
      <c r="A49" s="1"/>
      <c r="C49" s="31" t="str">
        <f t="shared" si="8"/>
        <v/>
      </c>
      <c r="D49" s="32">
        <f t="shared" si="10"/>
        <v>32</v>
      </c>
      <c r="E49" s="33" t="s">
        <v>25</v>
      </c>
      <c r="F49" s="10"/>
      <c r="G49" s="35">
        <v>1.0416666666666666E-2</v>
      </c>
      <c r="H49" s="35">
        <f>IF(F49="Y",G49,0)</f>
        <v>0</v>
      </c>
      <c r="I49" s="38" t="s">
        <v>32</v>
      </c>
      <c r="J49" s="38" t="s">
        <v>32</v>
      </c>
      <c r="K49" s="38" t="s">
        <v>32</v>
      </c>
      <c r="L49" s="33" t="s">
        <v>73</v>
      </c>
      <c r="M49" s="51" t="s">
        <v>98</v>
      </c>
      <c r="O49" s="1"/>
    </row>
    <row r="50" spans="1:15" ht="14.5" outlineLevel="1" x14ac:dyDescent="0.35">
      <c r="A50" s="1"/>
      <c r="C50" s="20" t="s">
        <v>50</v>
      </c>
      <c r="D50" s="12"/>
      <c r="E50" s="12"/>
      <c r="F50" s="12"/>
      <c r="G50" s="12"/>
      <c r="H50" s="12"/>
      <c r="I50" s="12"/>
      <c r="J50" s="12"/>
      <c r="K50" s="12"/>
      <c r="L50" s="12"/>
      <c r="M50" s="13"/>
    </row>
    <row r="51" spans="1:15" s="24" customFormat="1" ht="18.5" x14ac:dyDescent="0.35">
      <c r="A51" s="23" t="s">
        <v>51</v>
      </c>
      <c r="C51" s="8" t="s">
        <v>63</v>
      </c>
      <c r="D51" s="4"/>
      <c r="E51" s="4"/>
      <c r="F51" s="5"/>
      <c r="G51" s="25">
        <f>SUM(G52:G53)</f>
        <v>1.3888888888888888E-2</v>
      </c>
      <c r="H51" s="25">
        <f>SUMIF(F52:F53,"Y",H52:H53)</f>
        <v>0</v>
      </c>
      <c r="I51" s="9"/>
      <c r="J51" s="9"/>
      <c r="K51" s="9"/>
      <c r="L51" s="6"/>
      <c r="M51" s="7"/>
      <c r="O51" s="23"/>
    </row>
    <row r="52" spans="1:15" ht="46.5" outlineLevel="1" x14ac:dyDescent="0.35">
      <c r="A52" s="1"/>
      <c r="C52" s="31" t="str">
        <f>IF(F52="Y","✅","")</f>
        <v/>
      </c>
      <c r="D52" s="32">
        <f>D49+1</f>
        <v>33</v>
      </c>
      <c r="E52" s="33" t="s">
        <v>28</v>
      </c>
      <c r="F52" s="10"/>
      <c r="G52" s="35">
        <v>3.472222222222222E-3</v>
      </c>
      <c r="H52" s="35">
        <f t="shared" ref="H52:H53" si="11">IF(F52="Y",G52,0)</f>
        <v>0</v>
      </c>
      <c r="I52" s="38"/>
      <c r="J52" s="38" t="s">
        <v>32</v>
      </c>
      <c r="K52" s="38" t="s">
        <v>32</v>
      </c>
      <c r="L52" s="33" t="s">
        <v>27</v>
      </c>
      <c r="M52" s="50" t="s">
        <v>82</v>
      </c>
      <c r="O52" s="1"/>
    </row>
    <row r="53" spans="1:15" ht="18.5" outlineLevel="1" x14ac:dyDescent="0.35">
      <c r="A53" s="1"/>
      <c r="C53" s="31" t="str">
        <f>IF(F53="Y","✅","")</f>
        <v/>
      </c>
      <c r="D53" s="32">
        <f>D52+1</f>
        <v>34</v>
      </c>
      <c r="E53" s="33" t="s">
        <v>31</v>
      </c>
      <c r="F53" s="10"/>
      <c r="G53" s="35">
        <v>1.0416666666666666E-2</v>
      </c>
      <c r="H53" s="35">
        <f t="shared" si="11"/>
        <v>0</v>
      </c>
      <c r="I53" s="38"/>
      <c r="J53" s="38"/>
      <c r="K53" s="38"/>
      <c r="L53" s="33"/>
      <c r="M53" s="50" t="s">
        <v>83</v>
      </c>
      <c r="O53" s="1"/>
    </row>
    <row r="54" spans="1:15" ht="14.5" outlineLevel="1" x14ac:dyDescent="0.35">
      <c r="A54" s="1"/>
      <c r="C54" s="20" t="s">
        <v>50</v>
      </c>
      <c r="D54" s="12"/>
      <c r="E54" s="12"/>
      <c r="F54" s="12"/>
      <c r="G54" s="12"/>
      <c r="H54" s="12"/>
      <c r="I54" s="12"/>
      <c r="J54" s="12"/>
      <c r="K54" s="12"/>
      <c r="L54" s="12"/>
      <c r="M54" s="13"/>
    </row>
    <row r="55" spans="1:15" x14ac:dyDescent="0.35">
      <c r="O55" s="1"/>
    </row>
  </sheetData>
  <mergeCells count="9">
    <mergeCell ref="L5:L6"/>
    <mergeCell ref="M5:M6"/>
    <mergeCell ref="G5:G6"/>
    <mergeCell ref="C5:E6"/>
    <mergeCell ref="F5:F6"/>
    <mergeCell ref="H5:H6"/>
    <mergeCell ref="I2:J2"/>
    <mergeCell ref="I3:J3"/>
    <mergeCell ref="I5:K5"/>
  </mergeCells>
  <conditionalFormatting sqref="C8:D10 C13:D13 C16:D23 C25:D25 C28:D32 C34:D37 C40:D49 C52:D53">
    <cfRule type="expression" dxfId="10" priority="50">
      <formula>IF($N8=TRUE,TRUE,FALSE)</formula>
    </cfRule>
  </conditionalFormatting>
  <conditionalFormatting sqref="D8:E10 G8:M10 D13:E13 G13:M13 D16:E23 G16:M23 G24:H24 D25:E25 G25:M25 D28:E32 G28:M32 D34:E37 G34:M37 D40:E49 G40:M49 D52:E53 G52:M53">
    <cfRule type="expression" dxfId="9" priority="51">
      <formula>$F8="Y"</formula>
    </cfRule>
  </conditionalFormatting>
  <conditionalFormatting sqref="F8:F10 F13 F16:F23 F25 F28:F32 F34:F37 F40:F49 F52:F53">
    <cfRule type="cellIs" dxfId="8" priority="17" operator="equal">
      <formula>"Y"</formula>
    </cfRule>
  </conditionalFormatting>
  <conditionalFormatting sqref="G7:H7">
    <cfRule type="expression" dxfId="7" priority="16">
      <formula>$F7="Y"</formula>
    </cfRule>
  </conditionalFormatting>
  <conditionalFormatting sqref="G12:H12">
    <cfRule type="expression" dxfId="6" priority="11">
      <formula>$F12="Y"</formula>
    </cfRule>
  </conditionalFormatting>
  <conditionalFormatting sqref="G15:H15">
    <cfRule type="expression" dxfId="5" priority="10">
      <formula>$F15="Y"</formula>
    </cfRule>
  </conditionalFormatting>
  <conditionalFormatting sqref="G27:H27">
    <cfRule type="expression" dxfId="4" priority="9">
      <formula>$F27="Y"</formula>
    </cfRule>
  </conditionalFormatting>
  <conditionalFormatting sqref="G33:H33">
    <cfRule type="expression" dxfId="3" priority="8">
      <formula>$F33="Y"</formula>
    </cfRule>
  </conditionalFormatting>
  <conditionalFormatting sqref="G39:H39">
    <cfRule type="expression" dxfId="2" priority="4">
      <formula>$F39="Y"</formula>
    </cfRule>
  </conditionalFormatting>
  <conditionalFormatting sqref="G51:H51">
    <cfRule type="expression" dxfId="1" priority="1">
      <formula>$F51="Y"</formula>
    </cfRule>
  </conditionalFormatting>
  <conditionalFormatting sqref="K3:L3">
    <cfRule type="expression" dxfId="0" priority="52">
      <formula>IF(#REF!=TRUE,TRUE,FALSE)</formula>
    </cfRule>
  </conditionalFormatting>
  <dataValidations count="1">
    <dataValidation type="list" allowBlank="1" showInputMessage="1" showErrorMessage="1" sqref="F28:F32 F52:F53 F13 F8:F10 F16:F23 F40:F49 F34:F37 F25" xr:uid="{1CEBF07A-C466-4FA5-8F8B-ECEE384131BF}">
      <formula1>"Y"</formula1>
    </dataValidation>
  </dataValidations>
  <hyperlinks>
    <hyperlink ref="M49" r:id="rId1" display="Tweak model assumptions until desired reserves are achieved. Some dials to consider are PP, Rent strategy, Yr1 Proforma, Growth rates, Debt, Investor splits, and Cap rates. Goal Seek is great for this. Check out my video here –&gt; https://www.youtube.com/watch?v=XK-iSgrcrso" xr:uid="{737C8ACE-82FA-4126-83C6-0F4136B31DEB}"/>
  </hyperlinks>
  <pageMargins left="0.7" right="0.7" top="0.75" bottom="0.75" header="0.3" footer="0.3"/>
  <pageSetup orientation="portrait" horizontalDpi="4294967293" r:id="rId2"/>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CFC7F0F596484AAE2958C88479699C" ma:contentTypeVersion="13" ma:contentTypeDescription="Create a new document." ma:contentTypeScope="" ma:versionID="9b28e00009f880deeb4594065713c548">
  <xsd:schema xmlns:xsd="http://www.w3.org/2001/XMLSchema" xmlns:xs="http://www.w3.org/2001/XMLSchema" xmlns:p="http://schemas.microsoft.com/office/2006/metadata/properties" xmlns:ns2="729b3374-e0c7-4b77-b1e1-3af3e2e82dad" xmlns:ns3="9716764c-5149-4a99-9b5b-af544c88489d" targetNamespace="http://schemas.microsoft.com/office/2006/metadata/properties" ma:root="true" ma:fieldsID="b29e4169cdaaaf3a8258b68e2eeef5f5" ns2:_="" ns3:_="">
    <xsd:import namespace="729b3374-e0c7-4b77-b1e1-3af3e2e82dad"/>
    <xsd:import namespace="9716764c-5149-4a99-9b5b-af544c88489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b3374-e0c7-4b77-b1e1-3af3e2e82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898458c-4503-47f8-be05-7596d6f6f7a1"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716764c-5149-4a99-9b5b-af544c88489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0484f5f-2aaa-4bed-a673-142f4d76aafe}" ma:internalName="TaxCatchAll" ma:showField="CatchAllData" ma:web="9716764c-5149-4a99-9b5b-af544c8848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716764c-5149-4a99-9b5b-af544c88489d" xsi:nil="true"/>
    <lcf76f155ced4ddcb4097134ff3c332f xmlns="729b3374-e0c7-4b77-b1e1-3af3e2e82d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9AB5577-E34A-4171-BE92-F463B68AA6BE}">
  <ds:schemaRefs>
    <ds:schemaRef ds:uri="http://schemas.microsoft.com/sharepoint/v3/contenttype/forms"/>
  </ds:schemaRefs>
</ds:datastoreItem>
</file>

<file path=customXml/itemProps2.xml><?xml version="1.0" encoding="utf-8"?>
<ds:datastoreItem xmlns:ds="http://schemas.openxmlformats.org/officeDocument/2006/customXml" ds:itemID="{9695FD5C-423F-4849-A06B-84C1FF45CF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b3374-e0c7-4b77-b1e1-3af3e2e82dad"/>
    <ds:schemaRef ds:uri="9716764c-5149-4a99-9b5b-af544c8848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2290A0-7C37-4F50-A5F5-99C374B9BC33}">
  <ds:schemaRefs>
    <ds:schemaRef ds:uri="http://schemas.microsoft.com/office/2006/metadata/properties"/>
    <ds:schemaRef ds:uri="http://purl.org/dc/elements/1.1/"/>
    <ds:schemaRef ds:uri="9716764c-5149-4a99-9b5b-af544c88489d"/>
    <ds:schemaRef ds:uri="729b3374-e0c7-4b77-b1e1-3af3e2e82dad"/>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MFA Underwriting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Craig Drummond</dc:creator>
  <cp:keywords/>
  <dc:description/>
  <cp:lastModifiedBy>Craig Drummond</cp:lastModifiedBy>
  <cp:revision/>
  <cp:lastPrinted>2023-02-17T19:05:31Z</cp:lastPrinted>
  <dcterms:created xsi:type="dcterms:W3CDTF">2022-08-27T13:45:25Z</dcterms:created>
  <dcterms:modified xsi:type="dcterms:W3CDTF">2023-05-04T22:08:14Z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0x01010078CFC7F0F596484AAE2958C88479699C</vt:lpwstr>
  </property>
  <property fmtid="{D5CDD505-2E9C-101B-9397-08002B2CF9AE}" pid="3" name="MediaServiceImageTags">
    <vt:lpwstr/>
  </property>
</Properties>
</file>