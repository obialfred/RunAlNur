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rl\Dropbox\Documents\Real Estate\Purchasing &amp; Brokers\Property Analysis &amp; Due Diligence\Larry\"/>
    </mc:Choice>
  </mc:AlternateContent>
  <xr:revisionPtr revIDLastSave="0" documentId="13_ncr:1_{0DDADBB9-2A6B-4597-9B50-EE6DFD015733}" xr6:coauthVersionLast="47" xr6:coauthVersionMax="47" xr10:uidLastSave="{00000000-0000-0000-0000-000000000000}"/>
  <bookViews>
    <workbookView xWindow="-108" yWindow="-108" windowWidth="23256" windowHeight="12576" xr2:uid="{CCEE8056-1287-FD48-B97D-4210D72456F1}"/>
  </bookViews>
  <sheets>
    <sheet name="Sheet1" sheetId="1" r:id="rId1"/>
  </sheets>
  <calcPr calcId="191029"/>
  <customWorkbookViews>
    <customWorkbookView name="CRE Investor Pro" guid="{39BA1D49-2C39-C54B-96D4-FD1761CCB36C}" maximized="1" xWindow="3" yWindow="23" windowWidth="1437" windowHeight="823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9" i="1" s="1"/>
  <c r="C26" i="1" l="1"/>
  <c r="C36" i="1"/>
  <c r="C31" i="1" l="1"/>
  <c r="C30" i="1"/>
  <c r="J32" i="1"/>
  <c r="C37" i="1" s="1"/>
  <c r="C38" i="1" l="1"/>
  <c r="C105" i="1" l="1"/>
  <c r="C56" i="1"/>
  <c r="C95" i="1"/>
  <c r="C48" i="1"/>
  <c r="F39" i="1"/>
  <c r="F38" i="1"/>
  <c r="F37" i="1"/>
  <c r="F35" i="1"/>
  <c r="F34" i="1"/>
  <c r="F33" i="1"/>
  <c r="F32" i="1"/>
  <c r="F30" i="1"/>
  <c r="F21" i="1"/>
  <c r="F20" i="1"/>
  <c r="F19" i="1"/>
  <c r="F18" i="1"/>
  <c r="F15" i="1"/>
  <c r="F12" i="1"/>
  <c r="F31" i="1" l="1"/>
  <c r="F26" i="1"/>
  <c r="C110" i="1"/>
  <c r="C112" i="1"/>
  <c r="C111" i="1"/>
  <c r="C109" i="1"/>
  <c r="F40" i="1" l="1"/>
  <c r="C22" i="1"/>
  <c r="F22" i="1" s="1"/>
  <c r="C24" i="1" l="1"/>
  <c r="F24" i="1" s="1"/>
  <c r="C113" i="1" l="1"/>
  <c r="D74" i="1" s="1"/>
  <c r="C73" i="1" l="1"/>
  <c r="C74" i="1" s="1"/>
  <c r="C75" i="1"/>
  <c r="C83" i="1"/>
  <c r="C54" i="1" l="1"/>
  <c r="C53" i="1"/>
  <c r="C77" i="1"/>
  <c r="C57" i="1" l="1"/>
  <c r="C58" i="1"/>
  <c r="C62" i="1"/>
  <c r="C66" i="1" s="1"/>
  <c r="C68" i="1" s="1"/>
  <c r="C85" i="1" s="1"/>
  <c r="C27" i="1"/>
  <c r="C67" i="1" l="1"/>
  <c r="C69" i="1" s="1"/>
  <c r="C87" i="1" s="1"/>
  <c r="F27" i="1"/>
  <c r="C96" i="1"/>
  <c r="C42" i="1"/>
  <c r="C44" i="1" s="1"/>
  <c r="F44" i="1" s="1"/>
  <c r="F36" i="1"/>
  <c r="C99" i="1" l="1"/>
  <c r="C79" i="1"/>
  <c r="C81" i="1" s="1"/>
  <c r="C97" i="1"/>
  <c r="C46" i="1"/>
  <c r="C119" i="1" l="1"/>
  <c r="C120" i="1" s="1"/>
  <c r="F46" i="1"/>
  <c r="C102" i="1"/>
  <c r="C98" i="1"/>
  <c r="C101" i="1"/>
  <c r="C89" i="1"/>
  <c r="C103" i="1" s="1"/>
  <c r="C91" i="1"/>
  <c r="C104" i="1" s="1"/>
  <c r="C100" i="1"/>
</calcChain>
</file>

<file path=xl/sharedStrings.xml><?xml version="1.0" encoding="utf-8"?>
<sst xmlns="http://schemas.openxmlformats.org/spreadsheetml/2006/main" count="94" uniqueCount="87">
  <si>
    <t>Per Unit</t>
  </si>
  <si>
    <t>Total</t>
  </si>
  <si>
    <t>Number Of Units</t>
  </si>
  <si>
    <t>Asking Price</t>
  </si>
  <si>
    <t>Gross Potential Rent</t>
  </si>
  <si>
    <t>Economic Vacancy</t>
  </si>
  <si>
    <t>Other Income</t>
  </si>
  <si>
    <t>TOTAL INCOME</t>
  </si>
  <si>
    <t>EXPENSES</t>
  </si>
  <si>
    <t>NOI (Net Operating Income)</t>
  </si>
  <si>
    <t>Expense Ratio</t>
  </si>
  <si>
    <t>Income Per Unit</t>
  </si>
  <si>
    <t>Expenses Per Unit</t>
  </si>
  <si>
    <t>Contract Services</t>
  </si>
  <si>
    <t>Repairs/Maintenance</t>
  </si>
  <si>
    <t>Payroll/Benefits</t>
  </si>
  <si>
    <t>Utilities</t>
  </si>
  <si>
    <t>Marketing</t>
  </si>
  <si>
    <t>Property Management</t>
  </si>
  <si>
    <t>Real Estate Taxes</t>
  </si>
  <si>
    <t>Insurance</t>
  </si>
  <si>
    <t>Other Admin</t>
  </si>
  <si>
    <t>TOTAL EXPENSES</t>
  </si>
  <si>
    <t>OR</t>
  </si>
  <si>
    <t>EXPENSE RATIO</t>
  </si>
  <si>
    <t>Equity Requirements</t>
  </si>
  <si>
    <t>Purchase Price</t>
  </si>
  <si>
    <t>Estimated Closing Cost (%)</t>
  </si>
  <si>
    <t>Total Costs</t>
  </si>
  <si>
    <t>Estimated Renovation costs per Door</t>
  </si>
  <si>
    <t>Input</t>
  </si>
  <si>
    <t>Total Out Of Pocket Costs</t>
  </si>
  <si>
    <t>Estimated Operational Initial Costs</t>
  </si>
  <si>
    <t>Debt Requirements</t>
  </si>
  <si>
    <t>Loan Amount</t>
  </si>
  <si>
    <t>Loan Terms (Years)</t>
  </si>
  <si>
    <t>Annual Interest Rate</t>
  </si>
  <si>
    <t>Payments Per Year</t>
  </si>
  <si>
    <t>Debt Service Per Month</t>
  </si>
  <si>
    <t>Annual Debt Service Including Interest</t>
  </si>
  <si>
    <t>Interest Per Month</t>
  </si>
  <si>
    <t>Interest Per Year</t>
  </si>
  <si>
    <t>Equity Down Payment(%)</t>
  </si>
  <si>
    <t>Analysis</t>
  </si>
  <si>
    <t>Current Rents</t>
  </si>
  <si>
    <t>Total Annual Income</t>
  </si>
  <si>
    <t>Total Operating Expenses</t>
  </si>
  <si>
    <t>Annual Required Reserves Per Unit $</t>
  </si>
  <si>
    <t>Annual Required Reserves</t>
  </si>
  <si>
    <t>Annual Interest</t>
  </si>
  <si>
    <t>Annual Cash Flow W/ Interest Only</t>
  </si>
  <si>
    <t>Annual Cash Flow With Principle &amp; Interest</t>
  </si>
  <si>
    <t>Key Metric Numbers</t>
  </si>
  <si>
    <t>Price Per Unit</t>
  </si>
  <si>
    <t>Net Income Per Unit</t>
  </si>
  <si>
    <t>DSCR W/ Princple &amp; Interest</t>
  </si>
  <si>
    <t>DSCR W/Interest Only</t>
  </si>
  <si>
    <t>Going In Cap Rate</t>
  </si>
  <si>
    <t>Y 1 COC Return Interest Only</t>
  </si>
  <si>
    <t>Y 1 COC Return Principle &amp; Intesest</t>
  </si>
  <si>
    <t>Instructions:</t>
  </si>
  <si>
    <t>Fill out Yellow Cells; Grey Cells Automatically Generate</t>
  </si>
  <si>
    <t>Physical Vacancy Loss</t>
  </si>
  <si>
    <t>Gain (Loss) To Lease</t>
  </si>
  <si>
    <t>Concessions</t>
  </si>
  <si>
    <t>Total Economic Vacany</t>
  </si>
  <si>
    <t>Vacany Loss</t>
  </si>
  <si>
    <t>Bad Debt</t>
  </si>
  <si>
    <t>Loss To Lease</t>
  </si>
  <si>
    <t>TOTAL ECONOMIC VACANCY</t>
  </si>
  <si>
    <t>NET RENTAL INCOME</t>
  </si>
  <si>
    <t>POTENTIAL MARKET RENTS</t>
  </si>
  <si>
    <t>ECONOMIC VACANCY</t>
  </si>
  <si>
    <t>Turn Over Costs</t>
  </si>
  <si>
    <t>Professional Fees</t>
  </si>
  <si>
    <t>Gross Rent Multiplier (GRM)</t>
  </si>
  <si>
    <t>Quick Dirty Purchase Price</t>
  </si>
  <si>
    <t>Quick And Dirty Purchase Price</t>
  </si>
  <si>
    <t>Percent Of Sellers Asking Price</t>
  </si>
  <si>
    <t>Target Cap Rate</t>
  </si>
  <si>
    <t>Millage Rate</t>
  </si>
  <si>
    <t>% taxable</t>
  </si>
  <si>
    <t>Taxable Amt</t>
  </si>
  <si>
    <t xml:space="preserve">Property Name: </t>
  </si>
  <si>
    <t xml:space="preserve">Number Of Units: </t>
  </si>
  <si>
    <t xml:space="preserve">Year Built: </t>
  </si>
  <si>
    <t>Quick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</si>
</sst>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&quot;$&quot;#,##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9E8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8AFA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2" applyFont="1"/>
    <xf numFmtId="0" fontId="2" fillId="0" borderId="0" xfId="0" applyFont="1"/>
    <xf numFmtId="166" fontId="0" fillId="0" borderId="0" xfId="0" applyNumberFormat="1"/>
    <xf numFmtId="9" fontId="0" fillId="5" borderId="2" xfId="2" applyFont="1" applyFill="1" applyBorder="1"/>
    <xf numFmtId="165" fontId="1" fillId="3" borderId="2" xfId="4" applyNumberFormat="1" applyFont="1" applyBorder="1"/>
    <xf numFmtId="2" fontId="2" fillId="3" borderId="2" xfId="4" applyNumberFormat="1" applyFont="1" applyBorder="1"/>
    <xf numFmtId="10" fontId="2" fillId="3" borderId="2" xfId="4" applyNumberFormat="1" applyFont="1" applyBorder="1"/>
    <xf numFmtId="164" fontId="2" fillId="3" borderId="2" xfId="4" applyNumberFormat="1" applyFont="1" applyBorder="1"/>
    <xf numFmtId="9" fontId="1" fillId="3" borderId="2" xfId="2" applyFont="1" applyFill="1" applyBorder="1"/>
    <xf numFmtId="0" fontId="0" fillId="0" borderId="0" xfId="0" applyAlignment="1">
      <alignment horizontal="left"/>
    </xf>
    <xf numFmtId="165" fontId="0" fillId="6" borderId="0" xfId="1" applyNumberFormat="1" applyFont="1" applyFill="1" applyBorder="1"/>
    <xf numFmtId="44" fontId="0" fillId="6" borderId="0" xfId="1" applyFont="1" applyFill="1" applyBorder="1"/>
    <xf numFmtId="165" fontId="0" fillId="5" borderId="2" xfId="1" applyNumberFormat="1" applyFont="1" applyFill="1" applyBorder="1"/>
    <xf numFmtId="165" fontId="1" fillId="3" borderId="2" xfId="1" applyNumberFormat="1" applyFont="1" applyFill="1" applyBorder="1"/>
    <xf numFmtId="165" fontId="2" fillId="3" borderId="2" xfId="1" applyNumberFormat="1" applyFont="1" applyFill="1" applyBorder="1"/>
    <xf numFmtId="166" fontId="1" fillId="3" borderId="2" xfId="4" applyNumberFormat="1" applyFont="1" applyBorder="1"/>
    <xf numFmtId="165" fontId="2" fillId="3" borderId="2" xfId="4" applyNumberFormat="1" applyFont="1" applyBorder="1"/>
    <xf numFmtId="166" fontId="2" fillId="3" borderId="2" xfId="4" applyNumberFormat="1" applyFont="1" applyBorder="1"/>
    <xf numFmtId="0" fontId="0" fillId="5" borderId="2" xfId="0" applyFill="1" applyBorder="1"/>
    <xf numFmtId="10" fontId="0" fillId="5" borderId="2" xfId="2" applyNumberFormat="1" applyFont="1" applyFill="1" applyBorder="1"/>
    <xf numFmtId="10" fontId="1" fillId="3" borderId="2" xfId="4" applyNumberFormat="1" applyFont="1" applyBorder="1"/>
    <xf numFmtId="0" fontId="0" fillId="5" borderId="2" xfId="3" applyFont="1" applyFill="1" applyBorder="1"/>
    <xf numFmtId="0" fontId="1" fillId="0" borderId="0" xfId="0" applyFont="1"/>
    <xf numFmtId="165" fontId="1" fillId="3" borderId="3" xfId="1" applyNumberFormat="1" applyFont="1" applyFill="1" applyBorder="1"/>
    <xf numFmtId="9" fontId="1" fillId="5" borderId="2" xfId="2" applyFont="1" applyFill="1" applyBorder="1"/>
    <xf numFmtId="164" fontId="1" fillId="3" borderId="2" xfId="4" applyNumberFormat="1" applyFont="1" applyBorder="1"/>
    <xf numFmtId="2" fontId="2" fillId="3" borderId="0" xfId="4" applyNumberFormat="1" applyFont="1" applyBorder="1"/>
    <xf numFmtId="9" fontId="2" fillId="3" borderId="2" xfId="4" applyNumberFormat="1" applyFont="1" applyBorder="1"/>
    <xf numFmtId="10" fontId="2" fillId="5" borderId="2" xfId="2" applyNumberFormat="1" applyFont="1" applyFill="1" applyBorder="1"/>
    <xf numFmtId="44" fontId="1" fillId="3" borderId="2" xfId="4" applyNumberFormat="1" applyFont="1" applyBorder="1"/>
    <xf numFmtId="166" fontId="2" fillId="5" borderId="2" xfId="3" applyNumberFormat="1" applyFont="1" applyFill="1" applyBorder="1"/>
    <xf numFmtId="165" fontId="2" fillId="5" borderId="2" xfId="1" applyNumberFormat="1" applyFont="1" applyFill="1" applyBorder="1"/>
    <xf numFmtId="9" fontId="0" fillId="0" borderId="0" xfId="0" applyNumberFormat="1"/>
    <xf numFmtId="44" fontId="0" fillId="5" borderId="2" xfId="0" applyNumberFormat="1" applyFill="1" applyBorder="1"/>
    <xf numFmtId="0" fontId="2" fillId="10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4" borderId="0" xfId="5" applyFont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5" borderId="2" xfId="0" applyFont="1" applyFill="1" applyBorder="1"/>
    <xf numFmtId="0" fontId="2" fillId="7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6">
    <cellStyle name="Accent3" xfId="4" builtinId="37"/>
    <cellStyle name="Accent6" xfId="5" builtinId="49"/>
    <cellStyle name="Currency" xfId="1" builtinId="4"/>
    <cellStyle name="Normal" xfId="0" builtinId="0"/>
    <cellStyle name="Note" xfId="3" builtinId="10"/>
    <cellStyle name="Percent" xfId="2" builtinId="5"/>
  </cellStyles>
  <dxfs count="0"/>
  <tableStyles count="0" defaultTableStyle="TableStyleMedium2" defaultPivotStyle="PivotStyleLight16"/>
  <colors>
    <mruColors>
      <color rgb="FFC66089"/>
      <color rgb="FFFF8AFA"/>
      <color rgb="FF69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1234440</xdr:colOff>
      <xdr:row>0</xdr:row>
      <xdr:rowOff>365219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0BF75-19EB-9841-1FCE-0FB8AA614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440" cy="365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AC54-C8BF-8C45-986E-9B1C5F3B85E7}">
  <sheetPr codeName="Sheet1"/>
  <dimension ref="A1:J120"/>
  <sheetViews>
    <sheetView tabSelected="1" zoomScaleNormal="100" workbookViewId="0">
      <selection activeCell="A9" sqref="A9"/>
    </sheetView>
  </sheetViews>
  <sheetFormatPr defaultColWidth="11" defaultRowHeight="15.6" x14ac:dyDescent="0.3"/>
  <cols>
    <col min="1" max="1" width="34.3984375" style="1" customWidth="1"/>
    <col min="2" max="2" width="8.3984375" customWidth="1"/>
    <col min="3" max="3" width="16.59765625" customWidth="1"/>
    <col min="4" max="4" width="10.8984375" customWidth="1"/>
    <col min="5" max="5" width="8.3984375" customWidth="1"/>
    <col min="6" max="6" width="16.59765625" customWidth="1"/>
  </cols>
  <sheetData>
    <row r="1" spans="1:7" ht="28.8" x14ac:dyDescent="0.55000000000000004">
      <c r="A1" s="45" t="s">
        <v>86</v>
      </c>
      <c r="B1" s="45"/>
      <c r="C1" s="45"/>
      <c r="D1" s="45"/>
      <c r="E1" s="45"/>
      <c r="F1" s="45"/>
      <c r="G1" s="4"/>
    </row>
    <row r="2" spans="1:7" x14ac:dyDescent="0.3">
      <c r="A2" s="37" t="s">
        <v>60</v>
      </c>
      <c r="B2" s="37"/>
      <c r="C2" s="37"/>
      <c r="D2" s="37"/>
      <c r="E2" s="37"/>
      <c r="F2" s="37"/>
    </row>
    <row r="3" spans="1:7" x14ac:dyDescent="0.3">
      <c r="A3" s="37" t="s">
        <v>61</v>
      </c>
      <c r="B3" s="37"/>
      <c r="C3" s="37"/>
      <c r="D3" s="37"/>
      <c r="E3" s="37"/>
      <c r="F3" s="37"/>
    </row>
    <row r="4" spans="1:7" x14ac:dyDescent="0.3">
      <c r="A4"/>
    </row>
    <row r="5" spans="1:7" s="12" customFormat="1" x14ac:dyDescent="0.3">
      <c r="A5" s="43" t="s">
        <v>83</v>
      </c>
      <c r="B5" s="43"/>
      <c r="C5" s="43"/>
    </row>
    <row r="6" spans="1:7" x14ac:dyDescent="0.3">
      <c r="A6" s="43" t="s">
        <v>84</v>
      </c>
      <c r="B6" s="43"/>
      <c r="C6" s="43"/>
    </row>
    <row r="7" spans="1:7" x14ac:dyDescent="0.3">
      <c r="A7" s="43" t="s">
        <v>85</v>
      </c>
      <c r="B7" s="43"/>
      <c r="C7" s="43"/>
    </row>
    <row r="8" spans="1:7" x14ac:dyDescent="0.3">
      <c r="A8" s="12"/>
    </row>
    <row r="9" spans="1:7" x14ac:dyDescent="0.3">
      <c r="C9" s="2" t="s">
        <v>1</v>
      </c>
      <c r="F9" s="2" t="s">
        <v>0</v>
      </c>
    </row>
    <row r="11" spans="1:7" x14ac:dyDescent="0.3">
      <c r="A11" s="2" t="s">
        <v>2</v>
      </c>
      <c r="C11" s="24">
        <v>12</v>
      </c>
    </row>
    <row r="12" spans="1:7" x14ac:dyDescent="0.3">
      <c r="A12" s="2" t="s">
        <v>3</v>
      </c>
      <c r="C12" s="33">
        <v>800000</v>
      </c>
      <c r="F12" s="7">
        <f>C12/C11</f>
        <v>66666.666666666672</v>
      </c>
    </row>
    <row r="13" spans="1:7" x14ac:dyDescent="0.3">
      <c r="C13" s="5"/>
      <c r="F13" s="25"/>
    </row>
    <row r="14" spans="1:7" x14ac:dyDescent="0.3">
      <c r="A14" s="2" t="s">
        <v>71</v>
      </c>
      <c r="C14" s="5"/>
      <c r="F14" s="25"/>
    </row>
    <row r="15" spans="1:7" x14ac:dyDescent="0.3">
      <c r="A15" s="1" t="s">
        <v>4</v>
      </c>
      <c r="C15" s="34">
        <f>10960*12</f>
        <v>131520</v>
      </c>
      <c r="F15" s="7">
        <f>C15/C11</f>
        <v>10960</v>
      </c>
    </row>
    <row r="16" spans="1:7" x14ac:dyDescent="0.3">
      <c r="F16" s="25"/>
    </row>
    <row r="17" spans="1:10" x14ac:dyDescent="0.3">
      <c r="A17" s="2" t="s">
        <v>72</v>
      </c>
      <c r="F17" s="25"/>
    </row>
    <row r="18" spans="1:10" x14ac:dyDescent="0.3">
      <c r="A18" s="1" t="s">
        <v>62</v>
      </c>
      <c r="C18" s="15"/>
      <c r="F18" s="7">
        <f>C18/C11</f>
        <v>0</v>
      </c>
    </row>
    <row r="19" spans="1:10" x14ac:dyDescent="0.3">
      <c r="A19" s="1" t="s">
        <v>63</v>
      </c>
      <c r="C19" s="15">
        <f>C15*-0.1</f>
        <v>-13152</v>
      </c>
      <c r="F19" s="7">
        <f>C19/C11</f>
        <v>-1096</v>
      </c>
    </row>
    <row r="20" spans="1:10" x14ac:dyDescent="0.3">
      <c r="A20" s="1" t="s">
        <v>67</v>
      </c>
      <c r="C20" s="15">
        <v>0</v>
      </c>
      <c r="F20" s="7">
        <f>C20/C11</f>
        <v>0</v>
      </c>
    </row>
    <row r="21" spans="1:10" x14ac:dyDescent="0.3">
      <c r="A21" s="1" t="s">
        <v>64</v>
      </c>
      <c r="C21" s="15">
        <v>0</v>
      </c>
      <c r="F21" s="7">
        <f>C21/C11</f>
        <v>0</v>
      </c>
    </row>
    <row r="22" spans="1:10" x14ac:dyDescent="0.3">
      <c r="A22" s="2" t="s">
        <v>69</v>
      </c>
      <c r="C22" s="17">
        <f>SUM(C18:C21)</f>
        <v>-13152</v>
      </c>
      <c r="F22" s="7">
        <f>C22/C11</f>
        <v>-1096</v>
      </c>
    </row>
    <row r="23" spans="1:10" x14ac:dyDescent="0.3">
      <c r="A23" s="2"/>
    </row>
    <row r="24" spans="1:10" x14ac:dyDescent="0.3">
      <c r="A24" s="2" t="s">
        <v>70</v>
      </c>
      <c r="C24" s="17">
        <f>C15+C22</f>
        <v>118368</v>
      </c>
      <c r="F24" s="7">
        <f>C24/C11</f>
        <v>9864</v>
      </c>
    </row>
    <row r="25" spans="1:10" x14ac:dyDescent="0.3">
      <c r="A25" s="2"/>
    </row>
    <row r="26" spans="1:10" x14ac:dyDescent="0.3">
      <c r="A26" s="1" t="s">
        <v>6</v>
      </c>
      <c r="C26" s="15">
        <f>1532+9985</f>
        <v>11517</v>
      </c>
      <c r="F26" s="7">
        <f>C26/C11</f>
        <v>959.75</v>
      </c>
    </row>
    <row r="27" spans="1:10" x14ac:dyDescent="0.3">
      <c r="A27" s="2" t="s">
        <v>7</v>
      </c>
      <c r="C27" s="17">
        <f>SUM(C24:C26)</f>
        <v>129885</v>
      </c>
      <c r="F27" s="7">
        <f>C27/C11</f>
        <v>10823.75</v>
      </c>
    </row>
    <row r="28" spans="1:10" x14ac:dyDescent="0.3">
      <c r="C28" s="5"/>
    </row>
    <row r="29" spans="1:10" x14ac:dyDescent="0.3">
      <c r="A29" s="2" t="s">
        <v>8</v>
      </c>
      <c r="C29" s="13"/>
    </row>
    <row r="30" spans="1:10" x14ac:dyDescent="0.3">
      <c r="A30" s="1" t="s">
        <v>13</v>
      </c>
      <c r="C30" s="15">
        <f>1020+900+250+90+128</f>
        <v>2388</v>
      </c>
      <c r="F30" s="7">
        <f>C30/C11</f>
        <v>199</v>
      </c>
      <c r="I30" t="s">
        <v>80</v>
      </c>
      <c r="J30">
        <v>14.674099999999999</v>
      </c>
    </row>
    <row r="31" spans="1:10" x14ac:dyDescent="0.3">
      <c r="A31" s="1" t="s">
        <v>14</v>
      </c>
      <c r="C31" s="15">
        <f>500*12</f>
        <v>6000</v>
      </c>
      <c r="F31" s="7">
        <f>C31/C11</f>
        <v>500</v>
      </c>
      <c r="I31" t="s">
        <v>81</v>
      </c>
      <c r="J31" s="3">
        <v>0.8</v>
      </c>
    </row>
    <row r="32" spans="1:10" x14ac:dyDescent="0.3">
      <c r="A32" s="1" t="s">
        <v>74</v>
      </c>
      <c r="C32" s="15">
        <v>3000</v>
      </c>
      <c r="F32" s="7">
        <f>C32/C11</f>
        <v>250</v>
      </c>
      <c r="I32" t="s">
        <v>82</v>
      </c>
      <c r="J32" s="5">
        <f>C12*J31</f>
        <v>640000</v>
      </c>
    </row>
    <row r="33" spans="1:6" x14ac:dyDescent="0.3">
      <c r="A33" s="1" t="s">
        <v>15</v>
      </c>
      <c r="C33" s="15">
        <v>20000</v>
      </c>
      <c r="F33" s="7">
        <f>C33/C11</f>
        <v>1666.6666666666667</v>
      </c>
    </row>
    <row r="34" spans="1:6" x14ac:dyDescent="0.3">
      <c r="A34" s="1" t="s">
        <v>16</v>
      </c>
      <c r="C34" s="15">
        <v>11575</v>
      </c>
      <c r="F34" s="7">
        <f>C34/C11</f>
        <v>964.58333333333337</v>
      </c>
    </row>
    <row r="35" spans="1:6" x14ac:dyDescent="0.3">
      <c r="A35" s="1" t="s">
        <v>17</v>
      </c>
      <c r="C35" s="15">
        <v>1200</v>
      </c>
      <c r="F35" s="7">
        <f>C35/C11</f>
        <v>100</v>
      </c>
    </row>
    <row r="36" spans="1:6" x14ac:dyDescent="0.3">
      <c r="A36" s="1" t="s">
        <v>18</v>
      </c>
      <c r="C36" s="15">
        <f>SUM(C15*0.07)</f>
        <v>9206.4000000000015</v>
      </c>
      <c r="F36" s="7">
        <f>C36/C11</f>
        <v>767.20000000000016</v>
      </c>
    </row>
    <row r="37" spans="1:6" x14ac:dyDescent="0.3">
      <c r="A37" s="1" t="s">
        <v>19</v>
      </c>
      <c r="C37" s="15">
        <f>J30/1000*J32</f>
        <v>9391.4239999999991</v>
      </c>
      <c r="D37" s="35"/>
      <c r="F37" s="7">
        <f>C37/C11</f>
        <v>782.61866666666663</v>
      </c>
    </row>
    <row r="38" spans="1:6" x14ac:dyDescent="0.3">
      <c r="A38" s="1" t="s">
        <v>20</v>
      </c>
      <c r="C38" s="15">
        <f>600*C11</f>
        <v>7200</v>
      </c>
      <c r="F38" s="7">
        <f>C38/C11</f>
        <v>600</v>
      </c>
    </row>
    <row r="39" spans="1:6" x14ac:dyDescent="0.3">
      <c r="A39" s="1" t="s">
        <v>73</v>
      </c>
      <c r="C39" s="15"/>
      <c r="F39" s="7">
        <f>C39/C11</f>
        <v>0</v>
      </c>
    </row>
    <row r="40" spans="1:6" x14ac:dyDescent="0.3">
      <c r="A40" s="1" t="s">
        <v>21</v>
      </c>
      <c r="C40" s="15"/>
      <c r="F40" s="7">
        <f>C40/C11</f>
        <v>0</v>
      </c>
    </row>
    <row r="41" spans="1:6" x14ac:dyDescent="0.3">
      <c r="A41" s="2" t="s">
        <v>23</v>
      </c>
      <c r="C41" s="14"/>
    </row>
    <row r="42" spans="1:6" x14ac:dyDescent="0.3">
      <c r="A42" s="2" t="s">
        <v>24</v>
      </c>
      <c r="B42" s="1"/>
      <c r="C42" s="18">
        <f>D42*C27</f>
        <v>0</v>
      </c>
      <c r="D42" s="6">
        <v>0</v>
      </c>
    </row>
    <row r="43" spans="1:6" x14ac:dyDescent="0.3">
      <c r="C43" s="14"/>
    </row>
    <row r="44" spans="1:6" x14ac:dyDescent="0.3">
      <c r="A44" s="2" t="s">
        <v>22</v>
      </c>
      <c r="C44" s="19">
        <f>SUM(C30:C42)</f>
        <v>69960.823999999993</v>
      </c>
      <c r="F44" s="7">
        <f>C44/C11</f>
        <v>5830.0686666666661</v>
      </c>
    </row>
    <row r="45" spans="1:6" x14ac:dyDescent="0.3">
      <c r="A45" s="2"/>
    </row>
    <row r="46" spans="1:6" x14ac:dyDescent="0.3">
      <c r="A46" s="2" t="s">
        <v>9</v>
      </c>
      <c r="C46" s="20">
        <f>C27-C44</f>
        <v>59924.176000000007</v>
      </c>
      <c r="F46" s="18">
        <f>C46/C11</f>
        <v>4993.6813333333339</v>
      </c>
    </row>
    <row r="48" spans="1:6" x14ac:dyDescent="0.3">
      <c r="A48" s="2" t="s">
        <v>47</v>
      </c>
      <c r="C48" s="32">
        <f>F48*C11</f>
        <v>3000</v>
      </c>
      <c r="F48" s="21">
        <v>250</v>
      </c>
    </row>
    <row r="50" spans="1:7" x14ac:dyDescent="0.3">
      <c r="A50" s="44" t="s">
        <v>25</v>
      </c>
      <c r="B50" s="44"/>
      <c r="C50" s="44"/>
      <c r="D50" s="44"/>
      <c r="E50" s="44"/>
      <c r="F50" s="44"/>
    </row>
    <row r="51" spans="1:7" x14ac:dyDescent="0.3">
      <c r="B51" s="2"/>
      <c r="C51" s="2" t="s">
        <v>1</v>
      </c>
      <c r="D51" s="2" t="s">
        <v>30</v>
      </c>
    </row>
    <row r="52" spans="1:7" x14ac:dyDescent="0.3">
      <c r="A52" s="2" t="s">
        <v>26</v>
      </c>
      <c r="C52" s="15">
        <v>850000</v>
      </c>
    </row>
    <row r="53" spans="1:7" x14ac:dyDescent="0.3">
      <c r="A53" s="1" t="s">
        <v>42</v>
      </c>
      <c r="C53" s="7">
        <f>D53*C52</f>
        <v>212500</v>
      </c>
      <c r="D53" s="27">
        <v>0.25</v>
      </c>
    </row>
    <row r="54" spans="1:7" x14ac:dyDescent="0.3">
      <c r="A54" s="1" t="s">
        <v>27</v>
      </c>
      <c r="C54" s="26">
        <f>D54*C52</f>
        <v>12750</v>
      </c>
      <c r="D54" s="22">
        <v>1.4999999999999999E-2</v>
      </c>
    </row>
    <row r="55" spans="1:7" x14ac:dyDescent="0.3">
      <c r="A55" s="1" t="s">
        <v>32</v>
      </c>
      <c r="B55" s="3"/>
      <c r="C55" s="36">
        <v>45000</v>
      </c>
    </row>
    <row r="56" spans="1:7" x14ac:dyDescent="0.3">
      <c r="A56" s="1" t="s">
        <v>29</v>
      </c>
      <c r="C56" s="16">
        <f>D56*C11</f>
        <v>72000</v>
      </c>
      <c r="D56" s="15">
        <v>6000</v>
      </c>
    </row>
    <row r="57" spans="1:7" x14ac:dyDescent="0.3">
      <c r="A57" s="2" t="s">
        <v>28</v>
      </c>
      <c r="C57" s="7">
        <f>SUM(C52:C56)</f>
        <v>1192250</v>
      </c>
    </row>
    <row r="58" spans="1:7" x14ac:dyDescent="0.3">
      <c r="A58" s="2" t="s">
        <v>31</v>
      </c>
      <c r="C58" s="7">
        <f>SUM(C53:C56)</f>
        <v>342250</v>
      </c>
    </row>
    <row r="59" spans="1:7" x14ac:dyDescent="0.3">
      <c r="A59"/>
      <c r="D59" s="4"/>
      <c r="E59" s="4"/>
      <c r="F59" s="4"/>
      <c r="G59" s="4"/>
    </row>
    <row r="60" spans="1:7" x14ac:dyDescent="0.3">
      <c r="A60" s="39" t="s">
        <v>33</v>
      </c>
      <c r="B60" s="39"/>
      <c r="C60" s="39"/>
      <c r="D60" s="39"/>
      <c r="E60" s="39"/>
      <c r="F60" s="39"/>
    </row>
    <row r="61" spans="1:7" x14ac:dyDescent="0.3">
      <c r="A61"/>
    </row>
    <row r="62" spans="1:7" x14ac:dyDescent="0.3">
      <c r="A62" s="1" t="s">
        <v>34</v>
      </c>
      <c r="C62" s="7">
        <f>C52-C53</f>
        <v>637500</v>
      </c>
    </row>
    <row r="63" spans="1:7" x14ac:dyDescent="0.3">
      <c r="A63" s="1" t="s">
        <v>35</v>
      </c>
      <c r="C63" s="21">
        <v>30</v>
      </c>
    </row>
    <row r="64" spans="1:7" x14ac:dyDescent="0.3">
      <c r="A64" s="1" t="s">
        <v>36</v>
      </c>
      <c r="C64" s="22">
        <v>0.04</v>
      </c>
    </row>
    <row r="65" spans="1:6" x14ac:dyDescent="0.3">
      <c r="A65" s="1" t="s">
        <v>37</v>
      </c>
      <c r="C65" s="21">
        <v>12</v>
      </c>
    </row>
    <row r="66" spans="1:6" x14ac:dyDescent="0.3">
      <c r="A66" s="1" t="s">
        <v>40</v>
      </c>
      <c r="C66" s="17">
        <f>(C62*C64)/12</f>
        <v>2125</v>
      </c>
    </row>
    <row r="67" spans="1:6" x14ac:dyDescent="0.3">
      <c r="A67" s="1" t="s">
        <v>38</v>
      </c>
      <c r="C67" s="17">
        <f>PMT(C64/C65,C63*C65,-C62)</f>
        <v>3043.5225085923043</v>
      </c>
    </row>
    <row r="68" spans="1:6" x14ac:dyDescent="0.3">
      <c r="A68" s="1" t="s">
        <v>41</v>
      </c>
      <c r="C68" s="17">
        <f>C66*12</f>
        <v>25500</v>
      </c>
    </row>
    <row r="69" spans="1:6" x14ac:dyDescent="0.3">
      <c r="A69" s="1" t="s">
        <v>39</v>
      </c>
      <c r="B69" s="4"/>
      <c r="C69" s="17">
        <f>C67*C65</f>
        <v>36522.27010310765</v>
      </c>
    </row>
    <row r="71" spans="1:6" x14ac:dyDescent="0.3">
      <c r="A71" s="40" t="s">
        <v>43</v>
      </c>
      <c r="B71" s="40"/>
      <c r="C71" s="40"/>
      <c r="D71" s="40"/>
      <c r="E71" s="40"/>
      <c r="F71" s="40"/>
    </row>
    <row r="73" spans="1:6" x14ac:dyDescent="0.3">
      <c r="A73" s="1" t="s">
        <v>44</v>
      </c>
      <c r="C73" s="7">
        <f>C15</f>
        <v>131520</v>
      </c>
    </row>
    <row r="74" spans="1:6" x14ac:dyDescent="0.3">
      <c r="A74" s="1" t="s">
        <v>5</v>
      </c>
      <c r="C74" s="7">
        <f>-D74*C73</f>
        <v>-13152</v>
      </c>
      <c r="D74" s="28">
        <f>C113</f>
        <v>0.1</v>
      </c>
    </row>
    <row r="75" spans="1:6" x14ac:dyDescent="0.3">
      <c r="A75" s="1" t="s">
        <v>6</v>
      </c>
      <c r="C75" s="7">
        <f>C26</f>
        <v>11517</v>
      </c>
    </row>
    <row r="77" spans="1:6" x14ac:dyDescent="0.3">
      <c r="A77" s="2" t="s">
        <v>45</v>
      </c>
      <c r="C77" s="7">
        <f>SUM(C73:C75)</f>
        <v>129885</v>
      </c>
    </row>
    <row r="79" spans="1:6" x14ac:dyDescent="0.3">
      <c r="A79" s="2" t="s">
        <v>46</v>
      </c>
      <c r="C79" s="7">
        <f>C44</f>
        <v>69960.823999999993</v>
      </c>
    </row>
    <row r="81" spans="1:6" x14ac:dyDescent="0.3">
      <c r="A81" s="2" t="s">
        <v>9</v>
      </c>
      <c r="C81" s="7">
        <f>C77-C79</f>
        <v>59924.176000000007</v>
      </c>
    </row>
    <row r="83" spans="1:6" x14ac:dyDescent="0.3">
      <c r="A83" s="1" t="s">
        <v>48</v>
      </c>
      <c r="C83" s="7">
        <f>-C48</f>
        <v>-3000</v>
      </c>
    </row>
    <row r="85" spans="1:6" x14ac:dyDescent="0.3">
      <c r="A85" s="1" t="s">
        <v>49</v>
      </c>
      <c r="C85" s="7">
        <f>-C68</f>
        <v>-25500</v>
      </c>
    </row>
    <row r="87" spans="1:6" x14ac:dyDescent="0.3">
      <c r="A87" s="1" t="s">
        <v>39</v>
      </c>
      <c r="C87" s="7">
        <f>-C69</f>
        <v>-36522.27010310765</v>
      </c>
    </row>
    <row r="89" spans="1:6" x14ac:dyDescent="0.3">
      <c r="A89" s="2" t="s">
        <v>50</v>
      </c>
      <c r="C89" s="19">
        <f>SUM(C81:C85)</f>
        <v>31424.176000000007</v>
      </c>
    </row>
    <row r="91" spans="1:6" x14ac:dyDescent="0.3">
      <c r="A91" s="2" t="s">
        <v>51</v>
      </c>
      <c r="C91" s="19">
        <f>C81+C83+C87</f>
        <v>20401.905896892356</v>
      </c>
    </row>
    <row r="93" spans="1:6" x14ac:dyDescent="0.3">
      <c r="A93" s="41" t="s">
        <v>52</v>
      </c>
      <c r="B93" s="41"/>
      <c r="C93" s="41"/>
      <c r="D93" s="41"/>
      <c r="E93" s="41"/>
      <c r="F93" s="41"/>
    </row>
    <row r="95" spans="1:6" x14ac:dyDescent="0.3">
      <c r="A95" s="1" t="s">
        <v>53</v>
      </c>
      <c r="C95" s="7">
        <f>C12/C11</f>
        <v>66666.666666666672</v>
      </c>
    </row>
    <row r="96" spans="1:6" x14ac:dyDescent="0.3">
      <c r="A96" s="1" t="s">
        <v>11</v>
      </c>
      <c r="C96" s="7">
        <f>C27/C11</f>
        <v>10823.75</v>
      </c>
    </row>
    <row r="97" spans="1:6" x14ac:dyDescent="0.3">
      <c r="A97" s="1" t="s">
        <v>12</v>
      </c>
      <c r="C97" s="7">
        <f>C44/C11</f>
        <v>5830.0686666666661</v>
      </c>
    </row>
    <row r="98" spans="1:6" x14ac:dyDescent="0.3">
      <c r="A98" s="1" t="s">
        <v>54</v>
      </c>
      <c r="C98" s="7">
        <f>C46/C11</f>
        <v>4993.6813333333339</v>
      </c>
    </row>
    <row r="99" spans="1:6" x14ac:dyDescent="0.3">
      <c r="A99" s="1" t="s">
        <v>10</v>
      </c>
      <c r="C99" s="11">
        <f>C44/C27</f>
        <v>0.53863667090118172</v>
      </c>
    </row>
    <row r="100" spans="1:6" x14ac:dyDescent="0.3">
      <c r="A100" s="1" t="s">
        <v>56</v>
      </c>
      <c r="C100" s="8">
        <f>C81/-(C83+C85)</f>
        <v>2.1026026666666668</v>
      </c>
    </row>
    <row r="101" spans="1:6" x14ac:dyDescent="0.3">
      <c r="A101" s="1" t="s">
        <v>55</v>
      </c>
      <c r="C101" s="8">
        <f>C81/-(C83+C87)</f>
        <v>1.5162129058798206</v>
      </c>
    </row>
    <row r="102" spans="1:6" x14ac:dyDescent="0.3">
      <c r="A102" s="1" t="s">
        <v>57</v>
      </c>
      <c r="C102" s="9">
        <f>C46/C12</f>
        <v>7.4905220000000008E-2</v>
      </c>
    </row>
    <row r="103" spans="1:6" x14ac:dyDescent="0.3">
      <c r="A103" s="1" t="s">
        <v>58</v>
      </c>
      <c r="C103" s="10">
        <f>C89/C58</f>
        <v>9.1816438276113965E-2</v>
      </c>
    </row>
    <row r="104" spans="1:6" x14ac:dyDescent="0.3">
      <c r="A104" s="1" t="s">
        <v>59</v>
      </c>
      <c r="C104" s="10">
        <f>C91/C58</f>
        <v>5.9611120224667219E-2</v>
      </c>
    </row>
    <row r="105" spans="1:6" x14ac:dyDescent="0.3">
      <c r="A105" s="1" t="s">
        <v>75</v>
      </c>
      <c r="C105" s="29">
        <f>C12/C15</f>
        <v>6.0827250608272507</v>
      </c>
    </row>
    <row r="107" spans="1:6" x14ac:dyDescent="0.3">
      <c r="A107" s="42" t="s">
        <v>65</v>
      </c>
      <c r="B107" s="42"/>
      <c r="C107" s="42"/>
      <c r="D107" s="42"/>
      <c r="E107" s="42"/>
      <c r="F107" s="42"/>
    </row>
    <row r="109" spans="1:6" x14ac:dyDescent="0.3">
      <c r="A109" s="1" t="s">
        <v>66</v>
      </c>
      <c r="C109" s="23">
        <f>-C18/C15</f>
        <v>0</v>
      </c>
    </row>
    <row r="110" spans="1:6" x14ac:dyDescent="0.3">
      <c r="A110" s="1" t="s">
        <v>68</v>
      </c>
      <c r="C110" s="23">
        <f>-C19/C15</f>
        <v>0.1</v>
      </c>
    </row>
    <row r="111" spans="1:6" x14ac:dyDescent="0.3">
      <c r="A111" s="1" t="s">
        <v>67</v>
      </c>
      <c r="C111" s="23">
        <f>-C20/C15</f>
        <v>0</v>
      </c>
    </row>
    <row r="112" spans="1:6" x14ac:dyDescent="0.3">
      <c r="A112" s="1" t="s">
        <v>64</v>
      </c>
      <c r="C112" s="23">
        <f>-C21/C15</f>
        <v>0</v>
      </c>
    </row>
    <row r="113" spans="1:6" x14ac:dyDescent="0.3">
      <c r="A113" s="2" t="s">
        <v>69</v>
      </c>
      <c r="C113" s="9">
        <f>SUM(C109:C112)</f>
        <v>0.1</v>
      </c>
    </row>
    <row r="115" spans="1:6" x14ac:dyDescent="0.3">
      <c r="A115" s="38" t="s">
        <v>76</v>
      </c>
      <c r="B115" s="38"/>
      <c r="C115" s="38"/>
      <c r="D115" s="38"/>
      <c r="E115" s="38"/>
      <c r="F115" s="38"/>
    </row>
    <row r="117" spans="1:6" x14ac:dyDescent="0.3">
      <c r="A117" s="2" t="s">
        <v>79</v>
      </c>
      <c r="C117" s="31">
        <v>7.0000000000000007E-2</v>
      </c>
    </row>
    <row r="119" spans="1:6" x14ac:dyDescent="0.3">
      <c r="A119" s="2" t="s">
        <v>77</v>
      </c>
      <c r="C119" s="19">
        <f>C46/C117</f>
        <v>856059.65714285721</v>
      </c>
    </row>
    <row r="120" spans="1:6" x14ac:dyDescent="0.3">
      <c r="A120" s="2" t="s">
        <v>78</v>
      </c>
      <c r="C120" s="30">
        <f>C119/C12</f>
        <v>1.0700745714285715</v>
      </c>
    </row>
  </sheetData>
  <customSheetViews>
    <customSheetView guid="{39BA1D49-2C39-C54B-96D4-FD1761CCB36C}" scale="120" topLeftCell="A99">
      <selection sqref="A1:F114"/>
      <pageMargins left="0.7" right="0.7" top="0.75" bottom="0.75" header="0.3" footer="0.3"/>
      <pageSetup orientation="portrait" horizontalDpi="0" verticalDpi="0"/>
    </customSheetView>
  </customSheetViews>
  <mergeCells count="12">
    <mergeCell ref="A1:F1"/>
    <mergeCell ref="A2:F2"/>
    <mergeCell ref="A3:F3"/>
    <mergeCell ref="A115:F115"/>
    <mergeCell ref="A60:F60"/>
    <mergeCell ref="A71:F71"/>
    <mergeCell ref="A93:F93"/>
    <mergeCell ref="A107:F107"/>
    <mergeCell ref="A5:C5"/>
    <mergeCell ref="A6:C6"/>
    <mergeCell ref="A7:C7"/>
    <mergeCell ref="A50:F50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2020-04-19T16:20:27Z</dcterms:created>
  <dcterms:modified xsi:type="dcterms:W3CDTF">2023-11-08T03:33:59Z</dcterms:modified>
</cp:coreProperties>
</file>