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trlProps/ctrlProp47.xml" ContentType="application/vnd.ms-excel.controlproperties+xml"/>
  <Override PartName="/xl/ctrlProps/ctrlProp48.xml" ContentType="application/vnd.ms-excel.controlproperties+xml"/>
  <Override PartName="/xl/comments3.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codeName="ThisWorkbook"/>
  <mc:AlternateContent xmlns:mc="http://schemas.openxmlformats.org/markup-compatibility/2006">
    <mc:Choice Requires="x15">
      <x15ac:absPath xmlns:x15ac="http://schemas.microsoft.com/office/spreadsheetml/2010/11/ac" url="G:\My Drive\MFA\UW Files\Published MFA Files\"/>
    </mc:Choice>
  </mc:AlternateContent>
  <xr:revisionPtr revIDLastSave="0" documentId="13_ncr:1_{6A073DE2-8AA4-4F66-8F3B-09770F11785E}" xr6:coauthVersionLast="47" xr6:coauthVersionMax="47" xr10:uidLastSave="{00000000-0000-0000-0000-000000000000}"/>
  <bookViews>
    <workbookView xWindow="-90" yWindow="0" windowWidth="19380" windowHeight="15370" tabRatio="740" xr2:uid="{804C008B-80AE-4FCC-9852-C5C256CE5B24}"/>
  </bookViews>
  <sheets>
    <sheet name="Disclaimer" sheetId="6" r:id="rId1"/>
    <sheet name="UW Process" sheetId="13" r:id="rId2"/>
    <sheet name="UW Model" sheetId="1" r:id="rId3"/>
    <sheet name="IRR Sensitivity" sheetId="5" state="hidden" r:id="rId4"/>
    <sheet name="Administrative --&gt;" sheetId="12" r:id="rId5"/>
    <sheet name="GPR Logic" sheetId="11" r:id="rId6"/>
    <sheet name="Version" sheetId="8" r:id="rId7"/>
    <sheet name="Loans" sheetId="4" state="hidden" r:id="rId8"/>
  </sheets>
  <definedNames>
    <definedName name="_Order1" hidden="1">0</definedName>
    <definedName name="IntroPrintArea" localSheetId="1" hidden="1">#REF!</definedName>
    <definedName name="IntroPrintArea" hidden="1">#REF!</definedName>
    <definedName name="Nav_DealAssumptions">'UW Model'!$C$5</definedName>
    <definedName name="Nav_Expenses">'UW Model'!$C$76</definedName>
    <definedName name="Nav_GrowthRates">'UW Model'!$C$102</definedName>
    <definedName name="Nav_Income">'UW Model'!$C$46</definedName>
    <definedName name="Nav_QuikUw">'UW Model'!$T$6</definedName>
    <definedName name="Nav_Summary">#REF!</definedName>
    <definedName name="Nav_UnitMix">'UW Model'!$C$26</definedName>
    <definedName name="RentGraphInPlaceRent">INDIRECT(#REF!)</definedName>
    <definedName name="RentGraphLabels">INDIRECT(#REF!)</definedName>
    <definedName name="RentGraphMarket">INDIRECT(#REF!)</definedName>
    <definedName name="RentGraphMarketRentAdd">INDIRECT(#REF!)</definedName>
    <definedName name="RentGraphReno">INDIRECT(#REF!)</definedName>
    <definedName name="RentGraphRenoUnits">INDIRECT(#REF!)</definedName>
    <definedName name="RentGraphTotal">INDIRECT(#REF!)</definedName>
    <definedName name="RentGraphTotalUnits">INDIRECT(#REF!)</definedName>
    <definedName name="ROIAbove">INDIRECT(#REF!)</definedName>
    <definedName name="ROIBelow">INDIRECT(#REF!)</definedName>
    <definedName name="ROIGoal">INDIRECT(#REF!)</definedName>
    <definedName name="T12_Flow">#REF!</definedName>
    <definedName name="T12Data">#REF!</definedName>
    <definedName name="UnitMixLabels">INDIRECT(#REF!)</definedName>
    <definedName name="UnitMixValues">INDIRECT(#REF!)</definedName>
    <definedName name="UW_Baths">'UW Model'!$F$28:$F$42</definedName>
    <definedName name="UW_Beds">'UW Model'!$E$28:$E$42</definedName>
    <definedName name="UW_InPlaceRent">'UW Model'!$I$28:$I$42</definedName>
    <definedName name="UW_MarketRent">'UW Model'!$L$28:$L$42</definedName>
    <definedName name="UW_SF">'UW Model'!$G$28:$G$42</definedName>
    <definedName name="UW_UnitNames">'UW Model'!$C$28:$C$42</definedName>
    <definedName name="UW_Units">'UW Model'!$H$28:$H$42</definedName>
  </definedNames>
  <calcPr calcId="191029" calcMode="autoNoTabl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 r="A38" i="1" l="1"/>
  <c r="C38" i="1"/>
  <c r="J38" i="1"/>
  <c r="K38" i="1"/>
  <c r="M38" i="1"/>
  <c r="N38" i="1"/>
  <c r="V38" i="1" s="1"/>
  <c r="Q38" i="1"/>
  <c r="S38" i="1"/>
  <c r="T38" i="1"/>
  <c r="U38" i="1" s="1"/>
  <c r="A39" i="1"/>
  <c r="C39" i="1"/>
  <c r="J39" i="1"/>
  <c r="K39" i="1"/>
  <c r="M39" i="1"/>
  <c r="N39" i="1"/>
  <c r="V39" i="1" s="1"/>
  <c r="Q39" i="1"/>
  <c r="S39" i="1"/>
  <c r="T39" i="1"/>
  <c r="U39" i="1" s="1"/>
  <c r="A40" i="1"/>
  <c r="C40" i="1"/>
  <c r="J40" i="1"/>
  <c r="K40" i="1"/>
  <c r="M40" i="1"/>
  <c r="N40" i="1"/>
  <c r="V40" i="1" s="1"/>
  <c r="Q40" i="1"/>
  <c r="S40" i="1"/>
  <c r="T40" i="1"/>
  <c r="U40" i="1" s="1"/>
  <c r="A41" i="1"/>
  <c r="C41" i="1"/>
  <c r="J41" i="1"/>
  <c r="K41" i="1"/>
  <c r="M41" i="1"/>
  <c r="N41" i="1"/>
  <c r="V41" i="1" s="1"/>
  <c r="Q41" i="1"/>
  <c r="S41" i="1"/>
  <c r="T41" i="1"/>
  <c r="U41" i="1" s="1"/>
  <c r="A42" i="1"/>
  <c r="C42" i="1"/>
  <c r="J42" i="1"/>
  <c r="K42" i="1"/>
  <c r="M42" i="1"/>
  <c r="N42" i="1"/>
  <c r="V42" i="1" s="1"/>
  <c r="Q42" i="1"/>
  <c r="S42" i="1"/>
  <c r="T42" i="1"/>
  <c r="U42" i="1"/>
  <c r="N1" i="6"/>
  <c r="X156" i="11"/>
  <c r="AI156" i="11"/>
  <c r="AH156" i="11"/>
  <c r="AG156" i="11"/>
  <c r="AF156" i="11"/>
  <c r="AE156" i="11"/>
  <c r="AD156" i="11"/>
  <c r="AC156" i="11"/>
  <c r="AB156" i="11"/>
  <c r="AA156" i="11"/>
  <c r="Z156" i="11"/>
  <c r="Y156" i="11"/>
  <c r="AP25" i="13"/>
  <c r="AI33" i="13"/>
  <c r="AI34" i="13"/>
  <c r="AI35" i="13"/>
  <c r="AI37" i="13"/>
  <c r="AI36" i="13"/>
  <c r="AI32" i="13"/>
  <c r="AI21" i="13" l="1"/>
  <c r="AI20" i="13"/>
  <c r="AI15" i="13"/>
  <c r="AI30" i="13"/>
  <c r="AI10" i="13"/>
  <c r="AI8" i="13"/>
  <c r="AI7" i="13"/>
  <c r="AI6" i="13"/>
  <c r="AI4" i="13"/>
  <c r="AJ4" i="13" l="1"/>
  <c r="AJ34" i="13"/>
  <c r="AJ32" i="13"/>
  <c r="AJ30" i="13"/>
  <c r="F30" i="13" s="1"/>
  <c r="AJ21" i="13"/>
  <c r="F21" i="13" s="1"/>
  <c r="AJ20" i="13"/>
  <c r="AI16" i="13"/>
  <c r="AJ16" i="13" s="1"/>
  <c r="AJ15" i="13"/>
  <c r="AI14" i="13"/>
  <c r="AJ14" i="13" s="1"/>
  <c r="AI13" i="13"/>
  <c r="AJ13" i="13" s="1"/>
  <c r="AI12" i="13"/>
  <c r="AJ12" i="13" s="1"/>
  <c r="F12" i="13" s="1"/>
  <c r="AI11" i="13"/>
  <c r="AJ11" i="13" s="1"/>
  <c r="F11" i="13" s="1"/>
  <c r="AJ10" i="13"/>
  <c r="AJ8" i="13"/>
  <c r="AJ7" i="13"/>
  <c r="F7" i="13" s="1"/>
  <c r="AJ6" i="13"/>
  <c r="A30" i="13" l="1"/>
  <c r="A34" i="13"/>
  <c r="F34" i="13"/>
  <c r="F14" i="13"/>
  <c r="A14" i="13"/>
  <c r="F16" i="13"/>
  <c r="A16" i="13"/>
  <c r="F15" i="13"/>
  <c r="A15" i="13"/>
  <c r="F20" i="13"/>
  <c r="A20" i="13"/>
  <c r="F6" i="13"/>
  <c r="A6" i="13"/>
  <c r="A4" i="13"/>
  <c r="F4" i="13"/>
  <c r="F32" i="13"/>
  <c r="A32" i="13"/>
  <c r="F10" i="13"/>
  <c r="A10" i="13"/>
  <c r="F8" i="13"/>
  <c r="A8" i="13"/>
  <c r="F13" i="13"/>
  <c r="A13" i="13"/>
  <c r="A12" i="13"/>
  <c r="A7" i="13"/>
  <c r="A21" i="13"/>
  <c r="A11" i="13"/>
  <c r="X20" i="11" l="1"/>
  <c r="Y20" i="11" s="1"/>
  <c r="Y100" i="11" s="1"/>
  <c r="X19" i="11"/>
  <c r="Y19" i="11" s="1"/>
  <c r="Y99" i="11" s="1"/>
  <c r="X18" i="11"/>
  <c r="Y18" i="11" s="1"/>
  <c r="Z18" i="11" s="1"/>
  <c r="X17" i="11"/>
  <c r="X97" i="11" s="1"/>
  <c r="X16" i="11"/>
  <c r="X96" i="11" s="1"/>
  <c r="X15" i="11"/>
  <c r="Y15" i="11" s="1"/>
  <c r="Y95" i="11" s="1"/>
  <c r="X14" i="11"/>
  <c r="Y14" i="11" s="1"/>
  <c r="Y94" i="11" s="1"/>
  <c r="X13" i="11"/>
  <c r="X93" i="11" s="1"/>
  <c r="X12" i="11"/>
  <c r="X92" i="11" s="1"/>
  <c r="X11" i="11"/>
  <c r="X91" i="11" s="1"/>
  <c r="X10" i="11"/>
  <c r="Y10" i="11" s="1"/>
  <c r="Y90" i="11" s="1"/>
  <c r="X9" i="11"/>
  <c r="X89" i="11" s="1"/>
  <c r="X8" i="11"/>
  <c r="X88" i="11" s="1"/>
  <c r="X7" i="11"/>
  <c r="Y7" i="11" s="1"/>
  <c r="Y87" i="11" s="1"/>
  <c r="X6" i="11"/>
  <c r="X86" i="11" s="1"/>
  <c r="W101" i="11"/>
  <c r="C28" i="1"/>
  <c r="Q6" i="11" s="1"/>
  <c r="Q86" i="11" s="1"/>
  <c r="Q20" i="11"/>
  <c r="Q100" i="11" s="1"/>
  <c r="Q19" i="11"/>
  <c r="Q18" i="11"/>
  <c r="Q66" i="11" s="1"/>
  <c r="Q17" i="11"/>
  <c r="Q129" i="11" s="1"/>
  <c r="Q16" i="11"/>
  <c r="Q96" i="11" s="1"/>
  <c r="C37" i="1"/>
  <c r="Q15" i="11" s="1"/>
  <c r="Q31" i="11" s="1"/>
  <c r="C36" i="1"/>
  <c r="Q14" i="11" s="1"/>
  <c r="Q62" i="11" s="1"/>
  <c r="C35" i="1"/>
  <c r="Q13" i="11" s="1"/>
  <c r="Q45" i="11" s="1"/>
  <c r="C34" i="1"/>
  <c r="Q12" i="11" s="1"/>
  <c r="Q28" i="11" s="1"/>
  <c r="C33" i="1"/>
  <c r="Q11" i="11" s="1"/>
  <c r="Q123" i="11" s="1"/>
  <c r="C32" i="1"/>
  <c r="Q10" i="11" s="1"/>
  <c r="Q106" i="11" s="1"/>
  <c r="C31" i="1"/>
  <c r="Q9" i="11" s="1"/>
  <c r="Q57" i="11" s="1"/>
  <c r="C30" i="1"/>
  <c r="Q8" i="11" s="1"/>
  <c r="Q72" i="11" s="1"/>
  <c r="C29" i="1"/>
  <c r="Q7" i="11" s="1"/>
  <c r="H43" i="1"/>
  <c r="BT153" i="11" s="1"/>
  <c r="O43" i="1"/>
  <c r="W4" i="11"/>
  <c r="X4" i="11" s="1"/>
  <c r="Y4" i="11" s="1"/>
  <c r="Z4" i="11" s="1"/>
  <c r="AA4" i="11" s="1"/>
  <c r="AB4" i="11" s="1"/>
  <c r="AC4" i="11" s="1"/>
  <c r="AD4" i="11" s="1"/>
  <c r="AE4" i="11" s="1"/>
  <c r="AF4" i="11" s="1"/>
  <c r="AG4" i="11" s="1"/>
  <c r="AH4" i="11" s="1"/>
  <c r="AI4" i="11" s="1"/>
  <c r="AJ4" i="11" s="1"/>
  <c r="H23" i="1"/>
  <c r="G23" i="1"/>
  <c r="B20" i="1" s="1"/>
  <c r="D3" i="5" s="1"/>
  <c r="K37" i="1"/>
  <c r="J37" i="1"/>
  <c r="K36" i="1"/>
  <c r="J36" i="1"/>
  <c r="K35" i="1"/>
  <c r="J35" i="1"/>
  <c r="K34" i="1"/>
  <c r="J34" i="1"/>
  <c r="K33" i="1"/>
  <c r="J33" i="1"/>
  <c r="K32" i="1"/>
  <c r="J32" i="1"/>
  <c r="K31" i="1"/>
  <c r="J31" i="1"/>
  <c r="K30" i="1"/>
  <c r="J30" i="1"/>
  <c r="K29" i="1"/>
  <c r="J29" i="1"/>
  <c r="K28" i="1"/>
  <c r="J28" i="1"/>
  <c r="W146" i="11"/>
  <c r="AE146" i="11" s="1"/>
  <c r="W132" i="11"/>
  <c r="AD132" i="11" s="1"/>
  <c r="W131" i="11"/>
  <c r="AE131" i="11" s="1"/>
  <c r="W130" i="11"/>
  <c r="AF130" i="11" s="1"/>
  <c r="W129" i="11"/>
  <c r="AG129" i="11" s="1"/>
  <c r="W128" i="11"/>
  <c r="AH128" i="11" s="1"/>
  <c r="W127" i="11"/>
  <c r="AI127" i="11" s="1"/>
  <c r="W126" i="11"/>
  <c r="AB126" i="11" s="1"/>
  <c r="W125" i="11"/>
  <c r="AC125" i="11" s="1"/>
  <c r="W124" i="11"/>
  <c r="AD124" i="11" s="1"/>
  <c r="W123" i="11"/>
  <c r="AE123" i="11" s="1"/>
  <c r="W122" i="11"/>
  <c r="AF122" i="11" s="1"/>
  <c r="W121" i="11"/>
  <c r="AG121" i="11" s="1"/>
  <c r="W120" i="11"/>
  <c r="AH120" i="11" s="1"/>
  <c r="W119" i="11"/>
  <c r="AI119" i="11" s="1"/>
  <c r="W118" i="11"/>
  <c r="X118" i="11" s="1"/>
  <c r="W142" i="11"/>
  <c r="W144" i="11" s="1"/>
  <c r="W1" i="11"/>
  <c r="W68" i="11" s="1"/>
  <c r="W5" i="11"/>
  <c r="U141" i="11"/>
  <c r="T141" i="11"/>
  <c r="S141" i="11"/>
  <c r="R141" i="11"/>
  <c r="V141" i="11"/>
  <c r="BU2" i="11"/>
  <c r="BG1" i="11"/>
  <c r="BF1" i="11"/>
  <c r="BE1" i="11"/>
  <c r="BD1" i="11"/>
  <c r="BC1" i="11"/>
  <c r="BB1" i="11"/>
  <c r="BA1" i="11"/>
  <c r="AZ1" i="11"/>
  <c r="AY1" i="11"/>
  <c r="AX1" i="11"/>
  <c r="AW1" i="11"/>
  <c r="AV1" i="11"/>
  <c r="AU1" i="11"/>
  <c r="AT1" i="11"/>
  <c r="AS1" i="11"/>
  <c r="AR1" i="11"/>
  <c r="AQ1" i="11"/>
  <c r="AP1" i="11"/>
  <c r="AO1" i="11"/>
  <c r="AN1" i="11"/>
  <c r="AM1" i="11"/>
  <c r="AL1" i="11"/>
  <c r="AK1" i="11"/>
  <c r="AJ1" i="11"/>
  <c r="AI1" i="11"/>
  <c r="AH1" i="11"/>
  <c r="AG1" i="11"/>
  <c r="AF1" i="11"/>
  <c r="AE1" i="11"/>
  <c r="AD1" i="11"/>
  <c r="AC1" i="11"/>
  <c r="AB1" i="11"/>
  <c r="AA1" i="11"/>
  <c r="Z1" i="11"/>
  <c r="Y1" i="11"/>
  <c r="X1" i="11"/>
  <c r="X142" i="11"/>
  <c r="Y142" i="11" s="1"/>
  <c r="Y144" i="11" s="1"/>
  <c r="BH141" i="11"/>
  <c r="BI141" i="11"/>
  <c r="BH3" i="11"/>
  <c r="A28" i="1"/>
  <c r="A29" i="1"/>
  <c r="A30" i="1"/>
  <c r="A31" i="1"/>
  <c r="A32" i="1"/>
  <c r="X100" i="11"/>
  <c r="X99" i="11"/>
  <c r="BH1" i="11"/>
  <c r="BV2" i="11"/>
  <c r="BW2" i="11" s="1"/>
  <c r="Y12" i="11"/>
  <c r="Y92" i="11" s="1"/>
  <c r="BI3" i="11"/>
  <c r="BJ141" i="11"/>
  <c r="BJ3" i="11"/>
  <c r="BI1" i="11"/>
  <c r="BK141" i="11"/>
  <c r="BJ1" i="11"/>
  <c r="BK3" i="11"/>
  <c r="BL141" i="11"/>
  <c r="BK1" i="11"/>
  <c r="BL3" i="11"/>
  <c r="BM141" i="11"/>
  <c r="M181" i="1"/>
  <c r="B78" i="1"/>
  <c r="B63" i="1"/>
  <c r="B47" i="1"/>
  <c r="BL1" i="11"/>
  <c r="BM3" i="11"/>
  <c r="BN141" i="11"/>
  <c r="BM1" i="11"/>
  <c r="BN3" i="11"/>
  <c r="BO141" i="11"/>
  <c r="BN1" i="11"/>
  <c r="BO3" i="11"/>
  <c r="BP141" i="11"/>
  <c r="BO1" i="11"/>
  <c r="BP3" i="11"/>
  <c r="BQ141" i="11"/>
  <c r="K7" i="1"/>
  <c r="G157" i="1"/>
  <c r="S28" i="1"/>
  <c r="BP1" i="11"/>
  <c r="BQ3" i="11"/>
  <c r="BR141" i="11"/>
  <c r="BQ1" i="11"/>
  <c r="BR3" i="11"/>
  <c r="BS141" i="11"/>
  <c r="BT141" i="11"/>
  <c r="BU141" i="11"/>
  <c r="BV141" i="11"/>
  <c r="BW141" i="11"/>
  <c r="BX141" i="11"/>
  <c r="BY141" i="11"/>
  <c r="BZ141" i="11"/>
  <c r="CA141" i="11"/>
  <c r="CB141" i="11"/>
  <c r="CC141" i="11"/>
  <c r="CD141" i="11"/>
  <c r="CE141" i="11"/>
  <c r="BR1" i="11"/>
  <c r="BS3" i="11"/>
  <c r="BS1" i="11"/>
  <c r="BT3" i="11"/>
  <c r="BU3" i="11"/>
  <c r="BT1" i="11"/>
  <c r="BV3" i="11"/>
  <c r="BU1" i="11"/>
  <c r="BW3" i="11"/>
  <c r="BV1" i="11"/>
  <c r="M130" i="1"/>
  <c r="BW1" i="11"/>
  <c r="BX3" i="11"/>
  <c r="J8" i="1"/>
  <c r="BY3" i="11"/>
  <c r="BX1" i="11"/>
  <c r="BY1" i="11"/>
  <c r="BZ3" i="11"/>
  <c r="D5" i="5"/>
  <c r="BZ1" i="11"/>
  <c r="CA3" i="11"/>
  <c r="N86" i="1"/>
  <c r="O86" i="1" s="1"/>
  <c r="P86" i="1" s="1"/>
  <c r="Q86" i="1" s="1"/>
  <c r="CB3" i="11"/>
  <c r="CA1" i="11"/>
  <c r="R107" i="1"/>
  <c r="S107" i="1" s="1"/>
  <c r="T107" i="1" s="1"/>
  <c r="U107" i="1" s="1"/>
  <c r="V107" i="1" s="1"/>
  <c r="R108" i="1"/>
  <c r="S108" i="1" s="1"/>
  <c r="T108" i="1" s="1"/>
  <c r="U108" i="1" s="1"/>
  <c r="V108" i="1" s="1"/>
  <c r="F16" i="1"/>
  <c r="CC3" i="11"/>
  <c r="CB1" i="11"/>
  <c r="CD3" i="11"/>
  <c r="CC1" i="11"/>
  <c r="CE3" i="11"/>
  <c r="CD1" i="11"/>
  <c r="CE1" i="11"/>
  <c r="Z143" i="11"/>
  <c r="N65" i="1"/>
  <c r="O65" i="1" s="1"/>
  <c r="P65" i="1" s="1"/>
  <c r="N64" i="1"/>
  <c r="O64" i="1" s="1"/>
  <c r="P64" i="1" s="1"/>
  <c r="Q64" i="1" s="1"/>
  <c r="M66" i="1"/>
  <c r="R104" i="1"/>
  <c r="S104" i="1" s="1"/>
  <c r="T104" i="1" s="1"/>
  <c r="U104" i="1" s="1"/>
  <c r="V104" i="1" s="1"/>
  <c r="U2" i="4"/>
  <c r="U6" i="4"/>
  <c r="U5" i="4"/>
  <c r="U4" i="4"/>
  <c r="Y3" i="4"/>
  <c r="Z3" i="4"/>
  <c r="G2" i="4"/>
  <c r="D6" i="4"/>
  <c r="D5" i="4"/>
  <c r="D4" i="4"/>
  <c r="H3" i="4"/>
  <c r="I3" i="4"/>
  <c r="J3" i="4"/>
  <c r="K3" i="4"/>
  <c r="L3" i="4"/>
  <c r="M3" i="4"/>
  <c r="N3" i="4"/>
  <c r="O3" i="4"/>
  <c r="P3" i="4"/>
  <c r="P2" i="4"/>
  <c r="O2" i="4"/>
  <c r="K2" i="4"/>
  <c r="N2" i="4"/>
  <c r="H2" i="4"/>
  <c r="J2" i="4"/>
  <c r="I2" i="4"/>
  <c r="L2" i="4"/>
  <c r="M2" i="4"/>
  <c r="AA3" i="4"/>
  <c r="Z2" i="4"/>
  <c r="AB3" i="4"/>
  <c r="AA2" i="4"/>
  <c r="AB2" i="4"/>
  <c r="AC3" i="4"/>
  <c r="AC2" i="4"/>
  <c r="AD3" i="4"/>
  <c r="AE3" i="4"/>
  <c r="AD2" i="4"/>
  <c r="AF3" i="4"/>
  <c r="AE2" i="4"/>
  <c r="AG3" i="4"/>
  <c r="AG2" i="4"/>
  <c r="AF2" i="4"/>
  <c r="W69" i="11"/>
  <c r="W134" i="11"/>
  <c r="M157" i="1"/>
  <c r="S37" i="1"/>
  <c r="S36" i="1"/>
  <c r="S35" i="1"/>
  <c r="S34" i="1"/>
  <c r="S33" i="1"/>
  <c r="S32" i="1"/>
  <c r="S31" i="1"/>
  <c r="S30" i="1"/>
  <c r="S29" i="1"/>
  <c r="Q82" i="11"/>
  <c r="Q35" i="11"/>
  <c r="Q60" i="11"/>
  <c r="W21" i="11"/>
  <c r="W37" i="11"/>
  <c r="W133" i="11"/>
  <c r="W135" i="11"/>
  <c r="J95" i="1"/>
  <c r="M218" i="1"/>
  <c r="H218" i="1"/>
  <c r="H217" i="1"/>
  <c r="H216" i="1"/>
  <c r="H215" i="1"/>
  <c r="H214" i="1"/>
  <c r="H213" i="1"/>
  <c r="H212" i="1"/>
  <c r="N210" i="1"/>
  <c r="O210" i="1" s="1"/>
  <c r="P210" i="1" s="1"/>
  <c r="Q210" i="1" s="1"/>
  <c r="Q217" i="1" s="1"/>
  <c r="H191" i="1"/>
  <c r="H170" i="1"/>
  <c r="N189" i="1"/>
  <c r="O189" i="1" s="1"/>
  <c r="P189" i="1" s="1"/>
  <c r="Q189" i="1" s="1"/>
  <c r="R189" i="1" s="1"/>
  <c r="G158" i="1"/>
  <c r="J123" i="1"/>
  <c r="J118" i="1"/>
  <c r="N168" i="1"/>
  <c r="N148" i="1"/>
  <c r="N154" i="1" s="1"/>
  <c r="N123" i="1"/>
  <c r="N131" i="1" s="1"/>
  <c r="N118" i="1"/>
  <c r="O118" i="1" s="1"/>
  <c r="P118" i="1" s="1"/>
  <c r="Q118" i="1" s="1"/>
  <c r="R118" i="1" s="1"/>
  <c r="S118" i="1" s="1"/>
  <c r="T118" i="1" s="1"/>
  <c r="U118" i="1" s="1"/>
  <c r="V118" i="1" s="1"/>
  <c r="R115" i="1"/>
  <c r="S115" i="1" s="1"/>
  <c r="T115" i="1" s="1"/>
  <c r="U115" i="1" s="1"/>
  <c r="V115" i="1" s="1"/>
  <c r="R113" i="1"/>
  <c r="S113" i="1" s="1"/>
  <c r="T113" i="1" s="1"/>
  <c r="U113" i="1" s="1"/>
  <c r="V113" i="1" s="1"/>
  <c r="R110" i="1"/>
  <c r="S110" i="1" s="1"/>
  <c r="T110" i="1" s="1"/>
  <c r="U110" i="1" s="1"/>
  <c r="V110" i="1" s="1"/>
  <c r="R109" i="1"/>
  <c r="S109" i="1" s="1"/>
  <c r="T109" i="1" s="1"/>
  <c r="U109" i="1" s="1"/>
  <c r="V109" i="1" s="1"/>
  <c r="R112" i="1"/>
  <c r="S112" i="1" s="1"/>
  <c r="T112" i="1" s="1"/>
  <c r="U112" i="1" s="1"/>
  <c r="V112" i="1" s="1"/>
  <c r="R114" i="1"/>
  <c r="S114" i="1" s="1"/>
  <c r="T114" i="1" s="1"/>
  <c r="U114" i="1" s="1"/>
  <c r="V114" i="1" s="1"/>
  <c r="N77" i="1"/>
  <c r="O77" i="1" s="1"/>
  <c r="P77" i="1" s="1"/>
  <c r="Q77" i="1" s="1"/>
  <c r="R77" i="1" s="1"/>
  <c r="S77" i="1" s="1"/>
  <c r="T77" i="1" s="1"/>
  <c r="U77" i="1" s="1"/>
  <c r="V77" i="1" s="1"/>
  <c r="N47" i="1"/>
  <c r="O47" i="1" s="1"/>
  <c r="P47" i="1" s="1"/>
  <c r="Q47" i="1" s="1"/>
  <c r="R47" i="1" s="1"/>
  <c r="S47" i="1" s="1"/>
  <c r="T47" i="1" s="1"/>
  <c r="U47" i="1" s="1"/>
  <c r="V47" i="1" s="1"/>
  <c r="J103" i="1"/>
  <c r="M158" i="1"/>
  <c r="M217" i="1"/>
  <c r="M110" i="1"/>
  <c r="M109" i="1"/>
  <c r="M108" i="1"/>
  <c r="M107" i="1"/>
  <c r="E3" i="1"/>
  <c r="S22" i="1"/>
  <c r="J215" i="1" s="1"/>
  <c r="J219" i="1" s="1"/>
  <c r="S18" i="1"/>
  <c r="Q37" i="1"/>
  <c r="Q36" i="1"/>
  <c r="Q35" i="1"/>
  <c r="Q34" i="1"/>
  <c r="Q33" i="1"/>
  <c r="Q32" i="1"/>
  <c r="Q31" i="1"/>
  <c r="Q30" i="1"/>
  <c r="Q29" i="1"/>
  <c r="Q28" i="1"/>
  <c r="N103" i="1"/>
  <c r="N37" i="1"/>
  <c r="V37" i="1" s="1"/>
  <c r="T37" i="1"/>
  <c r="U37" i="1" s="1"/>
  <c r="N36" i="1"/>
  <c r="V36" i="1" s="1"/>
  <c r="T36" i="1"/>
  <c r="U36" i="1" s="1"/>
  <c r="N35" i="1"/>
  <c r="V35" i="1" s="1"/>
  <c r="T35" i="1"/>
  <c r="U35" i="1" s="1"/>
  <c r="N34" i="1"/>
  <c r="V34" i="1" s="1"/>
  <c r="T34" i="1"/>
  <c r="U34" i="1" s="1"/>
  <c r="N33" i="1"/>
  <c r="V33" i="1" s="1"/>
  <c r="N32" i="1"/>
  <c r="V32" i="1" s="1"/>
  <c r="N31" i="1"/>
  <c r="N30" i="1"/>
  <c r="V30" i="1" s="1"/>
  <c r="T30" i="1" s="1"/>
  <c r="U30" i="1" s="1"/>
  <c r="M37" i="1"/>
  <c r="A37" i="1"/>
  <c r="M36" i="1"/>
  <c r="A36" i="1"/>
  <c r="M35" i="1"/>
  <c r="A35" i="1"/>
  <c r="M34" i="1"/>
  <c r="A34" i="1"/>
  <c r="M33" i="1"/>
  <c r="A33" i="1"/>
  <c r="M32" i="1"/>
  <c r="M31" i="1"/>
  <c r="M30" i="1"/>
  <c r="N29" i="1"/>
  <c r="V29" i="1" s="1"/>
  <c r="T29" i="1" s="1"/>
  <c r="U29" i="1" s="1"/>
  <c r="M29" i="1"/>
  <c r="N28" i="1"/>
  <c r="V28" i="1" s="1"/>
  <c r="T28" i="1" s="1"/>
  <c r="U28" i="1" s="1"/>
  <c r="M28" i="1"/>
  <c r="T33" i="1"/>
  <c r="U33" i="1" s="1"/>
  <c r="T32" i="1"/>
  <c r="U32" i="1" s="1"/>
  <c r="N8" i="1"/>
  <c r="J16" i="1"/>
  <c r="M154" i="1"/>
  <c r="M155" i="1"/>
  <c r="M179" i="1"/>
  <c r="M156" i="1"/>
  <c r="Q107" i="11" l="1"/>
  <c r="Q26" i="11"/>
  <c r="Y11" i="11"/>
  <c r="Y91" i="11" s="1"/>
  <c r="Q56" i="11"/>
  <c r="Q91" i="11"/>
  <c r="Y9" i="11"/>
  <c r="Y89" i="11" s="1"/>
  <c r="Q63" i="11"/>
  <c r="Q64" i="11"/>
  <c r="Q81" i="11"/>
  <c r="Q32" i="11"/>
  <c r="Q121" i="11"/>
  <c r="Y8" i="11"/>
  <c r="Y88" i="11" s="1"/>
  <c r="N217" i="1"/>
  <c r="O123" i="1"/>
  <c r="P123" i="1" s="1"/>
  <c r="Q123" i="1" s="1"/>
  <c r="R123" i="1" s="1"/>
  <c r="K43" i="1"/>
  <c r="K44" i="1" s="1"/>
  <c r="Q118" i="11"/>
  <c r="Q93" i="11"/>
  <c r="L86" i="1"/>
  <c r="N156" i="1"/>
  <c r="O218" i="1"/>
  <c r="M85" i="1"/>
  <c r="AI29" i="13" s="1"/>
  <c r="AJ29" i="13" s="1"/>
  <c r="F29" i="13" s="1"/>
  <c r="Q43" i="1"/>
  <c r="O20" i="1" s="1"/>
  <c r="O22" i="1" s="1"/>
  <c r="N22" i="1" s="1"/>
  <c r="Q71" i="11"/>
  <c r="Q87" i="11"/>
  <c r="Q103" i="11"/>
  <c r="Q119" i="11"/>
  <c r="Q23" i="11"/>
  <c r="Q39" i="11"/>
  <c r="Q55" i="11"/>
  <c r="AB120" i="11"/>
  <c r="V31" i="1"/>
  <c r="T31" i="1" s="1"/>
  <c r="U31" i="1" s="1"/>
  <c r="N218" i="1"/>
  <c r="N43" i="1"/>
  <c r="P218" i="1"/>
  <c r="R210" i="1"/>
  <c r="AB128" i="11"/>
  <c r="S189" i="1"/>
  <c r="S123" i="1"/>
  <c r="O168" i="1"/>
  <c r="N181" i="1"/>
  <c r="N179" i="1"/>
  <c r="N158" i="1"/>
  <c r="Q77" i="11"/>
  <c r="Q127" i="11"/>
  <c r="Q47" i="11"/>
  <c r="Q79" i="11"/>
  <c r="Q95" i="11"/>
  <c r="N155" i="1"/>
  <c r="N157" i="1"/>
  <c r="Q88" i="11"/>
  <c r="Q104" i="11"/>
  <c r="Q40" i="11"/>
  <c r="Q120" i="11"/>
  <c r="Q24" i="11"/>
  <c r="Q80" i="11"/>
  <c r="Q48" i="11"/>
  <c r="Q112" i="11"/>
  <c r="Q128" i="11"/>
  <c r="BX2" i="11"/>
  <c r="Q73" i="11"/>
  <c r="Q89" i="11"/>
  <c r="Q105" i="11"/>
  <c r="Q25" i="11"/>
  <c r="Q41" i="11"/>
  <c r="Q65" i="11"/>
  <c r="Q33" i="11"/>
  <c r="Q49" i="11"/>
  <c r="Q113" i="11"/>
  <c r="Q58" i="11"/>
  <c r="Q74" i="11"/>
  <c r="Q90" i="11"/>
  <c r="Q122" i="11"/>
  <c r="Q42" i="11"/>
  <c r="Q114" i="11"/>
  <c r="Q130" i="11"/>
  <c r="Q34" i="11"/>
  <c r="Q50" i="11"/>
  <c r="Q98" i="11"/>
  <c r="K21" i="1"/>
  <c r="R86" i="1"/>
  <c r="S86" i="1" s="1"/>
  <c r="T86" i="1" s="1"/>
  <c r="U86" i="1" s="1"/>
  <c r="V86" i="1" s="1"/>
  <c r="K22" i="1"/>
  <c r="P217" i="1"/>
  <c r="Q97" i="11"/>
  <c r="Q27" i="11"/>
  <c r="Q43" i="11"/>
  <c r="Q59" i="11"/>
  <c r="Q75" i="11"/>
  <c r="Q99" i="11"/>
  <c r="Q51" i="11"/>
  <c r="Q67" i="11"/>
  <c r="Q115" i="11"/>
  <c r="Q131" i="11"/>
  <c r="K14" i="1"/>
  <c r="J18" i="1" s="1"/>
  <c r="AS156" i="11"/>
  <c r="AK156" i="11"/>
  <c r="AR156" i="11"/>
  <c r="AJ156" i="11"/>
  <c r="AQ156" i="11"/>
  <c r="AU156" i="11"/>
  <c r="AT156" i="11"/>
  <c r="AP156" i="11"/>
  <c r="AL156" i="11"/>
  <c r="AO156" i="11"/>
  <c r="AN156" i="11"/>
  <c r="AM156" i="11"/>
  <c r="O103" i="1"/>
  <c r="P103" i="1" s="1"/>
  <c r="Q103" i="1" s="1"/>
  <c r="R103" i="1" s="1"/>
  <c r="S103" i="1" s="1"/>
  <c r="T103" i="1" s="1"/>
  <c r="U103" i="1" s="1"/>
  <c r="V103" i="1" s="1"/>
  <c r="Q111" i="11"/>
  <c r="Q83" i="11"/>
  <c r="A43" i="1"/>
  <c r="AU119" i="11"/>
  <c r="AU127" i="11"/>
  <c r="Q76" i="11"/>
  <c r="Q92" i="11"/>
  <c r="Q124" i="11"/>
  <c r="Q108" i="11"/>
  <c r="Q44" i="11"/>
  <c r="Q116" i="11"/>
  <c r="Q52" i="11"/>
  <c r="Q68" i="11"/>
  <c r="Q84" i="11"/>
  <c r="Q132" i="11"/>
  <c r="Q36" i="11"/>
  <c r="J128" i="1"/>
  <c r="J140" i="1" s="1"/>
  <c r="Q109" i="11"/>
  <c r="Q29" i="11"/>
  <c r="Q61" i="11"/>
  <c r="Q125" i="11"/>
  <c r="Q38" i="11"/>
  <c r="Q54" i="11"/>
  <c r="Q70" i="11"/>
  <c r="Q102" i="11"/>
  <c r="Q22" i="11"/>
  <c r="O148" i="1"/>
  <c r="Q94" i="11"/>
  <c r="Q110" i="11"/>
  <c r="Q126" i="11"/>
  <c r="Q30" i="11"/>
  <c r="Q46" i="11"/>
  <c r="Q78" i="11"/>
  <c r="X130" i="11"/>
  <c r="X66" i="11" s="1"/>
  <c r="X122" i="11"/>
  <c r="Y128" i="11"/>
  <c r="Y120" i="11"/>
  <c r="Z127" i="11"/>
  <c r="Z119" i="11"/>
  <c r="AA126" i="11"/>
  <c r="AA118" i="11"/>
  <c r="AB125" i="11"/>
  <c r="AC132" i="11"/>
  <c r="AC124" i="11"/>
  <c r="AD131" i="11"/>
  <c r="AD123" i="11"/>
  <c r="AE130" i="11"/>
  <c r="AE122" i="11"/>
  <c r="AF129" i="11"/>
  <c r="AF121" i="11"/>
  <c r="AG128" i="11"/>
  <c r="AG120" i="11"/>
  <c r="AH127" i="11"/>
  <c r="AH119" i="11"/>
  <c r="AI126" i="11"/>
  <c r="AU126" i="11" s="1"/>
  <c r="AI118" i="11"/>
  <c r="AJ118" i="11" s="1"/>
  <c r="X129" i="11"/>
  <c r="X113" i="11" s="1"/>
  <c r="X121" i="11"/>
  <c r="X57" i="11" s="1"/>
  <c r="Y127" i="11"/>
  <c r="Y111" i="11" s="1"/>
  <c r="Y119" i="11"/>
  <c r="Z126" i="11"/>
  <c r="Z118" i="11"/>
  <c r="AA125" i="11"/>
  <c r="AB132" i="11"/>
  <c r="AB124" i="11"/>
  <c r="AC131" i="11"/>
  <c r="AC123" i="11"/>
  <c r="AD130" i="11"/>
  <c r="AD122" i="11"/>
  <c r="AE129" i="11"/>
  <c r="AE121" i="11"/>
  <c r="AF128" i="11"/>
  <c r="AF120" i="11"/>
  <c r="AG127" i="11"/>
  <c r="AG119" i="11"/>
  <c r="AH126" i="11"/>
  <c r="AH118" i="11"/>
  <c r="AI125" i="11"/>
  <c r="AU125" i="11" s="1"/>
  <c r="X128" i="11"/>
  <c r="X64" i="11" s="1"/>
  <c r="X120" i="11"/>
  <c r="X104" i="11" s="1"/>
  <c r="Y126" i="11"/>
  <c r="Y118" i="11"/>
  <c r="Z125" i="11"/>
  <c r="AA132" i="11"/>
  <c r="AA124" i="11"/>
  <c r="AB131" i="11"/>
  <c r="AB123" i="11"/>
  <c r="AC130" i="11"/>
  <c r="AC122" i="11"/>
  <c r="AD129" i="11"/>
  <c r="AD121" i="11"/>
  <c r="AE128" i="11"/>
  <c r="AE120" i="11"/>
  <c r="AF127" i="11"/>
  <c r="AF119" i="11"/>
  <c r="AG126" i="11"/>
  <c r="AG118" i="11"/>
  <c r="AH125" i="11"/>
  <c r="AI132" i="11"/>
  <c r="AU132" i="11" s="1"/>
  <c r="AI124" i="11"/>
  <c r="AP124" i="11" s="1"/>
  <c r="X127" i="11"/>
  <c r="X63" i="11" s="1"/>
  <c r="X119" i="11"/>
  <c r="X55" i="11" s="1"/>
  <c r="Y125" i="11"/>
  <c r="Z132" i="11"/>
  <c r="Z124" i="11"/>
  <c r="AA131" i="11"/>
  <c r="AA123" i="11"/>
  <c r="AB130" i="11"/>
  <c r="AB122" i="11"/>
  <c r="AC129" i="11"/>
  <c r="AC121" i="11"/>
  <c r="AD128" i="11"/>
  <c r="AD120" i="11"/>
  <c r="AE127" i="11"/>
  <c r="AE119" i="11"/>
  <c r="AF126" i="11"/>
  <c r="AF118" i="11"/>
  <c r="AG125" i="11"/>
  <c r="AH132" i="11"/>
  <c r="AH124" i="11"/>
  <c r="AI131" i="11"/>
  <c r="AU131" i="11" s="1"/>
  <c r="AI123" i="11"/>
  <c r="AU123" i="11" s="1"/>
  <c r="X126" i="11"/>
  <c r="X62" i="11" s="1"/>
  <c r="Y132" i="11"/>
  <c r="Y116" i="11" s="1"/>
  <c r="Y124" i="11"/>
  <c r="Y108" i="11" s="1"/>
  <c r="Z131" i="11"/>
  <c r="Z123" i="11"/>
  <c r="AA130" i="11"/>
  <c r="AA122" i="11"/>
  <c r="AB129" i="11"/>
  <c r="AB121" i="11"/>
  <c r="AC128" i="11"/>
  <c r="AC120" i="11"/>
  <c r="AD127" i="11"/>
  <c r="AD119" i="11"/>
  <c r="AE126" i="11"/>
  <c r="AE118" i="11"/>
  <c r="AF125" i="11"/>
  <c r="AG132" i="11"/>
  <c r="AG124" i="11"/>
  <c r="AH131" i="11"/>
  <c r="AH123" i="11"/>
  <c r="AI130" i="11"/>
  <c r="AU130" i="11" s="1"/>
  <c r="AI122" i="11"/>
  <c r="AU122" i="11" s="1"/>
  <c r="X125" i="11"/>
  <c r="X61" i="11" s="1"/>
  <c r="Y131" i="11"/>
  <c r="Y123" i="11"/>
  <c r="Z130" i="11"/>
  <c r="Z122" i="11"/>
  <c r="AA129" i="11"/>
  <c r="AA121" i="11"/>
  <c r="AC127" i="11"/>
  <c r="AC119" i="11"/>
  <c r="AD126" i="11"/>
  <c r="AD118" i="11"/>
  <c r="AE125" i="11"/>
  <c r="AF132" i="11"/>
  <c r="AF124" i="11"/>
  <c r="AG131" i="11"/>
  <c r="AG123" i="11"/>
  <c r="AH130" i="11"/>
  <c r="AH122" i="11"/>
  <c r="AI129" i="11"/>
  <c r="AU129" i="11" s="1"/>
  <c r="AI121" i="11"/>
  <c r="AR121" i="11" s="1"/>
  <c r="X132" i="11"/>
  <c r="X68" i="11" s="1"/>
  <c r="X124" i="11"/>
  <c r="X60" i="11" s="1"/>
  <c r="Y130" i="11"/>
  <c r="Y122" i="11"/>
  <c r="Z129" i="11"/>
  <c r="Z121" i="11"/>
  <c r="AA128" i="11"/>
  <c r="AA120" i="11"/>
  <c r="AB127" i="11"/>
  <c r="AB119" i="11"/>
  <c r="AC126" i="11"/>
  <c r="AC118" i="11"/>
  <c r="AD125" i="11"/>
  <c r="AE132" i="11"/>
  <c r="AE124" i="11"/>
  <c r="AF131" i="11"/>
  <c r="AF123" i="11"/>
  <c r="AG130" i="11"/>
  <c r="AG122" i="11"/>
  <c r="AH129" i="11"/>
  <c r="AH121" i="11"/>
  <c r="AI128" i="11"/>
  <c r="AT128" i="11" s="1"/>
  <c r="AI120" i="11"/>
  <c r="AU120" i="11" s="1"/>
  <c r="X131" i="11"/>
  <c r="X115" i="11" s="1"/>
  <c r="X123" i="11"/>
  <c r="X59" i="11" s="1"/>
  <c r="Y129" i="11"/>
  <c r="Y121" i="11"/>
  <c r="Z128" i="11"/>
  <c r="Z120" i="11"/>
  <c r="AA127" i="11"/>
  <c r="AA119" i="11"/>
  <c r="AB118" i="11"/>
  <c r="K3" i="1"/>
  <c r="L66" i="1"/>
  <c r="L65" i="1"/>
  <c r="N21" i="1"/>
  <c r="M81" i="1"/>
  <c r="AI25" i="13" s="1"/>
  <c r="AJ25" i="13" s="1"/>
  <c r="F25" i="13" s="1"/>
  <c r="M80" i="1"/>
  <c r="AI24" i="13" s="1"/>
  <c r="AJ24" i="13" s="1"/>
  <c r="F24" i="13" s="1"/>
  <c r="J10" i="1"/>
  <c r="S19" i="1" s="1"/>
  <c r="M79" i="1"/>
  <c r="AI23" i="13" s="1"/>
  <c r="AJ23" i="13" s="1"/>
  <c r="A23" i="13" s="1"/>
  <c r="M82" i="1"/>
  <c r="AI26" i="13" s="1"/>
  <c r="AJ26" i="13" s="1"/>
  <c r="F26" i="13" s="1"/>
  <c r="X87" i="11"/>
  <c r="X103" i="11" s="1"/>
  <c r="D3" i="4"/>
  <c r="D7" i="4" s="1"/>
  <c r="M78" i="1"/>
  <c r="AI22" i="13" s="1"/>
  <c r="AJ22" i="13" s="1"/>
  <c r="F22" i="13" s="1"/>
  <c r="S14" i="1"/>
  <c r="AG146" i="11"/>
  <c r="S18" i="4"/>
  <c r="T18" i="4" s="1"/>
  <c r="AS138" i="11"/>
  <c r="X94" i="11"/>
  <c r="BN153" i="11"/>
  <c r="AW138" i="11"/>
  <c r="AK138" i="11"/>
  <c r="I215" i="1"/>
  <c r="BI138" i="11"/>
  <c r="BE138" i="11"/>
  <c r="X138" i="11"/>
  <c r="BY138" i="11"/>
  <c r="B18" i="4"/>
  <c r="B19" i="4" s="1"/>
  <c r="X144" i="11"/>
  <c r="AF138" i="11"/>
  <c r="AI153" i="11"/>
  <c r="CA153" i="11"/>
  <c r="BR153" i="11"/>
  <c r="AJ138" i="11"/>
  <c r="BZ153" i="11"/>
  <c r="AX153" i="11"/>
  <c r="H194" i="1"/>
  <c r="H200" i="1"/>
  <c r="H202" i="1"/>
  <c r="AK4" i="11"/>
  <c r="AL4" i="11" s="1"/>
  <c r="AM4" i="11" s="1"/>
  <c r="AN4" i="11" s="1"/>
  <c r="AO4" i="11" s="1"/>
  <c r="AP4" i="11" s="1"/>
  <c r="AQ4" i="11" s="1"/>
  <c r="AR4" i="11" s="1"/>
  <c r="AS4" i="11" s="1"/>
  <c r="AT4" i="11" s="1"/>
  <c r="AU4" i="11" s="1"/>
  <c r="AV4" i="11" s="1"/>
  <c r="D4" i="5"/>
  <c r="K3" i="5"/>
  <c r="N9" i="1"/>
  <c r="M125" i="1"/>
  <c r="AE138" i="11"/>
  <c r="BV153" i="11"/>
  <c r="BN138" i="11"/>
  <c r="BU153" i="11"/>
  <c r="AB153" i="11"/>
  <c r="BA153" i="11"/>
  <c r="BP138" i="11"/>
  <c r="R4" i="11"/>
  <c r="CC153" i="11"/>
  <c r="AJ153" i="11"/>
  <c r="BI153" i="11"/>
  <c r="BX138" i="11"/>
  <c r="BK138" i="11"/>
  <c r="BV138" i="11"/>
  <c r="M83" i="1"/>
  <c r="AI27" i="13" s="1"/>
  <c r="AJ27" i="13" s="1"/>
  <c r="A27" i="13" s="1"/>
  <c r="G3" i="1"/>
  <c r="BG138" i="11"/>
  <c r="BS153" i="11"/>
  <c r="Y153" i="11"/>
  <c r="AU138" i="11"/>
  <c r="AN138" i="11"/>
  <c r="AR153" i="11"/>
  <c r="AC138" i="11"/>
  <c r="BC138" i="11"/>
  <c r="BM138" i="11"/>
  <c r="BQ153" i="11"/>
  <c r="BM153" i="11"/>
  <c r="BG153" i="11"/>
  <c r="CD138" i="11"/>
  <c r="AA138" i="11"/>
  <c r="X153" i="11"/>
  <c r="CB153" i="11"/>
  <c r="L64" i="1"/>
  <c r="BC153" i="11"/>
  <c r="CD153" i="11"/>
  <c r="AO153" i="11"/>
  <c r="BS138" i="11"/>
  <c r="AV138" i="11"/>
  <c r="AZ153" i="11"/>
  <c r="BQ138" i="11"/>
  <c r="AA153" i="11"/>
  <c r="BU138" i="11"/>
  <c r="BY153" i="11"/>
  <c r="BB138" i="11"/>
  <c r="Z138" i="11"/>
  <c r="AD153" i="11"/>
  <c r="AQ138" i="11"/>
  <c r="AF153" i="11"/>
  <c r="M87" i="1"/>
  <c r="AR138" i="11"/>
  <c r="CE153" i="11"/>
  <c r="AD138" i="11"/>
  <c r="CA138" i="11"/>
  <c r="BD138" i="11"/>
  <c r="BH153" i="11"/>
  <c r="BE153" i="11"/>
  <c r="BO153" i="11"/>
  <c r="CC138" i="11"/>
  <c r="AY138" i="11"/>
  <c r="BZ138" i="11"/>
  <c r="AH138" i="11"/>
  <c r="AL153" i="11"/>
  <c r="BW138" i="11"/>
  <c r="AN153" i="11"/>
  <c r="M119" i="1"/>
  <c r="J119" i="1" s="1"/>
  <c r="I119" i="1" s="1"/>
  <c r="BA138" i="11"/>
  <c r="AI138" i="11"/>
  <c r="AT138" i="11"/>
  <c r="AQ153" i="11"/>
  <c r="BL138" i="11"/>
  <c r="BP153" i="11"/>
  <c r="AL138" i="11"/>
  <c r="Y138" i="11"/>
  <c r="AC153" i="11"/>
  <c r="CE138" i="11"/>
  <c r="AP153" i="11"/>
  <c r="AP138" i="11"/>
  <c r="AT153" i="11"/>
  <c r="AE153" i="11"/>
  <c r="AV153" i="11"/>
  <c r="O16" i="1"/>
  <c r="AG153" i="11"/>
  <c r="BK153" i="11"/>
  <c r="BR138" i="11"/>
  <c r="AY153" i="11"/>
  <c r="BT138" i="11"/>
  <c r="BX153" i="11"/>
  <c r="BJ138" i="11"/>
  <c r="AG138" i="11"/>
  <c r="AK153" i="11"/>
  <c r="AU153" i="11"/>
  <c r="BF153" i="11"/>
  <c r="AX138" i="11"/>
  <c r="BB153" i="11"/>
  <c r="AM153" i="11"/>
  <c r="BD153" i="11"/>
  <c r="AW153" i="11"/>
  <c r="AZ138" i="11"/>
  <c r="AH153" i="11"/>
  <c r="BW153" i="11"/>
  <c r="CB138" i="11"/>
  <c r="BO138" i="11"/>
  <c r="Z153" i="11"/>
  <c r="AO138" i="11"/>
  <c r="AS153" i="11"/>
  <c r="BH138" i="11"/>
  <c r="AM138" i="11"/>
  <c r="BF138" i="11"/>
  <c r="BJ153" i="11"/>
  <c r="AB138" i="11"/>
  <c r="BL153" i="11"/>
  <c r="R43" i="1"/>
  <c r="AB146" i="11"/>
  <c r="AD146" i="11"/>
  <c r="AI146" i="11"/>
  <c r="AN146" i="11" s="1"/>
  <c r="AC146" i="11"/>
  <c r="AA146" i="11"/>
  <c r="Y146" i="11"/>
  <c r="Y149" i="11" s="1"/>
  <c r="AH146" i="11"/>
  <c r="W149" i="11"/>
  <c r="Z146" i="11"/>
  <c r="Z149" i="11" s="1"/>
  <c r="AF146" i="11"/>
  <c r="X146" i="11"/>
  <c r="X149" i="11" s="1"/>
  <c r="M114" i="1"/>
  <c r="N66" i="1"/>
  <c r="O66" i="1" s="1"/>
  <c r="M95" i="1"/>
  <c r="P66" i="1"/>
  <c r="Q65" i="1"/>
  <c r="R65" i="1" s="1"/>
  <c r="S65" i="1" s="1"/>
  <c r="T65" i="1" s="1"/>
  <c r="U65" i="1" s="1"/>
  <c r="V65" i="1" s="1"/>
  <c r="R64" i="1"/>
  <c r="X95" i="11"/>
  <c r="X90" i="11"/>
  <c r="Y16" i="11"/>
  <c r="Y96" i="11" s="1"/>
  <c r="Y17" i="11"/>
  <c r="Z17" i="11" s="1"/>
  <c r="Z97" i="11" s="1"/>
  <c r="AS119" i="11"/>
  <c r="AK119" i="11"/>
  <c r="AM119" i="11"/>
  <c r="AJ119" i="11"/>
  <c r="AQ119" i="11"/>
  <c r="AN119" i="11"/>
  <c r="AO119" i="11"/>
  <c r="AR119" i="11"/>
  <c r="AL119" i="11"/>
  <c r="AP119" i="11"/>
  <c r="AA143" i="11"/>
  <c r="AB143" i="11" s="1"/>
  <c r="AC143" i="11" s="1"/>
  <c r="Z12" i="11"/>
  <c r="AA12" i="11" s="1"/>
  <c r="AA92" i="11" s="1"/>
  <c r="Y13" i="11"/>
  <c r="Z13" i="11" s="1"/>
  <c r="Z93" i="11" s="1"/>
  <c r="X5" i="11"/>
  <c r="Z142" i="11"/>
  <c r="Y6" i="11"/>
  <c r="N133" i="1"/>
  <c r="Z15" i="11"/>
  <c r="X98" i="11"/>
  <c r="W57" i="11"/>
  <c r="AT119" i="11"/>
  <c r="W63" i="11"/>
  <c r="AS127" i="11"/>
  <c r="Z7" i="11"/>
  <c r="Z19" i="11"/>
  <c r="Z99" i="11" s="1"/>
  <c r="Z14" i="11"/>
  <c r="W56" i="11"/>
  <c r="W60" i="11"/>
  <c r="AK127" i="11"/>
  <c r="AM127" i="11"/>
  <c r="AO127" i="11"/>
  <c r="AQ127" i="11"/>
  <c r="Z20" i="11"/>
  <c r="W62" i="11"/>
  <c r="W66" i="11"/>
  <c r="X54" i="11"/>
  <c r="W65" i="11"/>
  <c r="Y98" i="11"/>
  <c r="W55" i="11"/>
  <c r="W67" i="11"/>
  <c r="Z10" i="11"/>
  <c r="W54" i="11"/>
  <c r="W59" i="11"/>
  <c r="AJ127" i="11"/>
  <c r="AL127" i="11"/>
  <c r="AN127" i="11"/>
  <c r="AP127" i="11"/>
  <c r="N132" i="1"/>
  <c r="W61" i="11"/>
  <c r="W58" i="11"/>
  <c r="AR127" i="11"/>
  <c r="W64" i="11"/>
  <c r="AT127" i="11"/>
  <c r="M159" i="1"/>
  <c r="M163" i="1" s="1"/>
  <c r="AA18" i="11"/>
  <c r="Z98" i="11"/>
  <c r="X102" i="11"/>
  <c r="I59" i="1"/>
  <c r="H59" i="1"/>
  <c r="J109" i="1" s="1"/>
  <c r="J88" i="1"/>
  <c r="I78" i="1"/>
  <c r="I86" i="1"/>
  <c r="I53" i="1"/>
  <c r="I48" i="1"/>
  <c r="H48" i="1"/>
  <c r="I79" i="1"/>
  <c r="I58" i="1"/>
  <c r="H58" i="1"/>
  <c r="J108" i="1" s="1"/>
  <c r="J66" i="1"/>
  <c r="M112" i="1" s="1"/>
  <c r="I64" i="1"/>
  <c r="H64" i="1"/>
  <c r="H57" i="1"/>
  <c r="I57" i="1"/>
  <c r="I82" i="1"/>
  <c r="I81" i="1"/>
  <c r="I80" i="1"/>
  <c r="H60" i="1"/>
  <c r="J110" i="1" s="1"/>
  <c r="I60" i="1"/>
  <c r="I87" i="1"/>
  <c r="H65" i="1"/>
  <c r="I65" i="1"/>
  <c r="I85" i="1"/>
  <c r="I83" i="1"/>
  <c r="I84" i="1"/>
  <c r="Y66" i="11" l="1"/>
  <c r="Y107" i="11"/>
  <c r="Z11" i="11"/>
  <c r="AA11" i="11" s="1"/>
  <c r="AB11" i="11" s="1"/>
  <c r="Q66" i="1"/>
  <c r="AW126" i="11"/>
  <c r="AZ130" i="11"/>
  <c r="AM118" i="11"/>
  <c r="AK122" i="11"/>
  <c r="Y110" i="11"/>
  <c r="AL118" i="11"/>
  <c r="Y106" i="11"/>
  <c r="AP131" i="11"/>
  <c r="AS118" i="11"/>
  <c r="AU118" i="11"/>
  <c r="BA118" i="11" s="1"/>
  <c r="AK131" i="11"/>
  <c r="BC156" i="11"/>
  <c r="AY129" i="11"/>
  <c r="AX123" i="11"/>
  <c r="BG120" i="11"/>
  <c r="BS120" i="11" s="1"/>
  <c r="BS56" i="11" s="1"/>
  <c r="BE122" i="11"/>
  <c r="AX122" i="11"/>
  <c r="BD131" i="11"/>
  <c r="BU156" i="11"/>
  <c r="AY122" i="11"/>
  <c r="BC131" i="11"/>
  <c r="AV122" i="11"/>
  <c r="I43" i="1"/>
  <c r="AS131" i="11"/>
  <c r="AQ124" i="11"/>
  <c r="AX131" i="11"/>
  <c r="AS130" i="11"/>
  <c r="AP129" i="11"/>
  <c r="AM120" i="11"/>
  <c r="M43" i="1"/>
  <c r="AR129" i="11"/>
  <c r="Y105" i="11"/>
  <c r="AP120" i="11"/>
  <c r="AY130" i="11"/>
  <c r="X67" i="11"/>
  <c r="AZ129" i="11"/>
  <c r="BA123" i="11"/>
  <c r="AP128" i="11"/>
  <c r="AO128" i="11"/>
  <c r="U3" i="4"/>
  <c r="Z17" i="4" s="1"/>
  <c r="AJ128" i="11"/>
  <c r="X109" i="11"/>
  <c r="BE131" i="11"/>
  <c r="AJ131" i="11"/>
  <c r="AM123" i="11"/>
  <c r="BA125" i="11"/>
  <c r="BA119" i="11"/>
  <c r="AO118" i="11"/>
  <c r="AV131" i="11"/>
  <c r="AQ131" i="11"/>
  <c r="Z9" i="11"/>
  <c r="Z89" i="11" s="1"/>
  <c r="Z105" i="11" s="1"/>
  <c r="BA131" i="11"/>
  <c r="Z113" i="11"/>
  <c r="BA126" i="11"/>
  <c r="AW122" i="11"/>
  <c r="BG131" i="11"/>
  <c r="BO131" i="11" s="1"/>
  <c r="BO67" i="11" s="1"/>
  <c r="AP118" i="11"/>
  <c r="AO131" i="11"/>
  <c r="X107" i="11"/>
  <c r="AL122" i="11"/>
  <c r="AW127" i="11"/>
  <c r="BD156" i="11"/>
  <c r="BD122" i="11"/>
  <c r="BB120" i="11"/>
  <c r="BB122" i="11"/>
  <c r="AW131" i="11"/>
  <c r="AT118" i="11"/>
  <c r="AM131" i="11"/>
  <c r="AS122" i="11"/>
  <c r="AJ126" i="11"/>
  <c r="AN122" i="11"/>
  <c r="AW120" i="11"/>
  <c r="BD129" i="11"/>
  <c r="BD132" i="11"/>
  <c r="AV119" i="11"/>
  <c r="BL156" i="11"/>
  <c r="L44" i="1"/>
  <c r="BF131" i="11"/>
  <c r="AN131" i="11"/>
  <c r="AR123" i="11"/>
  <c r="AM128" i="11"/>
  <c r="X65" i="11"/>
  <c r="AV123" i="11"/>
  <c r="BC123" i="11"/>
  <c r="BB131" i="11"/>
  <c r="AZ131" i="11"/>
  <c r="AT131" i="11"/>
  <c r="AL131" i="11"/>
  <c r="AO122" i="11"/>
  <c r="AS123" i="11"/>
  <c r="Y104" i="11"/>
  <c r="AV125" i="11"/>
  <c r="AR128" i="11"/>
  <c r="X108" i="11"/>
  <c r="Y60" i="11"/>
  <c r="AS125" i="11"/>
  <c r="X106" i="11"/>
  <c r="AQ121" i="11"/>
  <c r="X111" i="11"/>
  <c r="BA127" i="11"/>
  <c r="AQ128" i="11"/>
  <c r="BB123" i="11"/>
  <c r="AW125" i="11"/>
  <c r="AN123" i="11"/>
  <c r="AJ123" i="11"/>
  <c r="AQ125" i="11"/>
  <c r="AM121" i="11"/>
  <c r="BG123" i="11"/>
  <c r="BN123" i="11" s="1"/>
  <c r="BN59" i="11" s="1"/>
  <c r="AM125" i="11"/>
  <c r="AP123" i="11"/>
  <c r="AU121" i="11"/>
  <c r="BG121" i="11" s="1"/>
  <c r="BF123" i="11"/>
  <c r="AK123" i="11"/>
  <c r="BF130" i="11"/>
  <c r="AJ130" i="11"/>
  <c r="AV126" i="11"/>
  <c r="BF125" i="11"/>
  <c r="AK125" i="11"/>
  <c r="AL126" i="11"/>
  <c r="AR126" i="11"/>
  <c r="AK126" i="11"/>
  <c r="P43" i="1"/>
  <c r="AI17" i="13" s="1"/>
  <c r="AJ17" i="13" s="1"/>
  <c r="A17" i="13" s="1"/>
  <c r="BG130" i="11"/>
  <c r="BN130" i="11" s="1"/>
  <c r="BC119" i="11"/>
  <c r="AY126" i="11"/>
  <c r="Y114" i="11"/>
  <c r="AL130" i="11"/>
  <c r="BB130" i="11"/>
  <c r="AX125" i="11"/>
  <c r="AZ125" i="11"/>
  <c r="AJ129" i="11"/>
  <c r="BD125" i="11"/>
  <c r="AO125" i="11"/>
  <c r="AA108" i="11"/>
  <c r="O23" i="1"/>
  <c r="AI9" i="13" s="1"/>
  <c r="AJ9" i="13" s="1"/>
  <c r="A9" i="13" s="1"/>
  <c r="N159" i="1"/>
  <c r="N163" i="1" s="1"/>
  <c r="BB126" i="11"/>
  <c r="BD130" i="11"/>
  <c r="BG126" i="11"/>
  <c r="BM126" i="11" s="1"/>
  <c r="BM62" i="11" s="1"/>
  <c r="AT125" i="11"/>
  <c r="AN126" i="11"/>
  <c r="AP130" i="11"/>
  <c r="AO132" i="11"/>
  <c r="AY125" i="11"/>
  <c r="AL125" i="11"/>
  <c r="AR125" i="11"/>
  <c r="AS126" i="11"/>
  <c r="BC126" i="11"/>
  <c r="BB125" i="11"/>
  <c r="BF126" i="11"/>
  <c r="AX126" i="11"/>
  <c r="X112" i="11"/>
  <c r="BE130" i="11"/>
  <c r="BE126" i="11"/>
  <c r="AX120" i="11"/>
  <c r="BE132" i="11"/>
  <c r="AO129" i="11"/>
  <c r="AN130" i="11"/>
  <c r="AT130" i="11"/>
  <c r="AP125" i="11"/>
  <c r="AQ126" i="11"/>
  <c r="AO126" i="11"/>
  <c r="AP126" i="11"/>
  <c r="Z8" i="11"/>
  <c r="Z88" i="11" s="1"/>
  <c r="Z104" i="11" s="1"/>
  <c r="A24" i="13"/>
  <c r="AT126" i="11"/>
  <c r="BD126" i="11"/>
  <c r="AN125" i="11"/>
  <c r="AJ125" i="11"/>
  <c r="BC130" i="11"/>
  <c r="AY120" i="11"/>
  <c r="AY132" i="11"/>
  <c r="AA17" i="11"/>
  <c r="AB17" i="11" s="1"/>
  <c r="Z65" i="11" s="1"/>
  <c r="AW130" i="11"/>
  <c r="AL129" i="11"/>
  <c r="BE125" i="11"/>
  <c r="BC125" i="11"/>
  <c r="AW129" i="11"/>
  <c r="AM126" i="11"/>
  <c r="N44" i="1"/>
  <c r="A25" i="13"/>
  <c r="AN121" i="11"/>
  <c r="Y103" i="11"/>
  <c r="AU124" i="11"/>
  <c r="BF124" i="11" s="1"/>
  <c r="AW119" i="11"/>
  <c r="BC127" i="11"/>
  <c r="AM124" i="11"/>
  <c r="BF122" i="11"/>
  <c r="BB119" i="11"/>
  <c r="BG119" i="11"/>
  <c r="BH119" i="11" s="1"/>
  <c r="AZ120" i="11"/>
  <c r="BF127" i="11"/>
  <c r="BB127" i="11"/>
  <c r="AS121" i="11"/>
  <c r="AL128" i="11"/>
  <c r="AU128" i="11"/>
  <c r="AZ128" i="11" s="1"/>
  <c r="AZ122" i="11"/>
  <c r="AY123" i="11"/>
  <c r="AV132" i="11"/>
  <c r="AQ118" i="11"/>
  <c r="AX132" i="11"/>
  <c r="BG132" i="11"/>
  <c r="BM132" i="11" s="1"/>
  <c r="BM68" i="11" s="1"/>
  <c r="AS124" i="11"/>
  <c r="AK124" i="11"/>
  <c r="AR124" i="11"/>
  <c r="AN120" i="11"/>
  <c r="BC129" i="11"/>
  <c r="BB129" i="11"/>
  <c r="AM129" i="11"/>
  <c r="AL123" i="11"/>
  <c r="AT123" i="11"/>
  <c r="AO123" i="11"/>
  <c r="AK132" i="11"/>
  <c r="N78" i="1"/>
  <c r="O78" i="1" s="1"/>
  <c r="P78" i="1" s="1"/>
  <c r="Q78" i="1" s="1"/>
  <c r="R78" i="1" s="1"/>
  <c r="S78" i="1" s="1"/>
  <c r="T78" i="1" s="1"/>
  <c r="U78" i="1" s="1"/>
  <c r="V78" i="1" s="1"/>
  <c r="L43" i="1"/>
  <c r="W117" i="11" s="1"/>
  <c r="BD120" i="11"/>
  <c r="AO121" i="11"/>
  <c r="BA132" i="11"/>
  <c r="BE129" i="11"/>
  <c r="AZ119" i="11"/>
  <c r="BG127" i="11"/>
  <c r="BL127" i="11" s="1"/>
  <c r="BL63" i="11" s="1"/>
  <c r="AQ120" i="11"/>
  <c r="AM132" i="11"/>
  <c r="AS129" i="11"/>
  <c r="AP132" i="11"/>
  <c r="Y112" i="11"/>
  <c r="BE119" i="11"/>
  <c r="BC120" i="11"/>
  <c r="AX127" i="11"/>
  <c r="AZ127" i="11"/>
  <c r="AP121" i="11"/>
  <c r="AS128" i="11"/>
  <c r="BG122" i="11"/>
  <c r="BP122" i="11" s="1"/>
  <c r="BP58" i="11" s="1"/>
  <c r="AZ123" i="11"/>
  <c r="AN118" i="11"/>
  <c r="BF132" i="11"/>
  <c r="Y115" i="11"/>
  <c r="AN124" i="11"/>
  <c r="AR120" i="11"/>
  <c r="AM122" i="11"/>
  <c r="AR122" i="11"/>
  <c r="AT129" i="11"/>
  <c r="AP122" i="11"/>
  <c r="BA129" i="11"/>
  <c r="AN129" i="11"/>
  <c r="AL132" i="11"/>
  <c r="AR132" i="11"/>
  <c r="BN156" i="11"/>
  <c r="BD127" i="11"/>
  <c r="AY127" i="11"/>
  <c r="AT120" i="11"/>
  <c r="AS120" i="11"/>
  <c r="BF119" i="11"/>
  <c r="BA120" i="11"/>
  <c r="AT121" i="11"/>
  <c r="BC132" i="11"/>
  <c r="AX129" i="11"/>
  <c r="AV129" i="11"/>
  <c r="Z109" i="11"/>
  <c r="BB132" i="11"/>
  <c r="AY119" i="11"/>
  <c r="AV120" i="11"/>
  <c r="AK121" i="11"/>
  <c r="BA122" i="11"/>
  <c r="BE123" i="11"/>
  <c r="AR118" i="11"/>
  <c r="BF129" i="11"/>
  <c r="AK129" i="11"/>
  <c r="AQ132" i="11"/>
  <c r="AO120" i="11"/>
  <c r="AQ123" i="11"/>
  <c r="AJ132" i="11"/>
  <c r="AT124" i="11"/>
  <c r="AO124" i="11"/>
  <c r="BD119" i="11"/>
  <c r="AW132" i="11"/>
  <c r="AJ120" i="11"/>
  <c r="AV127" i="11"/>
  <c r="X110" i="11"/>
  <c r="BE127" i="11"/>
  <c r="AK128" i="11"/>
  <c r="AZ132" i="11"/>
  <c r="AL124" i="11"/>
  <c r="AT122" i="11"/>
  <c r="AL120" i="11"/>
  <c r="AX119" i="11"/>
  <c r="BE120" i="11"/>
  <c r="AJ121" i="11"/>
  <c r="AL121" i="11"/>
  <c r="AN128" i="11"/>
  <c r="AW123" i="11"/>
  <c r="AK118" i="11"/>
  <c r="AJ124" i="11"/>
  <c r="AT132" i="11"/>
  <c r="AJ122" i="11"/>
  <c r="AQ122" i="11"/>
  <c r="AN132" i="11"/>
  <c r="AQ129" i="11"/>
  <c r="AK120" i="11"/>
  <c r="AS132" i="11"/>
  <c r="A22" i="13"/>
  <c r="AQ146" i="11"/>
  <c r="AO130" i="11"/>
  <c r="AV130" i="11"/>
  <c r="AX130" i="11"/>
  <c r="X56" i="11"/>
  <c r="BW156" i="11"/>
  <c r="X105" i="11"/>
  <c r="X58" i="11"/>
  <c r="J43" i="1"/>
  <c r="A29" i="13"/>
  <c r="BF120" i="11"/>
  <c r="BG129" i="11"/>
  <c r="AW156" i="11"/>
  <c r="BA156" i="11"/>
  <c r="BI156" i="11"/>
  <c r="X116" i="11"/>
  <c r="I17" i="4"/>
  <c r="E18" i="4" s="1"/>
  <c r="BG125" i="11"/>
  <c r="AZ126" i="11"/>
  <c r="BB156" i="11"/>
  <c r="AV156" i="11"/>
  <c r="BQ156" i="11"/>
  <c r="Z115" i="11"/>
  <c r="BV156" i="11"/>
  <c r="BT156" i="11"/>
  <c r="AZ156" i="11"/>
  <c r="AK146" i="11"/>
  <c r="BC122" i="11"/>
  <c r="BD123" i="11"/>
  <c r="BH156" i="11"/>
  <c r="N85" i="1"/>
  <c r="O85" i="1" s="1"/>
  <c r="P85" i="1" s="1"/>
  <c r="Q85" i="1" s="1"/>
  <c r="R85" i="1" s="1"/>
  <c r="S85" i="1" s="1"/>
  <c r="T85" i="1" s="1"/>
  <c r="U85" i="1" s="1"/>
  <c r="V85" i="1" s="1"/>
  <c r="Z59" i="11"/>
  <c r="AQ130" i="11"/>
  <c r="BA130" i="11"/>
  <c r="AR131" i="11"/>
  <c r="F11" i="1"/>
  <c r="R217" i="1"/>
  <c r="AK130" i="11"/>
  <c r="F23" i="13"/>
  <c r="N81" i="1"/>
  <c r="O81" i="1" s="1"/>
  <c r="P81" i="1" s="1"/>
  <c r="Q81" i="1" s="1"/>
  <c r="R81" i="1" s="1"/>
  <c r="S81" i="1" s="1"/>
  <c r="T81" i="1" s="1"/>
  <c r="U81" i="1" s="1"/>
  <c r="V81" i="1" s="1"/>
  <c r="F12" i="1"/>
  <c r="S210" i="1"/>
  <c r="S217" i="1" s="1"/>
  <c r="AM130" i="11"/>
  <c r="AY131" i="11"/>
  <c r="AR130" i="11"/>
  <c r="N79" i="1"/>
  <c r="O79" i="1" s="1"/>
  <c r="P79" i="1" s="1"/>
  <c r="Q79" i="1" s="1"/>
  <c r="R79" i="1" s="1"/>
  <c r="S79" i="1" s="1"/>
  <c r="T79" i="1" s="1"/>
  <c r="U79" i="1" s="1"/>
  <c r="V79" i="1" s="1"/>
  <c r="C18" i="4"/>
  <c r="BM156" i="11"/>
  <c r="BR156" i="11"/>
  <c r="BP156" i="11"/>
  <c r="X85" i="11"/>
  <c r="G43" i="1"/>
  <c r="BJ156" i="11"/>
  <c r="BK156" i="11"/>
  <c r="BS156" i="11"/>
  <c r="P168" i="1"/>
  <c r="O181" i="1"/>
  <c r="O202" i="1" s="1"/>
  <c r="O214" i="1" s="1"/>
  <c r="BX156" i="11"/>
  <c r="BY2" i="11"/>
  <c r="T123" i="1"/>
  <c r="S125" i="1"/>
  <c r="S131" i="1"/>
  <c r="S191" i="1"/>
  <c r="T189" i="1"/>
  <c r="AX156" i="11"/>
  <c r="BG156" i="11"/>
  <c r="AY156" i="11"/>
  <c r="P148" i="1"/>
  <c r="O157" i="1"/>
  <c r="BE156" i="11"/>
  <c r="BF156" i="11"/>
  <c r="BO156" i="11"/>
  <c r="AS146" i="11"/>
  <c r="AU146" i="11"/>
  <c r="AV146" i="11" s="1"/>
  <c r="A26" i="13"/>
  <c r="S19" i="4"/>
  <c r="T19" i="4" s="1"/>
  <c r="AA13" i="11"/>
  <c r="AA93" i="11" s="1"/>
  <c r="AA109" i="11" s="1"/>
  <c r="AP146" i="11"/>
  <c r="AR146" i="11"/>
  <c r="AT146" i="11"/>
  <c r="AO146" i="11"/>
  <c r="AL146" i="11"/>
  <c r="AB12" i="11"/>
  <c r="Z60" i="11" s="1"/>
  <c r="AM146" i="11"/>
  <c r="N80" i="1"/>
  <c r="O80" i="1" s="1"/>
  <c r="P80" i="1" s="1"/>
  <c r="Q80" i="1" s="1"/>
  <c r="R80" i="1" s="1"/>
  <c r="S80" i="1" s="1"/>
  <c r="T80" i="1" s="1"/>
  <c r="U80" i="1" s="1"/>
  <c r="V80" i="1" s="1"/>
  <c r="AJ146" i="11"/>
  <c r="N82" i="1"/>
  <c r="O82" i="1" s="1"/>
  <c r="P82" i="1" s="1"/>
  <c r="Q82" i="1" s="1"/>
  <c r="R82" i="1" s="1"/>
  <c r="S82" i="1" s="1"/>
  <c r="T82" i="1" s="1"/>
  <c r="U82" i="1" s="1"/>
  <c r="V82" i="1" s="1"/>
  <c r="F27" i="13"/>
  <c r="M200" i="1"/>
  <c r="M213" i="1" s="1"/>
  <c r="N83" i="1"/>
  <c r="O83" i="1" s="1"/>
  <c r="P83" i="1" s="1"/>
  <c r="Q83" i="1" s="1"/>
  <c r="R83" i="1" s="1"/>
  <c r="S83" i="1" s="1"/>
  <c r="T83" i="1" s="1"/>
  <c r="U83" i="1" s="1"/>
  <c r="V83" i="1" s="1"/>
  <c r="M202" i="1"/>
  <c r="M214" i="1" s="1"/>
  <c r="N202" i="1"/>
  <c r="N214" i="1" s="1"/>
  <c r="N119" i="1"/>
  <c r="O119" i="1" s="1"/>
  <c r="P119" i="1" s="1"/>
  <c r="Q119" i="1" s="1"/>
  <c r="R119" i="1" s="1"/>
  <c r="S119" i="1" s="1"/>
  <c r="T119" i="1" s="1"/>
  <c r="U119" i="1" s="1"/>
  <c r="V119" i="1" s="1"/>
  <c r="J125" i="1"/>
  <c r="J137" i="1" s="1"/>
  <c r="M137" i="1"/>
  <c r="AW4" i="11"/>
  <c r="AX4" i="11" s="1"/>
  <c r="AY4" i="11" s="1"/>
  <c r="AZ4" i="11" s="1"/>
  <c r="BA4" i="11" s="1"/>
  <c r="BB4" i="11" s="1"/>
  <c r="BC4" i="11" s="1"/>
  <c r="BD4" i="11" s="1"/>
  <c r="BE4" i="11" s="1"/>
  <c r="BF4" i="11" s="1"/>
  <c r="BG4" i="11" s="1"/>
  <c r="BH4" i="11" s="1"/>
  <c r="S4" i="11"/>
  <c r="J3" i="5"/>
  <c r="I3" i="5" s="1"/>
  <c r="H3" i="5" s="1"/>
  <c r="L3" i="5"/>
  <c r="M3" i="5" s="1"/>
  <c r="N3" i="5" s="1"/>
  <c r="B20" i="4"/>
  <c r="C19" i="4"/>
  <c r="N200" i="1"/>
  <c r="N213" i="1" s="1"/>
  <c r="L119" i="1"/>
  <c r="AI31" i="13"/>
  <c r="AJ31" i="13" s="1"/>
  <c r="N87" i="1"/>
  <c r="O87" i="1" s="1"/>
  <c r="P87" i="1" s="1"/>
  <c r="Q87" i="1" s="1"/>
  <c r="R87" i="1" s="1"/>
  <c r="S87" i="1" s="1"/>
  <c r="T87" i="1" s="1"/>
  <c r="U87" i="1" s="1"/>
  <c r="V87" i="1" s="1"/>
  <c r="R44" i="1"/>
  <c r="N95" i="1"/>
  <c r="O95" i="1" s="1"/>
  <c r="P95" i="1" s="1"/>
  <c r="Q95" i="1" s="1"/>
  <c r="R95" i="1" s="1"/>
  <c r="S95" i="1" s="1"/>
  <c r="T95" i="1" s="1"/>
  <c r="U95" i="1" s="1"/>
  <c r="V95" i="1" s="1"/>
  <c r="AJ37" i="13"/>
  <c r="R66" i="1"/>
  <c r="S64" i="1"/>
  <c r="Y97" i="11"/>
  <c r="Y113" i="11" s="1"/>
  <c r="AA149" i="11"/>
  <c r="Z91" i="11"/>
  <c r="Z107" i="11" s="1"/>
  <c r="AB149" i="11"/>
  <c r="Z16" i="11"/>
  <c r="Z96" i="11" s="1"/>
  <c r="Z112" i="11" s="1"/>
  <c r="Y93" i="11"/>
  <c r="Y109" i="11" s="1"/>
  <c r="Z92" i="11"/>
  <c r="Z108" i="11" s="1"/>
  <c r="N135" i="1"/>
  <c r="O131" i="1" s="1"/>
  <c r="O133" i="1" s="1"/>
  <c r="N134" i="1"/>
  <c r="Y5" i="11"/>
  <c r="Z144" i="11"/>
  <c r="AA142" i="11"/>
  <c r="Z6" i="11"/>
  <c r="AA6" i="11" s="1"/>
  <c r="Y54" i="11" s="1"/>
  <c r="Y86" i="11"/>
  <c r="Y102" i="11" s="1"/>
  <c r="X114" i="11"/>
  <c r="Z95" i="11"/>
  <c r="Z111" i="11" s="1"/>
  <c r="AA15" i="11"/>
  <c r="Y63" i="11" s="1"/>
  <c r="Z87" i="11"/>
  <c r="Z103" i="11" s="1"/>
  <c r="AA7" i="11"/>
  <c r="Y55" i="11" s="1"/>
  <c r="AA19" i="11"/>
  <c r="AB19" i="11" s="1"/>
  <c r="Z67" i="11" s="1"/>
  <c r="Z100" i="11"/>
  <c r="Z116" i="11" s="1"/>
  <c r="AA20" i="11"/>
  <c r="Y68" i="11" s="1"/>
  <c r="Z94" i="11"/>
  <c r="Z110" i="11" s="1"/>
  <c r="AA14" i="11"/>
  <c r="Y62" i="11" s="1"/>
  <c r="W53" i="11"/>
  <c r="AC149" i="11"/>
  <c r="AD143" i="11"/>
  <c r="Z90" i="11"/>
  <c r="Z106" i="11" s="1"/>
  <c r="AA10" i="11"/>
  <c r="Y58" i="11" s="1"/>
  <c r="AB91" i="11"/>
  <c r="AB107" i="11" s="1"/>
  <c r="AC11" i="11"/>
  <c r="AA59" i="11" s="1"/>
  <c r="Z114" i="11"/>
  <c r="AA98" i="11"/>
  <c r="AA114" i="11" s="1"/>
  <c r="AB18" i="11"/>
  <c r="Z66" i="11" s="1"/>
  <c r="AZ118" i="11"/>
  <c r="J107" i="1"/>
  <c r="J111" i="1" s="1"/>
  <c r="H66" i="1"/>
  <c r="I66" i="1"/>
  <c r="J105" i="1"/>
  <c r="J91" i="1"/>
  <c r="I88" i="1"/>
  <c r="J90" i="1"/>
  <c r="H61" i="1"/>
  <c r="AA91" i="11" l="1"/>
  <c r="AA107" i="11" s="1"/>
  <c r="Y59" i="11"/>
  <c r="Y67" i="11"/>
  <c r="Y65" i="11"/>
  <c r="Y61" i="11"/>
  <c r="BC118" i="11"/>
  <c r="BB128" i="11"/>
  <c r="BK120" i="11"/>
  <c r="BK56" i="11" s="1"/>
  <c r="BM120" i="11"/>
  <c r="BM56" i="11" s="1"/>
  <c r="BP120" i="11"/>
  <c r="BP56" i="11" s="1"/>
  <c r="BY120" i="11"/>
  <c r="BT120" i="11"/>
  <c r="BT56" i="11" s="1"/>
  <c r="BL120" i="11"/>
  <c r="BL56" i="11" s="1"/>
  <c r="BW120" i="11"/>
  <c r="BW56" i="11" s="1"/>
  <c r="BX120" i="11"/>
  <c r="BX56" i="11" s="1"/>
  <c r="BH120" i="11"/>
  <c r="BH56" i="11" s="1"/>
  <c r="BV120" i="11"/>
  <c r="BN120" i="11"/>
  <c r="BN56" i="11" s="1"/>
  <c r="BG146" i="11"/>
  <c r="BL146" i="11" s="1"/>
  <c r="BR131" i="11"/>
  <c r="BR67" i="11" s="1"/>
  <c r="BO120" i="11"/>
  <c r="BO56" i="11" s="1"/>
  <c r="AV128" i="11"/>
  <c r="BR120" i="11"/>
  <c r="BR56" i="11" s="1"/>
  <c r="BU120" i="11"/>
  <c r="BU56" i="11" s="1"/>
  <c r="BI120" i="11"/>
  <c r="BI56" i="11" s="1"/>
  <c r="BQ120" i="11"/>
  <c r="BQ56" i="11" s="1"/>
  <c r="BJ120" i="11"/>
  <c r="BJ56" i="11" s="1"/>
  <c r="BD118" i="11"/>
  <c r="BG118" i="11"/>
  <c r="BM118" i="11" s="1"/>
  <c r="BM54" i="11" s="1"/>
  <c r="AV118" i="11"/>
  <c r="AW118" i="11"/>
  <c r="BB118" i="11"/>
  <c r="BF118" i="11"/>
  <c r="BE118" i="11"/>
  <c r="AY118" i="11"/>
  <c r="AA97" i="11"/>
  <c r="AA113" i="11" s="1"/>
  <c r="BK130" i="11"/>
  <c r="BK66" i="11" s="1"/>
  <c r="BP123" i="11"/>
  <c r="BP59" i="11" s="1"/>
  <c r="AX118" i="11"/>
  <c r="BL123" i="11"/>
  <c r="BL59" i="11" s="1"/>
  <c r="BR119" i="11"/>
  <c r="BR55" i="11" s="1"/>
  <c r="BM130" i="11"/>
  <c r="BM66" i="11" s="1"/>
  <c r="S220" i="1"/>
  <c r="S218" i="1"/>
  <c r="BS130" i="11"/>
  <c r="BU130" i="11" s="1"/>
  <c r="BF121" i="11"/>
  <c r="BK127" i="11"/>
  <c r="BK63" i="11" s="1"/>
  <c r="AV121" i="11"/>
  <c r="BH126" i="11"/>
  <c r="BH62" i="11" s="1"/>
  <c r="BS127" i="11"/>
  <c r="BX127" i="11" s="1"/>
  <c r="BX63" i="11" s="1"/>
  <c r="BR126" i="11"/>
  <c r="BR62" i="11" s="1"/>
  <c r="BM122" i="11"/>
  <c r="BM58" i="11" s="1"/>
  <c r="BA128" i="11"/>
  <c r="BP126" i="11"/>
  <c r="BP62" i="11" s="1"/>
  <c r="BM131" i="11"/>
  <c r="BM67" i="11" s="1"/>
  <c r="AX121" i="11"/>
  <c r="BH131" i="11"/>
  <c r="BH67" i="11" s="1"/>
  <c r="AX128" i="11"/>
  <c r="AY124" i="11"/>
  <c r="N23" i="1"/>
  <c r="BI131" i="11"/>
  <c r="BI67" i="11" s="1"/>
  <c r="U7" i="4"/>
  <c r="BC121" i="11"/>
  <c r="BS131" i="11"/>
  <c r="BZ131" i="11" s="1"/>
  <c r="BZ67" i="11" s="1"/>
  <c r="AW128" i="11"/>
  <c r="BQ131" i="11"/>
  <c r="BQ67" i="11" s="1"/>
  <c r="BK131" i="11"/>
  <c r="BK67" i="11" s="1"/>
  <c r="BO127" i="11"/>
  <c r="BO63" i="11" s="1"/>
  <c r="BD121" i="11"/>
  <c r="BM127" i="11"/>
  <c r="BM63" i="11" s="1"/>
  <c r="BE128" i="11"/>
  <c r="AW124" i="11"/>
  <c r="BN131" i="11"/>
  <c r="BN67" i="11" s="1"/>
  <c r="BG128" i="11"/>
  <c r="BI128" i="11" s="1"/>
  <c r="BI64" i="11" s="1"/>
  <c r="BA121" i="11"/>
  <c r="BP127" i="11"/>
  <c r="BP63" i="11" s="1"/>
  <c r="BD128" i="11"/>
  <c r="BQ130" i="11"/>
  <c r="BQ66" i="11" s="1"/>
  <c r="BR123" i="11"/>
  <c r="BR59" i="11" s="1"/>
  <c r="BK126" i="11"/>
  <c r="BK62" i="11" s="1"/>
  <c r="AA9" i="11"/>
  <c r="BJ122" i="11"/>
  <c r="BJ58" i="11" s="1"/>
  <c r="BJ130" i="11"/>
  <c r="BJ66" i="11" s="1"/>
  <c r="BO130" i="11"/>
  <c r="BO66" i="11" s="1"/>
  <c r="BO123" i="11"/>
  <c r="BO59" i="11" s="1"/>
  <c r="BJ131" i="11"/>
  <c r="BJ67" i="11" s="1"/>
  <c r="BF128" i="11"/>
  <c r="AY128" i="11"/>
  <c r="N20" i="1"/>
  <c r="BI123" i="11"/>
  <c r="BI59" i="11" s="1"/>
  <c r="BI130" i="11"/>
  <c r="BI66" i="11" s="1"/>
  <c r="BK123" i="11"/>
  <c r="BK59" i="11" s="1"/>
  <c r="BI126" i="11"/>
  <c r="BI62" i="11" s="1"/>
  <c r="BL126" i="11"/>
  <c r="BL62" i="11" s="1"/>
  <c r="BN122" i="11"/>
  <c r="BN58" i="11" s="1"/>
  <c r="T210" i="1"/>
  <c r="U210" i="1" s="1"/>
  <c r="BR130" i="11"/>
  <c r="BR66" i="11" s="1"/>
  <c r="BS123" i="11"/>
  <c r="BW123" i="11" s="1"/>
  <c r="BW59" i="11" s="1"/>
  <c r="BJ126" i="11"/>
  <c r="BJ62" i="11" s="1"/>
  <c r="BL122" i="11"/>
  <c r="BL58" i="11" s="1"/>
  <c r="BN126" i="11"/>
  <c r="BN62" i="11" s="1"/>
  <c r="X53" i="11"/>
  <c r="BH130" i="11"/>
  <c r="BH66" i="11" s="1"/>
  <c r="BP130" i="11"/>
  <c r="BP66" i="11" s="1"/>
  <c r="BH123" i="11"/>
  <c r="BH59" i="11" s="1"/>
  <c r="BI122" i="11"/>
  <c r="BI58" i="11" s="1"/>
  <c r="BQ126" i="11"/>
  <c r="BQ62" i="11" s="1"/>
  <c r="BS122" i="11"/>
  <c r="BV122" i="11" s="1"/>
  <c r="BV58" i="11" s="1"/>
  <c r="BL130" i="11"/>
  <c r="BL66" i="11" s="1"/>
  <c r="BM123" i="11"/>
  <c r="BM59" i="11" s="1"/>
  <c r="BJ123" i="11"/>
  <c r="BJ59" i="11" s="1"/>
  <c r="BO122" i="11"/>
  <c r="BO58" i="11" s="1"/>
  <c r="BP131" i="11"/>
  <c r="BP67" i="11" s="1"/>
  <c r="BO126" i="11"/>
  <c r="BO62" i="11" s="1"/>
  <c r="BC128" i="11"/>
  <c r="BL131" i="11"/>
  <c r="BL67" i="11" s="1"/>
  <c r="BS126" i="11"/>
  <c r="BW126" i="11" s="1"/>
  <c r="BW62" i="11" s="1"/>
  <c r="AX124" i="11"/>
  <c r="BI132" i="11"/>
  <c r="BI68" i="11" s="1"/>
  <c r="BC124" i="11"/>
  <c r="S43" i="1"/>
  <c r="M3" i="1" s="1"/>
  <c r="BE121" i="11"/>
  <c r="BB121" i="11"/>
  <c r="AY121" i="11"/>
  <c r="AW121" i="11"/>
  <c r="F9" i="13"/>
  <c r="AA8" i="11"/>
  <c r="Y56" i="11" s="1"/>
  <c r="BQ123" i="11"/>
  <c r="BQ59" i="11" s="1"/>
  <c r="BS119" i="11"/>
  <c r="BU119" i="11" s="1"/>
  <c r="BU55" i="11" s="1"/>
  <c r="AZ121" i="11"/>
  <c r="BG124" i="11"/>
  <c r="BP124" i="11" s="1"/>
  <c r="BP60" i="11" s="1"/>
  <c r="BO119" i="11"/>
  <c r="BO55" i="11" s="1"/>
  <c r="BL119" i="11"/>
  <c r="BL55" i="11" s="1"/>
  <c r="BQ127" i="11"/>
  <c r="BQ63" i="11" s="1"/>
  <c r="BE124" i="11"/>
  <c r="BN127" i="11"/>
  <c r="BN63" i="11" s="1"/>
  <c r="AA16" i="11"/>
  <c r="BK119" i="11"/>
  <c r="BK55" i="11" s="1"/>
  <c r="BJ119" i="11"/>
  <c r="BJ55" i="11" s="1"/>
  <c r="BM119" i="11"/>
  <c r="BM55" i="11" s="1"/>
  <c r="BN119" i="11"/>
  <c r="BN55" i="11" s="1"/>
  <c r="BR127" i="11"/>
  <c r="BR63" i="11" s="1"/>
  <c r="AV124" i="11"/>
  <c r="BB124" i="11"/>
  <c r="BD146" i="11"/>
  <c r="S20" i="1"/>
  <c r="BQ119" i="11"/>
  <c r="BQ55" i="11" s="1"/>
  <c r="BA124" i="11"/>
  <c r="BH127" i="11"/>
  <c r="BH63" i="11" s="1"/>
  <c r="AB92" i="11"/>
  <c r="AB108" i="11" s="1"/>
  <c r="AZ124" i="11"/>
  <c r="BI119" i="11"/>
  <c r="BI55" i="11" s="1"/>
  <c r="BD124" i="11"/>
  <c r="AZ146" i="11"/>
  <c r="BP119" i="11"/>
  <c r="BP55" i="11" s="1"/>
  <c r="BI127" i="11"/>
  <c r="BI63" i="11" s="1"/>
  <c r="AC12" i="11"/>
  <c r="AA60" i="11" s="1"/>
  <c r="BJ127" i="11"/>
  <c r="BJ63" i="11" s="1"/>
  <c r="BK132" i="11"/>
  <c r="BK68" i="11" s="1"/>
  <c r="BH122" i="11"/>
  <c r="BH58" i="11" s="1"/>
  <c r="BL132" i="11"/>
  <c r="BL68" i="11" s="1"/>
  <c r="BS132" i="11"/>
  <c r="BT132" i="11" s="1"/>
  <c r="BT68" i="11" s="1"/>
  <c r="BJ132" i="11"/>
  <c r="BJ68" i="11" s="1"/>
  <c r="BK122" i="11"/>
  <c r="BK58" i="11" s="1"/>
  <c r="BP132" i="11"/>
  <c r="BP68" i="11" s="1"/>
  <c r="BQ122" i="11"/>
  <c r="BQ58" i="11" s="1"/>
  <c r="BQ132" i="11"/>
  <c r="BQ68" i="11" s="1"/>
  <c r="BR132" i="11"/>
  <c r="BR68" i="11" s="1"/>
  <c r="BN132" i="11"/>
  <c r="BN68" i="11" s="1"/>
  <c r="BR122" i="11"/>
  <c r="BR58" i="11" s="1"/>
  <c r="BO132" i="11"/>
  <c r="BO68" i="11" s="1"/>
  <c r="BH132" i="11"/>
  <c r="BH68" i="11" s="1"/>
  <c r="W145" i="11"/>
  <c r="Y145" i="11" s="1"/>
  <c r="Y148" i="11" s="1"/>
  <c r="Y150" i="11" s="1"/>
  <c r="Y147" i="11" s="1"/>
  <c r="X101" i="11"/>
  <c r="BS125" i="11"/>
  <c r="BY125" i="11" s="1"/>
  <c r="BY61" i="11" s="1"/>
  <c r="BI125" i="11"/>
  <c r="BI61" i="11" s="1"/>
  <c r="BP125" i="11"/>
  <c r="BP61" i="11" s="1"/>
  <c r="BR125" i="11"/>
  <c r="BR61" i="11" s="1"/>
  <c r="BJ125" i="11"/>
  <c r="BJ61" i="11" s="1"/>
  <c r="BQ125" i="11"/>
  <c r="BQ61" i="11" s="1"/>
  <c r="BO125" i="11"/>
  <c r="BO61" i="11" s="1"/>
  <c r="BN125" i="11"/>
  <c r="BN61" i="11" s="1"/>
  <c r="BK125" i="11"/>
  <c r="BK61" i="11" s="1"/>
  <c r="BM125" i="11"/>
  <c r="BM61" i="11" s="1"/>
  <c r="BL125" i="11"/>
  <c r="BL61" i="11" s="1"/>
  <c r="BH125" i="11"/>
  <c r="BH61" i="11" s="1"/>
  <c r="BS129" i="11"/>
  <c r="BY129" i="11" s="1"/>
  <c r="BY65" i="11" s="1"/>
  <c r="BH129" i="11"/>
  <c r="BH65" i="11" s="1"/>
  <c r="BQ129" i="11"/>
  <c r="BQ65" i="11" s="1"/>
  <c r="BN129" i="11"/>
  <c r="BN65" i="11" s="1"/>
  <c r="BL129" i="11"/>
  <c r="BL65" i="11" s="1"/>
  <c r="BJ129" i="11"/>
  <c r="BJ65" i="11" s="1"/>
  <c r="BI129" i="11"/>
  <c r="BI65" i="11" s="1"/>
  <c r="BK129" i="11"/>
  <c r="BK65" i="11" s="1"/>
  <c r="BM129" i="11"/>
  <c r="BM65" i="11" s="1"/>
  <c r="BO129" i="11"/>
  <c r="BO65" i="11" s="1"/>
  <c r="BP129" i="11"/>
  <c r="BP65" i="11" s="1"/>
  <c r="BR129" i="11"/>
  <c r="BR65" i="11" s="1"/>
  <c r="S20" i="4"/>
  <c r="S21" i="4" s="1"/>
  <c r="AX146" i="11"/>
  <c r="BA146" i="11"/>
  <c r="BC146" i="11"/>
  <c r="BE146" i="11"/>
  <c r="BB146" i="11"/>
  <c r="AH145" i="11"/>
  <c r="P154" i="1"/>
  <c r="Q148" i="1"/>
  <c r="R148" i="1" s="1"/>
  <c r="P158" i="1"/>
  <c r="P155" i="1"/>
  <c r="P156" i="1"/>
  <c r="P157" i="1"/>
  <c r="U123" i="1"/>
  <c r="T125" i="1"/>
  <c r="T131" i="1"/>
  <c r="BY156" i="11"/>
  <c r="BZ2" i="11"/>
  <c r="T191" i="1"/>
  <c r="U189" i="1"/>
  <c r="BF146" i="11"/>
  <c r="AY146" i="11"/>
  <c r="S133" i="1"/>
  <c r="S132" i="1"/>
  <c r="AW146" i="11"/>
  <c r="S127" i="1"/>
  <c r="S129" i="1" s="1"/>
  <c r="S137" i="1"/>
  <c r="S142" i="1" s="1"/>
  <c r="S150" i="1" s="1"/>
  <c r="S126" i="1"/>
  <c r="Q168" i="1"/>
  <c r="P179" i="1"/>
  <c r="P200" i="1" s="1"/>
  <c r="P213" i="1" s="1"/>
  <c r="P181" i="1"/>
  <c r="P202" i="1" s="1"/>
  <c r="P214" i="1" s="1"/>
  <c r="AB13" i="11"/>
  <c r="Z61" i="11" s="1"/>
  <c r="Y101" i="11"/>
  <c r="T4" i="11"/>
  <c r="D18" i="4"/>
  <c r="G18" i="4" s="1"/>
  <c r="F18" i="4"/>
  <c r="C20" i="4"/>
  <c r="B21" i="4"/>
  <c r="BI4" i="11"/>
  <c r="BJ4" i="11" s="1"/>
  <c r="BK4" i="11" s="1"/>
  <c r="BL4" i="11" s="1"/>
  <c r="BM4" i="11" s="1"/>
  <c r="BN4" i="11" s="1"/>
  <c r="BO4" i="11" s="1"/>
  <c r="BP4" i="11" s="1"/>
  <c r="BQ4" i="11" s="1"/>
  <c r="BR4" i="11" s="1"/>
  <c r="BS4" i="11" s="1"/>
  <c r="BT4" i="11" s="1"/>
  <c r="AK11" i="13"/>
  <c r="F17" i="13"/>
  <c r="A31" i="13"/>
  <c r="F31" i="13"/>
  <c r="F37" i="13"/>
  <c r="A37" i="13"/>
  <c r="S66" i="1"/>
  <c r="T64" i="1"/>
  <c r="Y85" i="11"/>
  <c r="Z5" i="11"/>
  <c r="Z86" i="11"/>
  <c r="Z85" i="11" s="1"/>
  <c r="O132" i="1"/>
  <c r="O134" i="1" s="1"/>
  <c r="O135" i="1"/>
  <c r="AA144" i="11"/>
  <c r="AB142" i="11"/>
  <c r="AB15" i="11"/>
  <c r="Z63" i="11" s="1"/>
  <c r="AA95" i="11"/>
  <c r="AA111" i="11" s="1"/>
  <c r="AA99" i="11"/>
  <c r="AA115" i="11" s="1"/>
  <c r="AB7" i="11"/>
  <c r="Z55" i="11" s="1"/>
  <c r="AA87" i="11"/>
  <c r="AA103" i="11" s="1"/>
  <c r="AB97" i="11"/>
  <c r="AB113" i="11" s="1"/>
  <c r="AC17" i="11"/>
  <c r="AA65" i="11" s="1"/>
  <c r="AA94" i="11"/>
  <c r="AA110" i="11" s="1"/>
  <c r="AB14" i="11"/>
  <c r="Z62" i="11" s="1"/>
  <c r="AE143" i="11"/>
  <c r="AD149" i="11"/>
  <c r="AA90" i="11"/>
  <c r="AA106" i="11" s="1"/>
  <c r="AB10" i="11"/>
  <c r="Z58" i="11" s="1"/>
  <c r="AB99" i="11"/>
  <c r="AB115" i="11" s="1"/>
  <c r="AC19" i="11"/>
  <c r="AA67" i="11" s="1"/>
  <c r="AA100" i="11"/>
  <c r="AA116" i="11" s="1"/>
  <c r="AB20" i="11"/>
  <c r="Z68" i="11" s="1"/>
  <c r="BH55" i="11"/>
  <c r="AB98" i="11"/>
  <c r="AC18" i="11"/>
  <c r="AA66" i="11" s="1"/>
  <c r="BS121" i="11"/>
  <c r="BI121" i="11"/>
  <c r="BI57" i="11" s="1"/>
  <c r="BQ121" i="11"/>
  <c r="BL121" i="11"/>
  <c r="BL57" i="11" s="1"/>
  <c r="BK121" i="11"/>
  <c r="BN121" i="11"/>
  <c r="BH121" i="11"/>
  <c r="BP121" i="11"/>
  <c r="BP57" i="11" s="1"/>
  <c r="BO121" i="11"/>
  <c r="BO57" i="11" s="1"/>
  <c r="BR121" i="11"/>
  <c r="BR57" i="11" s="1"/>
  <c r="BJ121" i="11"/>
  <c r="BJ57" i="11" s="1"/>
  <c r="BM121" i="11"/>
  <c r="BM57" i="11" s="1"/>
  <c r="AD11" i="11"/>
  <c r="AC91" i="11"/>
  <c r="V18" i="4"/>
  <c r="BV56" i="11"/>
  <c r="BN66" i="11"/>
  <c r="AA86" i="11"/>
  <c r="AB6" i="11"/>
  <c r="Z54" i="11" s="1"/>
  <c r="BY56" i="11"/>
  <c r="BJ124" i="11" l="1"/>
  <c r="BJ60" i="11" s="1"/>
  <c r="AB16" i="11"/>
  <c r="Z64" i="11" s="1"/>
  <c r="Y64" i="11"/>
  <c r="AA89" i="11"/>
  <c r="AA105" i="11" s="1"/>
  <c r="Y57" i="11"/>
  <c r="BT127" i="11"/>
  <c r="BT63" i="11" s="1"/>
  <c r="BV127" i="11"/>
  <c r="BV63" i="11" s="1"/>
  <c r="BL128" i="11"/>
  <c r="BL64" i="11" s="1"/>
  <c r="BY130" i="11"/>
  <c r="BY66" i="11" s="1"/>
  <c r="BQ128" i="11"/>
  <c r="BV123" i="11"/>
  <c r="BT130" i="11"/>
  <c r="BT66" i="11" s="1"/>
  <c r="BW127" i="11"/>
  <c r="BW63" i="11" s="1"/>
  <c r="BH118" i="11"/>
  <c r="BH54" i="11" s="1"/>
  <c r="BN146" i="11"/>
  <c r="BR146" i="11"/>
  <c r="BK118" i="11"/>
  <c r="BK54" i="11" s="1"/>
  <c r="BW130" i="11"/>
  <c r="BK128" i="11"/>
  <c r="BK64" i="11" s="1"/>
  <c r="BU127" i="11"/>
  <c r="BU63" i="11" s="1"/>
  <c r="BP146" i="11"/>
  <c r="BN128" i="11"/>
  <c r="BN64" i="11" s="1"/>
  <c r="BP118" i="11"/>
  <c r="BP54" i="11" s="1"/>
  <c r="BK146" i="11"/>
  <c r="BL118" i="11"/>
  <c r="BL54" i="11" s="1"/>
  <c r="BS118" i="11"/>
  <c r="BS66" i="11"/>
  <c r="BH146" i="11"/>
  <c r="BI118" i="11"/>
  <c r="BI54" i="11" s="1"/>
  <c r="BR118" i="11"/>
  <c r="BR54" i="11" s="1"/>
  <c r="BQ146" i="11"/>
  <c r="BX130" i="11"/>
  <c r="BX66" i="11" s="1"/>
  <c r="BJ128" i="11"/>
  <c r="BJ64" i="11" s="1"/>
  <c r="BU123" i="11"/>
  <c r="BU59" i="11" s="1"/>
  <c r="BJ146" i="11"/>
  <c r="BZ130" i="11"/>
  <c r="BZ66" i="11" s="1"/>
  <c r="BV130" i="11"/>
  <c r="BV66" i="11" s="1"/>
  <c r="BS128" i="11"/>
  <c r="CA128" i="11" s="1"/>
  <c r="CA64" i="11" s="1"/>
  <c r="BJ118" i="11"/>
  <c r="BJ54" i="11" s="1"/>
  <c r="BS59" i="11"/>
  <c r="BO146" i="11"/>
  <c r="BM146" i="11"/>
  <c r="BN118" i="11"/>
  <c r="BN54" i="11" s="1"/>
  <c r="BQ118" i="11"/>
  <c r="BQ54" i="11" s="1"/>
  <c r="BS146" i="11"/>
  <c r="BT146" i="11" s="1"/>
  <c r="BO118" i="11"/>
  <c r="BO54" i="11" s="1"/>
  <c r="BP128" i="11"/>
  <c r="BP64" i="11" s="1"/>
  <c r="BP53" i="11" s="1"/>
  <c r="BT123" i="11"/>
  <c r="BT59" i="11" s="1"/>
  <c r="BI146" i="11"/>
  <c r="BY126" i="11"/>
  <c r="BY62" i="11" s="1"/>
  <c r="BI124" i="11"/>
  <c r="BI60" i="11" s="1"/>
  <c r="BS55" i="11"/>
  <c r="AA96" i="11"/>
  <c r="AA112" i="11" s="1"/>
  <c r="BZ119" i="11"/>
  <c r="BZ55" i="11" s="1"/>
  <c r="BT119" i="11"/>
  <c r="BT55" i="11" s="1"/>
  <c r="BV119" i="11"/>
  <c r="BV55" i="11" s="1"/>
  <c r="BW131" i="11"/>
  <c r="BW67" i="11" s="1"/>
  <c r="BU131" i="11"/>
  <c r="BU67" i="11" s="1"/>
  <c r="BS67" i="11"/>
  <c r="BV131" i="11"/>
  <c r="BV67" i="11" s="1"/>
  <c r="T217" i="1"/>
  <c r="T220" i="1"/>
  <c r="T218" i="1"/>
  <c r="BR128" i="11"/>
  <c r="BR64" i="11" s="1"/>
  <c r="BM128" i="11"/>
  <c r="BM64" i="11" s="1"/>
  <c r="BY131" i="11"/>
  <c r="BY67" i="11" s="1"/>
  <c r="BX123" i="11"/>
  <c r="BX59" i="11" s="1"/>
  <c r="BS63" i="11"/>
  <c r="BO128" i="11"/>
  <c r="BO64" i="11" s="1"/>
  <c r="BX131" i="11"/>
  <c r="BX67" i="11" s="1"/>
  <c r="BY123" i="11"/>
  <c r="BY59" i="11" s="1"/>
  <c r="BY127" i="11"/>
  <c r="BY63" i="11" s="1"/>
  <c r="BS58" i="11"/>
  <c r="BH128" i="11"/>
  <c r="BH64" i="11" s="1"/>
  <c r="BT131" i="11"/>
  <c r="BT67" i="11" s="1"/>
  <c r="BQ124" i="11"/>
  <c r="BQ60" i="11" s="1"/>
  <c r="BR124" i="11"/>
  <c r="BR60" i="11" s="1"/>
  <c r="BS124" i="11"/>
  <c r="BY124" i="11" s="1"/>
  <c r="BY60" i="11" s="1"/>
  <c r="BY122" i="11"/>
  <c r="BY58" i="11" s="1"/>
  <c r="AD12" i="11"/>
  <c r="AB60" i="11" s="1"/>
  <c r="BO124" i="11"/>
  <c r="BO60" i="11" s="1"/>
  <c r="AC92" i="11"/>
  <c r="AC108" i="11" s="1"/>
  <c r="BK124" i="11"/>
  <c r="BK60" i="11" s="1"/>
  <c r="X158" i="11"/>
  <c r="BV126" i="11"/>
  <c r="BV62" i="11" s="1"/>
  <c r="BZ126" i="11"/>
  <c r="BZ62" i="11" s="1"/>
  <c r="BX119" i="11"/>
  <c r="BX55" i="11" s="1"/>
  <c r="BN124" i="11"/>
  <c r="BN60" i="11" s="1"/>
  <c r="BU126" i="11"/>
  <c r="BU62" i="11" s="1"/>
  <c r="T20" i="4"/>
  <c r="BY119" i="11"/>
  <c r="BY55" i="11" s="1"/>
  <c r="AC16" i="11"/>
  <c r="AA64" i="11" s="1"/>
  <c r="AB9" i="11"/>
  <c r="Z57" i="11" s="1"/>
  <c r="BW119" i="11"/>
  <c r="BW55" i="11" s="1"/>
  <c r="BH124" i="11"/>
  <c r="BH60" i="11" s="1"/>
  <c r="BX126" i="11"/>
  <c r="BX62" i="11" s="1"/>
  <c r="BT122" i="11"/>
  <c r="BT58" i="11" s="1"/>
  <c r="BS62" i="11"/>
  <c r="BW122" i="11"/>
  <c r="BW58" i="11" s="1"/>
  <c r="BT126" i="11"/>
  <c r="BT62" i="11" s="1"/>
  <c r="BL124" i="11"/>
  <c r="BL60" i="11" s="1"/>
  <c r="BX122" i="11"/>
  <c r="BX58" i="11" s="1"/>
  <c r="BU122" i="11"/>
  <c r="BU58" i="11" s="1"/>
  <c r="BM124" i="11"/>
  <c r="BM60" i="11" s="1"/>
  <c r="X145" i="11"/>
  <c r="X148" i="11" s="1"/>
  <c r="X150" i="11" s="1"/>
  <c r="X147" i="11" s="1"/>
  <c r="AB145" i="11"/>
  <c r="AB148" i="11" s="1"/>
  <c r="AB150" i="11" s="1"/>
  <c r="X134" i="11"/>
  <c r="AA88" i="11"/>
  <c r="AA104" i="11" s="1"/>
  <c r="AB8" i="11"/>
  <c r="AB5" i="11" s="1"/>
  <c r="Z145" i="11"/>
  <c r="Z148" i="11" s="1"/>
  <c r="Z150" i="11" s="1"/>
  <c r="Z147" i="11" s="1"/>
  <c r="BY132" i="11"/>
  <c r="BY68" i="11" s="1"/>
  <c r="AB96" i="11"/>
  <c r="AB112" i="11" s="1"/>
  <c r="BU132" i="11"/>
  <c r="BU68" i="11" s="1"/>
  <c r="AA5" i="11"/>
  <c r="X117" i="11"/>
  <c r="X157" i="11" s="1"/>
  <c r="Y157" i="11" s="1"/>
  <c r="Z157" i="11" s="1"/>
  <c r="AA157" i="11" s="1"/>
  <c r="AB157" i="11" s="1"/>
  <c r="AC157" i="11" s="1"/>
  <c r="AD157" i="11" s="1"/>
  <c r="AE157" i="11" s="1"/>
  <c r="AF157" i="11" s="1"/>
  <c r="AG157" i="11" s="1"/>
  <c r="AH157" i="11" s="1"/>
  <c r="AI157" i="11" s="1"/>
  <c r="AJ157" i="11" s="1"/>
  <c r="AC145" i="11"/>
  <c r="Y117" i="11"/>
  <c r="AG145" i="11"/>
  <c r="W148" i="11"/>
  <c r="W150" i="11" s="1"/>
  <c r="BS68" i="11"/>
  <c r="BW132" i="11"/>
  <c r="BW68" i="11" s="1"/>
  <c r="BX132" i="11"/>
  <c r="BX68" i="11" s="1"/>
  <c r="AC13" i="11"/>
  <c r="AA61" i="11" s="1"/>
  <c r="AE145" i="11"/>
  <c r="BV132" i="11"/>
  <c r="BV68" i="11" s="1"/>
  <c r="AA145" i="11"/>
  <c r="AA148" i="11" s="1"/>
  <c r="AA150" i="11" s="1"/>
  <c r="AA147" i="11" s="1"/>
  <c r="Y134" i="11"/>
  <c r="AB93" i="11"/>
  <c r="AB109" i="11" s="1"/>
  <c r="AF145" i="11"/>
  <c r="AI145" i="11"/>
  <c r="AL145" i="11" s="1"/>
  <c r="AD145" i="11"/>
  <c r="BZ127" i="11"/>
  <c r="BZ63" i="11" s="1"/>
  <c r="BZ123" i="11"/>
  <c r="BZ59" i="11" s="1"/>
  <c r="BZ122" i="11"/>
  <c r="BZ58" i="11" s="1"/>
  <c r="BU129" i="11"/>
  <c r="BU65" i="11" s="1"/>
  <c r="BT129" i="11"/>
  <c r="BT65" i="11" s="1"/>
  <c r="BW129" i="11"/>
  <c r="BW65" i="11" s="1"/>
  <c r="BV129" i="11"/>
  <c r="BV65" i="11" s="1"/>
  <c r="BS65" i="11"/>
  <c r="BX129" i="11"/>
  <c r="BX65" i="11" s="1"/>
  <c r="BV125" i="11"/>
  <c r="BV61" i="11" s="1"/>
  <c r="BU125" i="11"/>
  <c r="BU61" i="11" s="1"/>
  <c r="BW125" i="11"/>
  <c r="BW61" i="11" s="1"/>
  <c r="BS61" i="11"/>
  <c r="BT125" i="11"/>
  <c r="BT61" i="11" s="1"/>
  <c r="BX125" i="11"/>
  <c r="BX61" i="11" s="1"/>
  <c r="S134" i="1"/>
  <c r="T130" i="1"/>
  <c r="R168" i="1"/>
  <c r="Q179" i="1"/>
  <c r="U218" i="1"/>
  <c r="V210" i="1"/>
  <c r="U220" i="1"/>
  <c r="U217" i="1"/>
  <c r="S128" i="1"/>
  <c r="S138" i="1"/>
  <c r="U191" i="1"/>
  <c r="V189" i="1"/>
  <c r="V191" i="1" s="1"/>
  <c r="S151" i="1"/>
  <c r="S216" i="1" s="1"/>
  <c r="T132" i="1"/>
  <c r="T133" i="1"/>
  <c r="T135" i="1" s="1"/>
  <c r="R154" i="1"/>
  <c r="R155" i="1" s="1"/>
  <c r="S148" i="1"/>
  <c r="R157" i="1"/>
  <c r="T127" i="1"/>
  <c r="T137" i="1"/>
  <c r="T142" i="1" s="1"/>
  <c r="T150" i="1" s="1"/>
  <c r="T126" i="1"/>
  <c r="P159" i="1"/>
  <c r="P163" i="1" s="1"/>
  <c r="BZ156" i="11"/>
  <c r="CA2" i="11"/>
  <c r="BZ125" i="11"/>
  <c r="BZ61" i="11" s="1"/>
  <c r="BZ129" i="11"/>
  <c r="BZ65" i="11" s="1"/>
  <c r="BZ120" i="11"/>
  <c r="BZ56" i="11" s="1"/>
  <c r="BZ132" i="11"/>
  <c r="BZ68" i="11" s="1"/>
  <c r="V123" i="1"/>
  <c r="U125" i="1"/>
  <c r="U131" i="1"/>
  <c r="S139" i="1"/>
  <c r="S135" i="1"/>
  <c r="S141" i="1" s="1"/>
  <c r="U4" i="11"/>
  <c r="S22" i="4"/>
  <c r="T21" i="4"/>
  <c r="H18" i="4"/>
  <c r="I18" i="4"/>
  <c r="BU4" i="11"/>
  <c r="BV4" i="11" s="1"/>
  <c r="BW4" i="11" s="1"/>
  <c r="BX4" i="11" s="1"/>
  <c r="BY4" i="11" s="1"/>
  <c r="BZ4" i="11" s="1"/>
  <c r="CA4" i="11" s="1"/>
  <c r="CB4" i="11" s="1"/>
  <c r="CC4" i="11" s="1"/>
  <c r="CD4" i="11" s="1"/>
  <c r="CE4" i="11" s="1"/>
  <c r="C21" i="4"/>
  <c r="B22" i="4"/>
  <c r="CA146" i="11"/>
  <c r="U64" i="1"/>
  <c r="T66" i="1"/>
  <c r="Z102" i="11"/>
  <c r="Z101" i="11" s="1"/>
  <c r="P131" i="1"/>
  <c r="O154" i="1" s="1"/>
  <c r="AB144" i="11"/>
  <c r="AC142" i="11"/>
  <c r="AB95" i="11"/>
  <c r="AB111" i="11" s="1"/>
  <c r="AC15" i="11"/>
  <c r="AA63" i="11" s="1"/>
  <c r="AB87" i="11"/>
  <c r="AB103" i="11" s="1"/>
  <c r="AC7" i="11"/>
  <c r="AA55" i="11" s="1"/>
  <c r="AC99" i="11"/>
  <c r="AC115" i="11" s="1"/>
  <c r="AD19" i="11"/>
  <c r="AB67" i="11" s="1"/>
  <c r="AC14" i="11"/>
  <c r="AA62" i="11" s="1"/>
  <c r="AB94" i="11"/>
  <c r="AB110" i="11" s="1"/>
  <c r="AC97" i="11"/>
  <c r="AC113" i="11" s="1"/>
  <c r="AD17" i="11"/>
  <c r="AB65" i="11" s="1"/>
  <c r="AB100" i="11"/>
  <c r="AB116" i="11" s="1"/>
  <c r="AC20" i="11"/>
  <c r="AA68" i="11" s="1"/>
  <c r="AB90" i="11"/>
  <c r="AB106" i="11" s="1"/>
  <c r="AC10" i="11"/>
  <c r="AA58" i="11" s="1"/>
  <c r="AF143" i="11"/>
  <c r="AE149" i="11"/>
  <c r="AC107" i="11"/>
  <c r="BZ121" i="11"/>
  <c r="BW121" i="11"/>
  <c r="BU121" i="11"/>
  <c r="BS57" i="11"/>
  <c r="BY121" i="11"/>
  <c r="BY57" i="11" s="1"/>
  <c r="BT121" i="11"/>
  <c r="BT57" i="11" s="1"/>
  <c r="BV121" i="11"/>
  <c r="BV57" i="11" s="1"/>
  <c r="CA121" i="11"/>
  <c r="CA57" i="11" s="1"/>
  <c r="BX121" i="11"/>
  <c r="BX57" i="11" s="1"/>
  <c r="AE11" i="11"/>
  <c r="AD91" i="11"/>
  <c r="AD107" i="11" s="1"/>
  <c r="AB59" i="11"/>
  <c r="BH57" i="11"/>
  <c r="BN57" i="11"/>
  <c r="BK57" i="11"/>
  <c r="BQ64" i="11"/>
  <c r="AC98" i="11"/>
  <c r="AC114" i="11" s="1"/>
  <c r="AD18" i="11"/>
  <c r="BZ118" i="11"/>
  <c r="BZ54" i="11" s="1"/>
  <c r="BW118" i="11"/>
  <c r="BW54" i="11" s="1"/>
  <c r="BU118" i="11"/>
  <c r="BU54" i="11" s="1"/>
  <c r="BY118" i="11"/>
  <c r="BY54" i="11" s="1"/>
  <c r="CA118" i="11"/>
  <c r="CA54" i="11" s="1"/>
  <c r="BT118" i="11"/>
  <c r="BT54" i="11" s="1"/>
  <c r="BS54" i="11"/>
  <c r="BV118" i="11"/>
  <c r="BV54" i="11" s="1"/>
  <c r="BX118" i="11"/>
  <c r="BX54" i="11" s="1"/>
  <c r="BQ57" i="11"/>
  <c r="AB114" i="11"/>
  <c r="BV59" i="11"/>
  <c r="AA102" i="11"/>
  <c r="BW66" i="11"/>
  <c r="BU66" i="11"/>
  <c r="AC6" i="11"/>
  <c r="AA54" i="11" s="1"/>
  <c r="AB86" i="11"/>
  <c r="W18" i="4"/>
  <c r="U18" i="4"/>
  <c r="X18" i="4" s="1"/>
  <c r="Y53" i="11" l="1"/>
  <c r="Y158" i="11" s="1"/>
  <c r="BZ128" i="11"/>
  <c r="BZ64" i="11" s="1"/>
  <c r="BI53" i="11"/>
  <c r="BS64" i="11"/>
  <c r="BY128" i="11"/>
  <c r="BY64" i="11" s="1"/>
  <c r="BY53" i="11" s="1"/>
  <c r="BV146" i="11"/>
  <c r="BW146" i="11"/>
  <c r="BJ53" i="11"/>
  <c r="BL53" i="11"/>
  <c r="BU128" i="11"/>
  <c r="BU64" i="11" s="1"/>
  <c r="CA124" i="11"/>
  <c r="CA60" i="11" s="1"/>
  <c r="BU146" i="11"/>
  <c r="BX128" i="11"/>
  <c r="BX64" i="11" s="1"/>
  <c r="BV128" i="11"/>
  <c r="BV64" i="11" s="1"/>
  <c r="BT124" i="11"/>
  <c r="BT60" i="11" s="1"/>
  <c r="BZ146" i="11"/>
  <c r="BT128" i="11"/>
  <c r="BT64" i="11" s="1"/>
  <c r="BW128" i="11"/>
  <c r="BW64" i="11" s="1"/>
  <c r="BY146" i="11"/>
  <c r="BX146" i="11"/>
  <c r="AC9" i="11"/>
  <c r="AA57" i="11" s="1"/>
  <c r="BM53" i="11"/>
  <c r="BN53" i="11"/>
  <c r="AE12" i="11"/>
  <c r="AC60" i="11" s="1"/>
  <c r="BR53" i="11"/>
  <c r="AD92" i="11"/>
  <c r="AD108" i="11" s="1"/>
  <c r="AB89" i="11"/>
  <c r="AB105" i="11" s="1"/>
  <c r="BW124" i="11"/>
  <c r="BW60" i="11" s="1"/>
  <c r="BZ124" i="11"/>
  <c r="BZ60" i="11" s="1"/>
  <c r="BX124" i="11"/>
  <c r="BX60" i="11" s="1"/>
  <c r="BV124" i="11"/>
  <c r="BV60" i="11" s="1"/>
  <c r="BS60" i="11"/>
  <c r="BS53" i="11" s="1"/>
  <c r="BU124" i="11"/>
  <c r="BU60" i="11" s="1"/>
  <c r="BO53" i="11"/>
  <c r="BK53" i="11"/>
  <c r="AD16" i="11"/>
  <c r="AB64" i="11" s="1"/>
  <c r="AA85" i="11"/>
  <c r="AA101" i="11"/>
  <c r="AC96" i="11"/>
  <c r="AC112" i="11" s="1"/>
  <c r="AC93" i="11"/>
  <c r="AC109" i="11" s="1"/>
  <c r="AR145" i="11"/>
  <c r="Z56" i="11"/>
  <c r="Z53" i="11" s="1"/>
  <c r="Z158" i="11" s="1"/>
  <c r="AB88" i="11"/>
  <c r="AB104" i="11" s="1"/>
  <c r="AC8" i="11"/>
  <c r="AD13" i="11"/>
  <c r="AB61" i="11" s="1"/>
  <c r="AS145" i="11"/>
  <c r="AM145" i="11"/>
  <c r="AN145" i="11"/>
  <c r="AU145" i="11"/>
  <c r="BA145" i="11" s="1"/>
  <c r="AK145" i="11"/>
  <c r="AJ145" i="11"/>
  <c r="AP145" i="11"/>
  <c r="AQ145" i="11"/>
  <c r="AO145" i="11"/>
  <c r="AT145" i="11"/>
  <c r="S152" i="1"/>
  <c r="S171" i="1" s="1"/>
  <c r="O158" i="1"/>
  <c r="O217" i="1" s="1"/>
  <c r="O155" i="1"/>
  <c r="R158" i="1"/>
  <c r="R218" i="1" s="1"/>
  <c r="S140" i="1"/>
  <c r="CA156" i="11"/>
  <c r="CB2" i="11"/>
  <c r="CA129" i="11"/>
  <c r="CA65" i="11" s="1"/>
  <c r="CA125" i="11"/>
  <c r="CA61" i="11" s="1"/>
  <c r="CA120" i="11"/>
  <c r="CA56" i="11" s="1"/>
  <c r="CA132" i="11"/>
  <c r="CA68" i="11" s="1"/>
  <c r="CA127" i="11"/>
  <c r="CA63" i="11" s="1"/>
  <c r="CA123" i="11"/>
  <c r="CA59" i="11" s="1"/>
  <c r="CA126" i="11"/>
  <c r="CA62" i="11" s="1"/>
  <c r="CA131" i="11"/>
  <c r="CA67" i="11" s="1"/>
  <c r="CA130" i="11"/>
  <c r="CA66" i="11" s="1"/>
  <c r="CA122" i="11"/>
  <c r="CA58" i="11" s="1"/>
  <c r="CA119" i="11"/>
  <c r="CA55" i="11" s="1"/>
  <c r="U132" i="1"/>
  <c r="U133" i="1"/>
  <c r="U126" i="1"/>
  <c r="U137" i="1"/>
  <c r="U142" i="1" s="1"/>
  <c r="U150" i="1" s="1"/>
  <c r="U127" i="1"/>
  <c r="U129" i="1" s="1"/>
  <c r="T134" i="1"/>
  <c r="V218" i="1"/>
  <c r="V217" i="1"/>
  <c r="V220" i="1"/>
  <c r="V125" i="1"/>
  <c r="V131" i="1"/>
  <c r="T128" i="1"/>
  <c r="T138" i="1"/>
  <c r="Q200" i="1"/>
  <c r="T151" i="1"/>
  <c r="T216" i="1" s="1"/>
  <c r="R179" i="1"/>
  <c r="S168" i="1"/>
  <c r="S145" i="1"/>
  <c r="S144" i="1"/>
  <c r="T129" i="1"/>
  <c r="U130" i="1" s="1"/>
  <c r="T139" i="1"/>
  <c r="T148" i="1"/>
  <c r="S155" i="1"/>
  <c r="S158" i="1"/>
  <c r="S154" i="1"/>
  <c r="S157" i="1"/>
  <c r="S156" i="1"/>
  <c r="E19" i="4"/>
  <c r="C22" i="4"/>
  <c r="B23" i="4"/>
  <c r="T22" i="4"/>
  <c r="S23" i="4"/>
  <c r="AK157" i="11"/>
  <c r="U66" i="1"/>
  <c r="V64" i="1"/>
  <c r="AB147" i="11"/>
  <c r="AC148" i="11"/>
  <c r="AC150" i="11" s="1"/>
  <c r="AD142" i="11"/>
  <c r="AC144" i="11"/>
  <c r="BH53" i="11"/>
  <c r="BQ53" i="11"/>
  <c r="AC95" i="11"/>
  <c r="AC111" i="11" s="1"/>
  <c r="AD15" i="11"/>
  <c r="AB63" i="11" s="1"/>
  <c r="AD7" i="11"/>
  <c r="AC87" i="11"/>
  <c r="AC103" i="11" s="1"/>
  <c r="AC94" i="11"/>
  <c r="AC110" i="11" s="1"/>
  <c r="AD14" i="11"/>
  <c r="AB62" i="11" s="1"/>
  <c r="AD99" i="11"/>
  <c r="AD115" i="11" s="1"/>
  <c r="AE19" i="11"/>
  <c r="AC67" i="11" s="1"/>
  <c r="AG143" i="11"/>
  <c r="AF149" i="11"/>
  <c r="AD97" i="11"/>
  <c r="AD113" i="11" s="1"/>
  <c r="AE17" i="11"/>
  <c r="AC65" i="11" s="1"/>
  <c r="AC90" i="11"/>
  <c r="AC106" i="11" s="1"/>
  <c r="AD10" i="11"/>
  <c r="AB58" i="11" s="1"/>
  <c r="AD20" i="11"/>
  <c r="AB68" i="11" s="1"/>
  <c r="AC100" i="11"/>
  <c r="AC116" i="11" s="1"/>
  <c r="BW57" i="11"/>
  <c r="AE18" i="11"/>
  <c r="AD98" i="11"/>
  <c r="AD114" i="11" s="1"/>
  <c r="AB66" i="11"/>
  <c r="AE91" i="11"/>
  <c r="AE107" i="11" s="1"/>
  <c r="AF11" i="11"/>
  <c r="AC59" i="11"/>
  <c r="BZ57" i="11"/>
  <c r="BU57" i="11"/>
  <c r="AB102" i="11"/>
  <c r="Z117" i="11"/>
  <c r="Z134" i="11"/>
  <c r="Y18" i="4"/>
  <c r="Z18" i="4"/>
  <c r="AC86" i="11"/>
  <c r="AD6" i="11"/>
  <c r="AE13" i="11" l="1"/>
  <c r="BV53" i="11"/>
  <c r="BT53" i="11"/>
  <c r="AE92" i="11"/>
  <c r="AE108" i="11" s="1"/>
  <c r="AD9" i="11"/>
  <c r="BX53" i="11"/>
  <c r="AC89" i="11"/>
  <c r="AC105" i="11" s="1"/>
  <c r="AC5" i="11"/>
  <c r="AF12" i="11"/>
  <c r="AD60" i="11" s="1"/>
  <c r="AE16" i="11"/>
  <c r="AF16" i="11" s="1"/>
  <c r="AD96" i="11"/>
  <c r="AD112" i="11" s="1"/>
  <c r="AD93" i="11"/>
  <c r="AD109" i="11" s="1"/>
  <c r="BW53" i="11"/>
  <c r="BZ53" i="11"/>
  <c r="AA117" i="11"/>
  <c r="AA134" i="11"/>
  <c r="AB85" i="11"/>
  <c r="BG145" i="11"/>
  <c r="BO145" i="11" s="1"/>
  <c r="AW145" i="11"/>
  <c r="AX145" i="11"/>
  <c r="AA56" i="11"/>
  <c r="AA53" i="11" s="1"/>
  <c r="AA158" i="11" s="1"/>
  <c r="AC88" i="11"/>
  <c r="AC104" i="11" s="1"/>
  <c r="AD8" i="11"/>
  <c r="AV145" i="11"/>
  <c r="BD145" i="11"/>
  <c r="S192" i="1"/>
  <c r="S193" i="1" s="1"/>
  <c r="I217" i="1"/>
  <c r="N11" i="1" s="1"/>
  <c r="BF145" i="11"/>
  <c r="AZ145" i="11"/>
  <c r="V130" i="1"/>
  <c r="BC145" i="11"/>
  <c r="BB145" i="11"/>
  <c r="BE145" i="11"/>
  <c r="AY145" i="11"/>
  <c r="T152" i="1"/>
  <c r="T171" i="1" s="1"/>
  <c r="CA53" i="11"/>
  <c r="U139" i="1"/>
  <c r="T140" i="1"/>
  <c r="Q213" i="1"/>
  <c r="U135" i="1"/>
  <c r="U141" i="1" s="1"/>
  <c r="S170" i="1"/>
  <c r="S173" i="1" s="1"/>
  <c r="S179" i="1"/>
  <c r="S200" i="1" s="1"/>
  <c r="S213" i="1" s="1"/>
  <c r="S181" i="1"/>
  <c r="S202" i="1" s="1"/>
  <c r="S214" i="1" s="1"/>
  <c r="T168" i="1"/>
  <c r="T154" i="1"/>
  <c r="T157" i="1"/>
  <c r="T156" i="1"/>
  <c r="U148" i="1"/>
  <c r="T155" i="1"/>
  <c r="T158" i="1"/>
  <c r="R200" i="1"/>
  <c r="R213" i="1" s="1"/>
  <c r="U134" i="1"/>
  <c r="V132" i="1"/>
  <c r="V133" i="1"/>
  <c r="V135" i="1" s="1"/>
  <c r="CB156" i="11"/>
  <c r="CC2" i="11"/>
  <c r="CB125" i="11"/>
  <c r="CB61" i="11" s="1"/>
  <c r="CB129" i="11"/>
  <c r="CB65" i="11" s="1"/>
  <c r="CB120" i="11"/>
  <c r="CB56" i="11" s="1"/>
  <c r="CB132" i="11"/>
  <c r="CB68" i="11" s="1"/>
  <c r="CB122" i="11"/>
  <c r="CB58" i="11" s="1"/>
  <c r="CB131" i="11"/>
  <c r="CB67" i="11" s="1"/>
  <c r="CB127" i="11"/>
  <c r="CB63" i="11" s="1"/>
  <c r="CB130" i="11"/>
  <c r="CB66" i="11" s="1"/>
  <c r="CB126" i="11"/>
  <c r="CB62" i="11" s="1"/>
  <c r="CB119" i="11"/>
  <c r="CB55" i="11" s="1"/>
  <c r="CB123" i="11"/>
  <c r="CB59" i="11" s="1"/>
  <c r="CB124" i="11"/>
  <c r="CB60" i="11" s="1"/>
  <c r="CB146" i="11"/>
  <c r="CB118" i="11"/>
  <c r="CB54" i="11" s="1"/>
  <c r="CB121" i="11"/>
  <c r="CB57" i="11" s="1"/>
  <c r="CB128" i="11"/>
  <c r="CB64" i="11" s="1"/>
  <c r="V126" i="1"/>
  <c r="V127" i="1"/>
  <c r="V137" i="1"/>
  <c r="V142" i="1" s="1"/>
  <c r="V150" i="1" s="1"/>
  <c r="U151" i="1"/>
  <c r="U216" i="1" s="1"/>
  <c r="U138" i="1"/>
  <c r="U128" i="1"/>
  <c r="S159" i="1"/>
  <c r="S163" i="1" s="1"/>
  <c r="T141" i="1"/>
  <c r="T23" i="4"/>
  <c r="S24" i="4"/>
  <c r="B24" i="4"/>
  <c r="C23" i="4"/>
  <c r="D19" i="4"/>
  <c r="G19" i="4" s="1"/>
  <c r="F19" i="4"/>
  <c r="V66" i="1"/>
  <c r="AL157" i="11"/>
  <c r="AC147" i="11"/>
  <c r="AE142" i="11"/>
  <c r="AD144" i="11"/>
  <c r="AD148" i="11"/>
  <c r="AD150" i="11" s="1"/>
  <c r="AD95" i="11"/>
  <c r="AD111" i="11" s="1"/>
  <c r="AE15" i="11"/>
  <c r="AC63" i="11" s="1"/>
  <c r="AD89" i="11"/>
  <c r="AD105" i="11" s="1"/>
  <c r="AB57" i="11"/>
  <c r="AE9" i="11"/>
  <c r="AD87" i="11"/>
  <c r="AD103" i="11" s="1"/>
  <c r="AB55" i="11"/>
  <c r="AE7" i="11"/>
  <c r="AE20" i="11"/>
  <c r="AC68" i="11" s="1"/>
  <c r="AD100" i="11"/>
  <c r="AD116" i="11" s="1"/>
  <c r="AD90" i="11"/>
  <c r="AE10" i="11"/>
  <c r="AC58" i="11" s="1"/>
  <c r="AD94" i="11"/>
  <c r="AD110" i="11" s="1"/>
  <c r="AE14" i="11"/>
  <c r="AC62" i="11" s="1"/>
  <c r="AH143" i="11"/>
  <c r="AG149" i="11"/>
  <c r="AE99" i="11"/>
  <c r="AF19" i="11"/>
  <c r="AD67" i="11" s="1"/>
  <c r="AE97" i="11"/>
  <c r="AE113" i="11" s="1"/>
  <c r="AF17" i="11"/>
  <c r="AD65" i="11" s="1"/>
  <c r="BU53" i="11"/>
  <c r="AG11" i="11"/>
  <c r="AD59" i="11"/>
  <c r="AF91" i="11"/>
  <c r="AF107" i="11" s="1"/>
  <c r="AF13" i="11"/>
  <c r="AE93" i="11"/>
  <c r="AE109" i="11" s="1"/>
  <c r="AC61" i="11"/>
  <c r="AE98" i="11"/>
  <c r="AF18" i="11"/>
  <c r="AC66" i="11"/>
  <c r="AB101" i="11"/>
  <c r="AB54" i="11"/>
  <c r="AD86" i="11"/>
  <c r="AE6" i="11"/>
  <c r="AC102" i="11"/>
  <c r="V19" i="4"/>
  <c r="AG12" i="11" l="1"/>
  <c r="AE60" i="11" s="1"/>
  <c r="AD5" i="11"/>
  <c r="AF92" i="11"/>
  <c r="AF108" i="11" s="1"/>
  <c r="AE96" i="11"/>
  <c r="BN145" i="11"/>
  <c r="BJ145" i="11"/>
  <c r="BH145" i="11"/>
  <c r="AC64" i="11"/>
  <c r="BM145" i="11"/>
  <c r="BS145" i="11"/>
  <c r="CB145" i="11" s="1"/>
  <c r="BR145" i="11"/>
  <c r="BP145" i="11"/>
  <c r="BK145" i="11"/>
  <c r="BL145" i="11"/>
  <c r="BQ145" i="11"/>
  <c r="BI145" i="11"/>
  <c r="AC85" i="11"/>
  <c r="AC101" i="11"/>
  <c r="AC134" i="11" s="1"/>
  <c r="AE8" i="11"/>
  <c r="AE5" i="11" s="1"/>
  <c r="AD88" i="11"/>
  <c r="AD104" i="11" s="1"/>
  <c r="AB56" i="11"/>
  <c r="AB53" i="11" s="1"/>
  <c r="AB158" i="11" s="1"/>
  <c r="T192" i="1"/>
  <c r="T193" i="1" s="1"/>
  <c r="U152" i="1"/>
  <c r="U171" i="1" s="1"/>
  <c r="V134" i="1"/>
  <c r="CC156" i="11"/>
  <c r="CD2" i="11"/>
  <c r="CC125" i="11"/>
  <c r="CC61" i="11" s="1"/>
  <c r="CC129" i="11"/>
  <c r="CC65" i="11" s="1"/>
  <c r="CC120" i="11"/>
  <c r="CC56" i="11" s="1"/>
  <c r="CC126" i="11"/>
  <c r="CC62" i="11" s="1"/>
  <c r="CC132" i="11"/>
  <c r="CC68" i="11" s="1"/>
  <c r="CC127" i="11"/>
  <c r="CC63" i="11" s="1"/>
  <c r="CC130" i="11"/>
  <c r="CC66" i="11" s="1"/>
  <c r="CC119" i="11"/>
  <c r="CC55" i="11" s="1"/>
  <c r="CC131" i="11"/>
  <c r="CC67" i="11" s="1"/>
  <c r="CC122" i="11"/>
  <c r="CC58" i="11" s="1"/>
  <c r="CC123" i="11"/>
  <c r="CC59" i="11" s="1"/>
  <c r="CC124" i="11"/>
  <c r="CC60" i="11" s="1"/>
  <c r="CC146" i="11"/>
  <c r="CC121" i="11"/>
  <c r="CC57" i="11" s="1"/>
  <c r="CC118" i="11"/>
  <c r="CC54" i="11" s="1"/>
  <c r="CC128" i="11"/>
  <c r="CC64" i="11" s="1"/>
  <c r="U155" i="1"/>
  <c r="V148" i="1"/>
  <c r="U158" i="1"/>
  <c r="U154" i="1"/>
  <c r="U156" i="1"/>
  <c r="U157" i="1"/>
  <c r="T145" i="1"/>
  <c r="T144" i="1"/>
  <c r="S194" i="1"/>
  <c r="S195" i="1" s="1"/>
  <c r="V151" i="1"/>
  <c r="V216" i="1" s="1"/>
  <c r="CB53" i="11"/>
  <c r="U140" i="1"/>
  <c r="T159" i="1"/>
  <c r="T163" i="1" s="1"/>
  <c r="V129" i="1"/>
  <c r="V141" i="1" s="1"/>
  <c r="V139" i="1"/>
  <c r="V128" i="1"/>
  <c r="V138" i="1"/>
  <c r="BV145" i="11"/>
  <c r="BU145" i="11"/>
  <c r="S174" i="1"/>
  <c r="U145" i="1"/>
  <c r="U144" i="1"/>
  <c r="S172" i="1"/>
  <c r="T181" i="1"/>
  <c r="T202" i="1" s="1"/>
  <c r="T214" i="1" s="1"/>
  <c r="T170" i="1"/>
  <c r="T179" i="1"/>
  <c r="U168" i="1"/>
  <c r="B25" i="4"/>
  <c r="C24" i="4"/>
  <c r="T24" i="4"/>
  <c r="S25" i="4"/>
  <c r="H19" i="4"/>
  <c r="I19" i="4"/>
  <c r="AM157" i="11"/>
  <c r="AD147" i="11"/>
  <c r="AF142" i="11"/>
  <c r="AE148" i="11"/>
  <c r="AE150" i="11" s="1"/>
  <c r="AE144" i="11"/>
  <c r="AF15" i="11"/>
  <c r="AD63" i="11" s="1"/>
  <c r="AE95" i="11"/>
  <c r="AE111" i="11" s="1"/>
  <c r="AC55" i="11"/>
  <c r="AF7" i="11"/>
  <c r="AE87" i="11"/>
  <c r="AE103" i="11" s="1"/>
  <c r="AF9" i="11"/>
  <c r="AC57" i="11"/>
  <c r="AE89" i="11"/>
  <c r="AE105" i="11" s="1"/>
  <c r="AE115" i="11"/>
  <c r="AE100" i="11"/>
  <c r="AE116" i="11" s="1"/>
  <c r="AF20" i="11"/>
  <c r="AD68" i="11" s="1"/>
  <c r="AI143" i="11"/>
  <c r="AH149" i="11"/>
  <c r="AF14" i="11"/>
  <c r="AD62" i="11" s="1"/>
  <c r="AE94" i="11"/>
  <c r="AE110" i="11" s="1"/>
  <c r="AE90" i="11"/>
  <c r="AE106" i="11" s="1"/>
  <c r="AF10" i="11"/>
  <c r="AD58" i="11" s="1"/>
  <c r="AG92" i="11"/>
  <c r="AH12" i="11"/>
  <c r="AF60" i="11" s="1"/>
  <c r="AG17" i="11"/>
  <c r="AE65" i="11" s="1"/>
  <c r="AF97" i="11"/>
  <c r="AD106" i="11"/>
  <c r="AF99" i="11"/>
  <c r="AF115" i="11" s="1"/>
  <c r="AG19" i="11"/>
  <c r="AE67" i="11" s="1"/>
  <c r="AF96" i="11"/>
  <c r="AF112" i="11" s="1"/>
  <c r="AG16" i="11"/>
  <c r="AD64" i="11"/>
  <c r="AD61" i="11"/>
  <c r="AF93" i="11"/>
  <c r="AF109" i="11" s="1"/>
  <c r="AG13" i="11"/>
  <c r="AE112" i="11"/>
  <c r="AG18" i="11"/>
  <c r="AF98" i="11"/>
  <c r="AF114" i="11" s="1"/>
  <c r="AD66" i="11"/>
  <c r="AE114" i="11"/>
  <c r="AH11" i="11"/>
  <c r="AG91" i="11"/>
  <c r="AG107" i="11" s="1"/>
  <c r="AE59" i="11"/>
  <c r="AD102" i="11"/>
  <c r="AC54" i="11"/>
  <c r="AE86" i="11"/>
  <c r="AF6" i="11"/>
  <c r="U19" i="4"/>
  <c r="X19" i="4" s="1"/>
  <c r="W19" i="4"/>
  <c r="AB117" i="11"/>
  <c r="AB134" i="11"/>
  <c r="BW145" i="11" l="1"/>
  <c r="AC117" i="11"/>
  <c r="CA145" i="11"/>
  <c r="BZ145" i="11"/>
  <c r="CC145" i="11"/>
  <c r="BY145" i="11"/>
  <c r="BX145" i="11"/>
  <c r="BT145" i="11"/>
  <c r="AD85" i="11"/>
  <c r="U192" i="1"/>
  <c r="U193" i="1" s="1"/>
  <c r="AE88" i="11"/>
  <c r="AE104" i="11" s="1"/>
  <c r="AF8" i="11"/>
  <c r="AF5" i="11" s="1"/>
  <c r="AC56" i="11"/>
  <c r="AC53" i="11" s="1"/>
  <c r="AC158" i="11" s="1"/>
  <c r="V152" i="1"/>
  <c r="V171" i="1" s="1"/>
  <c r="S212" i="1"/>
  <c r="S219" i="1" s="1"/>
  <c r="S221" i="1" s="1"/>
  <c r="S222" i="1" s="1"/>
  <c r="V140" i="1"/>
  <c r="V155" i="1"/>
  <c r="V157" i="1"/>
  <c r="V154" i="1"/>
  <c r="V158" i="1"/>
  <c r="V156" i="1"/>
  <c r="CC53" i="11"/>
  <c r="CD156" i="11"/>
  <c r="CE2" i="11"/>
  <c r="CD129" i="11"/>
  <c r="CD65" i="11" s="1"/>
  <c r="CD125" i="11"/>
  <c r="CD61" i="11" s="1"/>
  <c r="CD120" i="11"/>
  <c r="CD56" i="11" s="1"/>
  <c r="CD131" i="11"/>
  <c r="CD67" i="11" s="1"/>
  <c r="CD126" i="11"/>
  <c r="CD62" i="11" s="1"/>
  <c r="CD119" i="11"/>
  <c r="CD55" i="11" s="1"/>
  <c r="CD127" i="11"/>
  <c r="CD63" i="11" s="1"/>
  <c r="CD132" i="11"/>
  <c r="CD68" i="11" s="1"/>
  <c r="CD130" i="11"/>
  <c r="CD66" i="11" s="1"/>
  <c r="CD122" i="11"/>
  <c r="CD58" i="11" s="1"/>
  <c r="CD123" i="11"/>
  <c r="CD59" i="11" s="1"/>
  <c r="CD146" i="11"/>
  <c r="CD124" i="11"/>
  <c r="CD60" i="11" s="1"/>
  <c r="CD118" i="11"/>
  <c r="CD54" i="11" s="1"/>
  <c r="CD128" i="11"/>
  <c r="CD64" i="11" s="1"/>
  <c r="CD145" i="11"/>
  <c r="CD121" i="11"/>
  <c r="CD57" i="11" s="1"/>
  <c r="U62" i="11"/>
  <c r="U56" i="11"/>
  <c r="U66" i="11"/>
  <c r="U63" i="11"/>
  <c r="U67" i="11"/>
  <c r="U59" i="11"/>
  <c r="U55" i="11"/>
  <c r="U68" i="11"/>
  <c r="U58" i="11"/>
  <c r="V145" i="1"/>
  <c r="V144" i="1"/>
  <c r="U179" i="1"/>
  <c r="U200" i="1" s="1"/>
  <c r="U213" i="1" s="1"/>
  <c r="V168" i="1"/>
  <c r="U170" i="1"/>
  <c r="U173" i="1" s="1"/>
  <c r="U174" i="1" s="1"/>
  <c r="U181" i="1"/>
  <c r="U202" i="1" s="1"/>
  <c r="U214" i="1" s="1"/>
  <c r="T200" i="1"/>
  <c r="T172" i="1"/>
  <c r="T173" i="1"/>
  <c r="U159" i="1"/>
  <c r="U163" i="1" s="1"/>
  <c r="B26" i="4"/>
  <c r="C25" i="4"/>
  <c r="S26" i="4"/>
  <c r="T25" i="4"/>
  <c r="E20" i="4"/>
  <c r="AN157" i="11"/>
  <c r="AE147" i="11"/>
  <c r="AF144" i="11"/>
  <c r="AG142" i="11"/>
  <c r="AF148" i="11"/>
  <c r="AF150" i="11" s="1"/>
  <c r="AF95" i="11"/>
  <c r="AF111" i="11" s="1"/>
  <c r="AG15" i="11"/>
  <c r="AE63" i="11" s="1"/>
  <c r="AD55" i="11"/>
  <c r="AF87" i="11"/>
  <c r="AF103" i="11" s="1"/>
  <c r="AG7" i="11"/>
  <c r="AF89" i="11"/>
  <c r="AF105" i="11" s="1"/>
  <c r="AD57" i="11"/>
  <c r="AG9" i="11"/>
  <c r="AH92" i="11"/>
  <c r="AH108" i="11" s="1"/>
  <c r="AI12" i="11"/>
  <c r="AG60" i="11" s="1"/>
  <c r="AG108" i="11"/>
  <c r="AJ143" i="11"/>
  <c r="AI149" i="11"/>
  <c r="R143" i="11"/>
  <c r="R142" i="11" s="1"/>
  <c r="R144" i="11" s="1"/>
  <c r="AF90" i="11"/>
  <c r="AF106" i="11" s="1"/>
  <c r="AG10" i="11"/>
  <c r="AE58" i="11" s="1"/>
  <c r="AH19" i="11"/>
  <c r="AF67" i="11" s="1"/>
  <c r="AG99" i="11"/>
  <c r="AF94" i="11"/>
  <c r="AF110" i="11" s="1"/>
  <c r="AG14" i="11"/>
  <c r="AE62" i="11" s="1"/>
  <c r="AF113" i="11"/>
  <c r="AG20" i="11"/>
  <c r="AE68" i="11" s="1"/>
  <c r="AF100" i="11"/>
  <c r="AF116" i="11" s="1"/>
  <c r="AG97" i="11"/>
  <c r="AG113" i="11" s="1"/>
  <c r="AH17" i="11"/>
  <c r="AF65" i="11" s="1"/>
  <c r="AG93" i="11"/>
  <c r="AG109" i="11" s="1"/>
  <c r="AH13" i="11"/>
  <c r="AE61" i="11"/>
  <c r="AI11" i="11"/>
  <c r="AF59" i="11"/>
  <c r="AH91" i="11"/>
  <c r="AH107" i="11" s="1"/>
  <c r="AH16" i="11"/>
  <c r="AE64" i="11"/>
  <c r="AG96" i="11"/>
  <c r="AG98" i="11"/>
  <c r="AH18" i="11"/>
  <c r="AE66" i="11"/>
  <c r="AD101" i="11"/>
  <c r="Y19" i="4"/>
  <c r="Z19" i="4"/>
  <c r="AE102" i="11"/>
  <c r="AE101" i="11" s="1"/>
  <c r="AE85" i="11"/>
  <c r="AF86" i="11"/>
  <c r="AD54" i="11"/>
  <c r="AG6" i="11"/>
  <c r="V192" i="1" l="1"/>
  <c r="V193" i="1" s="1"/>
  <c r="AF88" i="11"/>
  <c r="AF104" i="11" s="1"/>
  <c r="AG8" i="11"/>
  <c r="AD56" i="11"/>
  <c r="AD53" i="11" s="1"/>
  <c r="AD158" i="11" s="1"/>
  <c r="U172" i="1"/>
  <c r="V170" i="1"/>
  <c r="V181" i="1"/>
  <c r="V202" i="1" s="1"/>
  <c r="V214" i="1" s="1"/>
  <c r="V179" i="1"/>
  <c r="T194" i="1"/>
  <c r="T195" i="1" s="1"/>
  <c r="T174" i="1"/>
  <c r="CE156" i="11"/>
  <c r="CE125" i="11"/>
  <c r="CE61" i="11" s="1"/>
  <c r="V61" i="11" s="1"/>
  <c r="CE129" i="11"/>
  <c r="CE65" i="11" s="1"/>
  <c r="V65" i="11" s="1"/>
  <c r="CE120" i="11"/>
  <c r="CE56" i="11" s="1"/>
  <c r="V56" i="11" s="1"/>
  <c r="CE130" i="11"/>
  <c r="CE66" i="11" s="1"/>
  <c r="V66" i="11" s="1"/>
  <c r="CE122" i="11"/>
  <c r="CE58" i="11" s="1"/>
  <c r="V58" i="11" s="1"/>
  <c r="CE127" i="11"/>
  <c r="CE63" i="11" s="1"/>
  <c r="V63" i="11" s="1"/>
  <c r="CE132" i="11"/>
  <c r="CE68" i="11" s="1"/>
  <c r="V68" i="11" s="1"/>
  <c r="CE119" i="11"/>
  <c r="CE55" i="11" s="1"/>
  <c r="V55" i="11" s="1"/>
  <c r="CE131" i="11"/>
  <c r="CE67" i="11" s="1"/>
  <c r="V67" i="11" s="1"/>
  <c r="CE123" i="11"/>
  <c r="CE59" i="11" s="1"/>
  <c r="V59" i="11" s="1"/>
  <c r="CE126" i="11"/>
  <c r="CE62" i="11" s="1"/>
  <c r="V62" i="11" s="1"/>
  <c r="CE128" i="11"/>
  <c r="CE64" i="11" s="1"/>
  <c r="V64" i="11" s="1"/>
  <c r="CE121" i="11"/>
  <c r="CE57" i="11" s="1"/>
  <c r="V57" i="11" s="1"/>
  <c r="CE145" i="11"/>
  <c r="CE118" i="11"/>
  <c r="CE54" i="11" s="1"/>
  <c r="V54" i="11" s="1"/>
  <c r="CE146" i="11"/>
  <c r="CE124" i="11"/>
  <c r="CE60" i="11" s="1"/>
  <c r="V60" i="11" s="1"/>
  <c r="U57" i="11"/>
  <c r="U54" i="11"/>
  <c r="U64" i="11"/>
  <c r="V4" i="11"/>
  <c r="U61" i="11"/>
  <c r="U65" i="11"/>
  <c r="U60" i="11"/>
  <c r="CD53" i="11"/>
  <c r="T213" i="1"/>
  <c r="U194" i="1"/>
  <c r="U195" i="1" s="1"/>
  <c r="V159" i="1"/>
  <c r="V163" i="1" s="1"/>
  <c r="D20" i="4"/>
  <c r="G20" i="4" s="1"/>
  <c r="F20" i="4"/>
  <c r="S27" i="4"/>
  <c r="T26" i="4"/>
  <c r="B27" i="4"/>
  <c r="C26" i="4"/>
  <c r="AO157" i="11"/>
  <c r="AF147" i="11"/>
  <c r="R12" i="11"/>
  <c r="AH142" i="11"/>
  <c r="AG148" i="11"/>
  <c r="AG150" i="11" s="1"/>
  <c r="AG144" i="11"/>
  <c r="AG95" i="11"/>
  <c r="AG111" i="11" s="1"/>
  <c r="AH15" i="11"/>
  <c r="AF63" i="11" s="1"/>
  <c r="AE55" i="11"/>
  <c r="AG87" i="11"/>
  <c r="AG103" i="11" s="1"/>
  <c r="AH7" i="11"/>
  <c r="AH9" i="11"/>
  <c r="AE57" i="11"/>
  <c r="AG89" i="11"/>
  <c r="AG105" i="11" s="1"/>
  <c r="AG115" i="11"/>
  <c r="AH99" i="11"/>
  <c r="AH115" i="11" s="1"/>
  <c r="AI19" i="11"/>
  <c r="AG67" i="11" s="1"/>
  <c r="AK143" i="11"/>
  <c r="AJ149" i="11"/>
  <c r="AG100" i="11"/>
  <c r="AG116" i="11" s="1"/>
  <c r="AH20" i="11"/>
  <c r="AF68" i="11" s="1"/>
  <c r="AG94" i="11"/>
  <c r="AH14" i="11"/>
  <c r="AF62" i="11" s="1"/>
  <c r="AH97" i="11"/>
  <c r="AI17" i="11"/>
  <c r="AG65" i="11" s="1"/>
  <c r="AH10" i="11"/>
  <c r="AF58" i="11" s="1"/>
  <c r="AG90" i="11"/>
  <c r="AJ12" i="11"/>
  <c r="AH60" i="11" s="1"/>
  <c r="AI92" i="11"/>
  <c r="AG112" i="11"/>
  <c r="AI18" i="11"/>
  <c r="AF66" i="11"/>
  <c r="AH98" i="11"/>
  <c r="AH114" i="11" s="1"/>
  <c r="AI91" i="11"/>
  <c r="AI107" i="11" s="1"/>
  <c r="AJ11" i="11"/>
  <c r="AG59" i="11"/>
  <c r="AG114" i="11"/>
  <c r="AH96" i="11"/>
  <c r="AH112" i="11" s="1"/>
  <c r="AI16" i="11"/>
  <c r="AF64" i="11"/>
  <c r="AI13" i="11"/>
  <c r="R13" i="11" s="1"/>
  <c r="AH93" i="11"/>
  <c r="AH109" i="11" s="1"/>
  <c r="AF61" i="11"/>
  <c r="AE134" i="11"/>
  <c r="AE117" i="11"/>
  <c r="V20" i="4"/>
  <c r="AH6" i="11"/>
  <c r="AE54" i="11"/>
  <c r="AG86" i="11"/>
  <c r="AG5" i="11"/>
  <c r="AD117" i="11"/>
  <c r="AD134" i="11"/>
  <c r="AF102" i="11"/>
  <c r="AF101" i="11" s="1"/>
  <c r="AF85" i="11"/>
  <c r="AE56" i="11" l="1"/>
  <c r="AE53" i="11" s="1"/>
  <c r="AE158" i="11" s="1"/>
  <c r="AG88" i="11"/>
  <c r="AG104" i="11" s="1"/>
  <c r="AH8" i="11"/>
  <c r="AH5" i="11" s="1"/>
  <c r="V53" i="11"/>
  <c r="U53" i="11"/>
  <c r="P56" i="1" s="1"/>
  <c r="V200" i="1"/>
  <c r="V172" i="1"/>
  <c r="V173" i="1"/>
  <c r="CE53" i="11"/>
  <c r="U212" i="1"/>
  <c r="U219" i="1" s="1"/>
  <c r="U221" i="1" s="1"/>
  <c r="U222" i="1" s="1"/>
  <c r="T212" i="1"/>
  <c r="T219" i="1" s="1"/>
  <c r="T221" i="1" s="1"/>
  <c r="T222" i="1" s="1"/>
  <c r="B28" i="4"/>
  <c r="C27" i="4"/>
  <c r="S28" i="4"/>
  <c r="T27" i="4"/>
  <c r="H20" i="4"/>
  <c r="I20" i="4"/>
  <c r="AP157" i="11"/>
  <c r="AG147" i="11"/>
  <c r="AI142" i="11"/>
  <c r="AH144" i="11"/>
  <c r="AH148" i="11"/>
  <c r="AH150" i="11" s="1"/>
  <c r="AI15" i="11"/>
  <c r="AG63" i="11" s="1"/>
  <c r="AH95" i="11"/>
  <c r="R19" i="11"/>
  <c r="AF55" i="11"/>
  <c r="AH87" i="11"/>
  <c r="AH103" i="11" s="1"/>
  <c r="AI7" i="11"/>
  <c r="AH89" i="11"/>
  <c r="AI9" i="11"/>
  <c r="AF57" i="11"/>
  <c r="AH113" i="11"/>
  <c r="AI20" i="11"/>
  <c r="AG68" i="11" s="1"/>
  <c r="AH100" i="11"/>
  <c r="AH116" i="11" s="1"/>
  <c r="AI108" i="11"/>
  <c r="R92" i="11"/>
  <c r="AL143" i="11"/>
  <c r="AK149" i="11"/>
  <c r="AJ92" i="11"/>
  <c r="AJ108" i="11" s="1"/>
  <c r="AK12" i="11"/>
  <c r="AI97" i="11"/>
  <c r="AI113" i="11" s="1"/>
  <c r="AJ17" i="11"/>
  <c r="AH65" i="11" s="1"/>
  <c r="AG106" i="11"/>
  <c r="AI14" i="11"/>
  <c r="AG62" i="11" s="1"/>
  <c r="AH94" i="11"/>
  <c r="AH110" i="11" s="1"/>
  <c r="AI99" i="11"/>
  <c r="AJ19" i="11"/>
  <c r="AH67" i="11" s="1"/>
  <c r="AH90" i="11"/>
  <c r="AH106" i="11" s="1"/>
  <c r="AI10" i="11"/>
  <c r="AG58" i="11" s="1"/>
  <c r="AG110" i="11"/>
  <c r="AI93" i="11"/>
  <c r="AI109" i="11" s="1"/>
  <c r="AJ13" i="11"/>
  <c r="AG61" i="11"/>
  <c r="AI98" i="11"/>
  <c r="AI114" i="11" s="1"/>
  <c r="AJ18" i="11"/>
  <c r="AG66" i="11"/>
  <c r="AJ16" i="11"/>
  <c r="AG64" i="11"/>
  <c r="AI96" i="11"/>
  <c r="AI112" i="11" s="1"/>
  <c r="R128" i="11" s="1"/>
  <c r="AK11" i="11"/>
  <c r="AH59" i="11"/>
  <c r="AJ91" i="11"/>
  <c r="AH86" i="11"/>
  <c r="AI6" i="11"/>
  <c r="AF54" i="11"/>
  <c r="U20" i="4"/>
  <c r="X20" i="4" s="1"/>
  <c r="W20" i="4"/>
  <c r="AF134" i="11"/>
  <c r="AF117" i="11"/>
  <c r="AG102" i="11"/>
  <c r="AG85" i="11" l="1"/>
  <c r="AH88" i="11"/>
  <c r="AH104" i="11" s="1"/>
  <c r="AI8" i="11"/>
  <c r="AF56" i="11"/>
  <c r="AF53" i="11" s="1"/>
  <c r="AF158" i="11" s="1"/>
  <c r="V194" i="1"/>
  <c r="V174" i="1"/>
  <c r="V213" i="1"/>
  <c r="S29" i="4"/>
  <c r="T28" i="4"/>
  <c r="E21" i="4"/>
  <c r="B29" i="4"/>
  <c r="C28" i="4"/>
  <c r="AQ157" i="11"/>
  <c r="AH147" i="11"/>
  <c r="AJ142" i="11"/>
  <c r="AI144" i="11"/>
  <c r="AI148" i="11"/>
  <c r="AG101" i="11"/>
  <c r="AG117" i="11" s="1"/>
  <c r="AH111" i="11"/>
  <c r="AJ15" i="11"/>
  <c r="AI95" i="11"/>
  <c r="AI111" i="11" s="1"/>
  <c r="AI89" i="11"/>
  <c r="AI105" i="11" s="1"/>
  <c r="AJ9" i="11"/>
  <c r="AG57" i="11"/>
  <c r="AG55" i="11"/>
  <c r="AI87" i="11"/>
  <c r="AI103" i="11" s="1"/>
  <c r="R119" i="11" s="1"/>
  <c r="AJ7" i="11"/>
  <c r="AH105" i="11"/>
  <c r="AM143" i="11"/>
  <c r="AL149" i="11"/>
  <c r="AK17" i="11"/>
  <c r="AJ97" i="11"/>
  <c r="AJ113" i="11" s="1"/>
  <c r="AK92" i="11"/>
  <c r="AK108" i="11" s="1"/>
  <c r="AL12" i="11"/>
  <c r="AI60" i="11"/>
  <c r="AK19" i="11"/>
  <c r="AJ99" i="11"/>
  <c r="AJ115" i="11" s="1"/>
  <c r="AI115" i="11"/>
  <c r="R99" i="11"/>
  <c r="R124" i="11"/>
  <c r="R108" i="11"/>
  <c r="R97" i="11"/>
  <c r="AJ10" i="11"/>
  <c r="AH58" i="11" s="1"/>
  <c r="AI90" i="11"/>
  <c r="AI94" i="11"/>
  <c r="AJ14" i="11"/>
  <c r="AH62" i="11" s="1"/>
  <c r="R14" i="11"/>
  <c r="AI100" i="11"/>
  <c r="AJ20" i="11"/>
  <c r="AH68" i="11" s="1"/>
  <c r="R113" i="11"/>
  <c r="R129" i="11"/>
  <c r="AJ96" i="11"/>
  <c r="AK16" i="11"/>
  <c r="AH64" i="11"/>
  <c r="AJ98" i="11"/>
  <c r="AH66" i="11"/>
  <c r="AK18" i="11"/>
  <c r="AJ107" i="11"/>
  <c r="AJ93" i="11"/>
  <c r="AK13" i="11"/>
  <c r="AH61" i="11"/>
  <c r="AK91" i="11"/>
  <c r="AK107" i="11" s="1"/>
  <c r="AL11" i="11"/>
  <c r="AI59" i="11"/>
  <c r="Y20" i="4"/>
  <c r="Z20" i="4"/>
  <c r="AI86" i="11"/>
  <c r="AJ6" i="11"/>
  <c r="AG54" i="11"/>
  <c r="AI5" i="11"/>
  <c r="AH102" i="11"/>
  <c r="AH85" i="11" l="1"/>
  <c r="AI88" i="11"/>
  <c r="AG56" i="11"/>
  <c r="AG53" i="11" s="1"/>
  <c r="AG158" i="11" s="1"/>
  <c r="AJ8" i="11"/>
  <c r="V212" i="1"/>
  <c r="V219" i="1" s="1"/>
  <c r="V221" i="1" s="1"/>
  <c r="V222" i="1" s="1"/>
  <c r="V195" i="1"/>
  <c r="B30" i="4"/>
  <c r="C29" i="4"/>
  <c r="D21" i="4"/>
  <c r="G21" i="4" s="1"/>
  <c r="F21" i="4"/>
  <c r="S30" i="4"/>
  <c r="T29" i="4"/>
  <c r="AR157" i="11"/>
  <c r="AG134" i="11"/>
  <c r="R95" i="11"/>
  <c r="AI150" i="11"/>
  <c r="R148" i="11"/>
  <c r="AK142" i="11"/>
  <c r="AJ144" i="11"/>
  <c r="AJ148" i="11"/>
  <c r="AJ150" i="11" s="1"/>
  <c r="AJ95" i="11"/>
  <c r="AJ111" i="11" s="1"/>
  <c r="AK15" i="11"/>
  <c r="AH63" i="11"/>
  <c r="R127" i="11"/>
  <c r="R111" i="11"/>
  <c r="AH101" i="11"/>
  <c r="R89" i="11"/>
  <c r="AH55" i="11"/>
  <c r="AJ87" i="11"/>
  <c r="AJ103" i="11" s="1"/>
  <c r="AK7" i="11"/>
  <c r="AJ89" i="11"/>
  <c r="AJ105" i="11" s="1"/>
  <c r="AK9" i="11"/>
  <c r="AH57" i="11"/>
  <c r="R105" i="11"/>
  <c r="R121" i="11"/>
  <c r="AK14" i="11"/>
  <c r="AJ94" i="11"/>
  <c r="AJ110" i="11" s="1"/>
  <c r="AI65" i="11"/>
  <c r="AK97" i="11"/>
  <c r="AK113" i="11" s="1"/>
  <c r="AL17" i="11"/>
  <c r="R100" i="11"/>
  <c r="AI116" i="11"/>
  <c r="AI110" i="11"/>
  <c r="R94" i="11"/>
  <c r="AJ100" i="11"/>
  <c r="AJ116" i="11" s="1"/>
  <c r="AK20" i="11"/>
  <c r="R131" i="11"/>
  <c r="R115" i="11"/>
  <c r="AI106" i="11"/>
  <c r="R106" i="11" s="1"/>
  <c r="R90" i="11"/>
  <c r="AJ90" i="11"/>
  <c r="AJ106" i="11" s="1"/>
  <c r="AK10" i="11"/>
  <c r="AN143" i="11"/>
  <c r="AM149" i="11"/>
  <c r="AJ60" i="11"/>
  <c r="AL92" i="11"/>
  <c r="AL108" i="11" s="1"/>
  <c r="AM12" i="11"/>
  <c r="AL19" i="11"/>
  <c r="AK99" i="11"/>
  <c r="AK115" i="11" s="1"/>
  <c r="AI67" i="11"/>
  <c r="R67" i="11" s="1"/>
  <c r="AL13" i="11"/>
  <c r="AK93" i="11"/>
  <c r="AK109" i="11" s="1"/>
  <c r="AI61" i="11"/>
  <c r="AL16" i="11"/>
  <c r="AK96" i="11"/>
  <c r="AK112" i="11" s="1"/>
  <c r="AI64" i="11"/>
  <c r="AJ109" i="11"/>
  <c r="AJ112" i="11"/>
  <c r="AI66" i="11"/>
  <c r="AK98" i="11"/>
  <c r="AK114" i="11" s="1"/>
  <c r="AL18" i="11"/>
  <c r="AL91" i="11"/>
  <c r="AM11" i="11"/>
  <c r="AJ59" i="11"/>
  <c r="AJ114" i="11"/>
  <c r="V21" i="4"/>
  <c r="AK6" i="11"/>
  <c r="AJ86" i="11"/>
  <c r="AH54" i="11"/>
  <c r="AJ5" i="11"/>
  <c r="AI102" i="11"/>
  <c r="AI85" i="11"/>
  <c r="AH117" i="11" l="1"/>
  <c r="AK8" i="11"/>
  <c r="AK5" i="11" s="1"/>
  <c r="AJ88" i="11"/>
  <c r="AJ104" i="11" s="1"/>
  <c r="AH56" i="11"/>
  <c r="AH53" i="11" s="1"/>
  <c r="AH158" i="11" s="1"/>
  <c r="R88" i="11"/>
  <c r="AI104" i="11"/>
  <c r="AI101" i="11" s="1"/>
  <c r="AI134" i="11" s="1"/>
  <c r="S31" i="4"/>
  <c r="T30" i="4"/>
  <c r="H21" i="4"/>
  <c r="I21" i="4"/>
  <c r="B31" i="4"/>
  <c r="C30" i="4"/>
  <c r="AS157" i="11"/>
  <c r="AJ147" i="11"/>
  <c r="AH134" i="11"/>
  <c r="AI147" i="11"/>
  <c r="R147" i="11"/>
  <c r="AL142" i="11"/>
  <c r="AK144" i="11"/>
  <c r="AK148" i="11"/>
  <c r="AK150" i="11" s="1"/>
  <c r="AK95" i="11"/>
  <c r="AK111" i="11" s="1"/>
  <c r="AL15" i="11"/>
  <c r="AI63" i="11"/>
  <c r="AJ56" i="11"/>
  <c r="AK87" i="11"/>
  <c r="AK103" i="11" s="1"/>
  <c r="AI55" i="11"/>
  <c r="R55" i="11" s="1"/>
  <c r="AL7" i="11"/>
  <c r="AK89" i="11"/>
  <c r="AK105" i="11" s="1"/>
  <c r="AL9" i="11"/>
  <c r="AI57" i="11"/>
  <c r="AL20" i="11"/>
  <c r="AI68" i="11"/>
  <c r="AK100" i="11"/>
  <c r="AK116" i="11" s="1"/>
  <c r="AL97" i="11"/>
  <c r="AL113" i="11" s="1"/>
  <c r="AM17" i="11"/>
  <c r="AJ65" i="11"/>
  <c r="AL99" i="11"/>
  <c r="AL115" i="11" s="1"/>
  <c r="AJ67" i="11"/>
  <c r="AM19" i="11"/>
  <c r="AO143" i="11"/>
  <c r="AN149" i="11"/>
  <c r="AL10" i="11"/>
  <c r="AK90" i="11"/>
  <c r="AK106" i="11" s="1"/>
  <c r="AI58" i="11"/>
  <c r="AN12" i="11"/>
  <c r="AM92" i="11"/>
  <c r="AM108" i="11" s="1"/>
  <c r="AK60" i="11"/>
  <c r="R110" i="11"/>
  <c r="R126" i="11"/>
  <c r="AL14" i="11"/>
  <c r="AK94" i="11"/>
  <c r="AK110" i="11" s="1"/>
  <c r="AI62" i="11"/>
  <c r="R132" i="11"/>
  <c r="R116" i="11"/>
  <c r="AN11" i="11"/>
  <c r="AM91" i="11"/>
  <c r="AM107" i="11" s="1"/>
  <c r="AK59" i="11"/>
  <c r="AM18" i="11"/>
  <c r="AL98" i="11"/>
  <c r="AJ66" i="11"/>
  <c r="AL96" i="11"/>
  <c r="AM16" i="11"/>
  <c r="AJ64" i="11"/>
  <c r="AL93" i="11"/>
  <c r="AM13" i="11"/>
  <c r="AJ61" i="11"/>
  <c r="AL107" i="11"/>
  <c r="AJ102" i="11"/>
  <c r="AJ85" i="11"/>
  <c r="AK86" i="11"/>
  <c r="AI54" i="11"/>
  <c r="AL6" i="11"/>
  <c r="U21" i="4"/>
  <c r="X21" i="4" s="1"/>
  <c r="W21" i="4"/>
  <c r="R120" i="11" l="1"/>
  <c r="R104" i="11"/>
  <c r="AL8" i="11"/>
  <c r="AL5" i="11" s="1"/>
  <c r="AK88" i="11"/>
  <c r="AK104" i="11" s="1"/>
  <c r="AI56" i="11"/>
  <c r="R56" i="11" s="1"/>
  <c r="B32" i="4"/>
  <c r="C31" i="4"/>
  <c r="E22" i="4"/>
  <c r="S32" i="4"/>
  <c r="T31" i="4"/>
  <c r="AT157" i="11"/>
  <c r="AI117" i="11"/>
  <c r="AK147" i="11"/>
  <c r="AL144" i="11"/>
  <c r="AM142" i="11"/>
  <c r="AL148" i="11"/>
  <c r="AL150" i="11" s="1"/>
  <c r="AJ63" i="11"/>
  <c r="AL95" i="11"/>
  <c r="AL111" i="11" s="1"/>
  <c r="AM15" i="11"/>
  <c r="AJ55" i="11"/>
  <c r="AM7" i="11"/>
  <c r="AL87" i="11"/>
  <c r="AL103" i="11" s="1"/>
  <c r="AM9" i="11"/>
  <c r="AJ57" i="11"/>
  <c r="AL89" i="11"/>
  <c r="AL105" i="11" s="1"/>
  <c r="AK56" i="11"/>
  <c r="AO12" i="11"/>
  <c r="AL60" i="11"/>
  <c r="AN92" i="11"/>
  <c r="AN108" i="11" s="1"/>
  <c r="AM14" i="11"/>
  <c r="AJ62" i="11"/>
  <c r="AL94" i="11"/>
  <c r="AL110" i="11" s="1"/>
  <c r="AM10" i="11"/>
  <c r="AL90" i="11"/>
  <c r="AL106" i="11" s="1"/>
  <c r="AJ58" i="11"/>
  <c r="AO149" i="11"/>
  <c r="AP143" i="11"/>
  <c r="AM99" i="11"/>
  <c r="AM115" i="11" s="1"/>
  <c r="AN19" i="11"/>
  <c r="AK67" i="11"/>
  <c r="AM97" i="11"/>
  <c r="AM113" i="11" s="1"/>
  <c r="AN17" i="11"/>
  <c r="AK65" i="11"/>
  <c r="AM20" i="11"/>
  <c r="AL100" i="11"/>
  <c r="AL116" i="11" s="1"/>
  <c r="AJ68" i="11"/>
  <c r="AN91" i="11"/>
  <c r="AN107" i="11" s="1"/>
  <c r="AO11" i="11"/>
  <c r="AL59" i="11"/>
  <c r="R54" i="11"/>
  <c r="AM93" i="11"/>
  <c r="AM109" i="11" s="1"/>
  <c r="AN13" i="11"/>
  <c r="AK61" i="11"/>
  <c r="AN16" i="11"/>
  <c r="AM96" i="11"/>
  <c r="AM112" i="11" s="1"/>
  <c r="AK64" i="11"/>
  <c r="AL114" i="11"/>
  <c r="AL109" i="11"/>
  <c r="AL112" i="11"/>
  <c r="AM98" i="11"/>
  <c r="AM114" i="11" s="1"/>
  <c r="AN18" i="11"/>
  <c r="AK66" i="11"/>
  <c r="Y21" i="4"/>
  <c r="Z21" i="4"/>
  <c r="AK102" i="11"/>
  <c r="AJ101" i="11"/>
  <c r="AL86" i="11"/>
  <c r="AJ54" i="11"/>
  <c r="AM6" i="11"/>
  <c r="AK85" i="11" l="1"/>
  <c r="AK101" i="11"/>
  <c r="AI53" i="11"/>
  <c r="AI158" i="11" s="1"/>
  <c r="AL88" i="11"/>
  <c r="AL104" i="11" s="1"/>
  <c r="AM8" i="11"/>
  <c r="AM5" i="11" s="1"/>
  <c r="S33" i="4"/>
  <c r="T32" i="4"/>
  <c r="D22" i="4"/>
  <c r="G22" i="4" s="1"/>
  <c r="F22" i="4"/>
  <c r="B33" i="4"/>
  <c r="C32" i="4"/>
  <c r="AU157" i="11"/>
  <c r="AL147" i="11"/>
  <c r="AM148" i="11"/>
  <c r="AM150" i="11" s="1"/>
  <c r="AN142" i="11"/>
  <c r="AM144" i="11"/>
  <c r="AN15" i="11"/>
  <c r="AM95" i="11"/>
  <c r="AM111" i="11" s="1"/>
  <c r="AK63" i="11"/>
  <c r="AN9" i="11"/>
  <c r="AK57" i="11"/>
  <c r="AM89" i="11"/>
  <c r="AM105" i="11" s="1"/>
  <c r="AM87" i="11"/>
  <c r="AM103" i="11" s="1"/>
  <c r="AN7" i="11"/>
  <c r="AK55" i="11"/>
  <c r="AL56" i="11"/>
  <c r="AO19" i="11"/>
  <c r="AL67" i="11"/>
  <c r="AN99" i="11"/>
  <c r="AN115" i="11" s="1"/>
  <c r="AK68" i="11"/>
  <c r="AM100" i="11"/>
  <c r="AM116" i="11" s="1"/>
  <c r="AN20" i="11"/>
  <c r="AQ143" i="11"/>
  <c r="AP149" i="11"/>
  <c r="AN14" i="11"/>
  <c r="AM94" i="11"/>
  <c r="AM110" i="11" s="1"/>
  <c r="AK62" i="11"/>
  <c r="AM90" i="11"/>
  <c r="AM106" i="11" s="1"/>
  <c r="AK58" i="11"/>
  <c r="AN10" i="11"/>
  <c r="AN97" i="11"/>
  <c r="AN113" i="11" s="1"/>
  <c r="AO17" i="11"/>
  <c r="AL65" i="11"/>
  <c r="AM60" i="11"/>
  <c r="AO92" i="11"/>
  <c r="AO108" i="11" s="1"/>
  <c r="AP12" i="11"/>
  <c r="AO13" i="11"/>
  <c r="AN93" i="11"/>
  <c r="AL61" i="11"/>
  <c r="AO91" i="11"/>
  <c r="AP11" i="11"/>
  <c r="AM59" i="11"/>
  <c r="AN96" i="11"/>
  <c r="AO16" i="11"/>
  <c r="AL64" i="11"/>
  <c r="AO18" i="11"/>
  <c r="AN98" i="11"/>
  <c r="AL66" i="11"/>
  <c r="AL102" i="11"/>
  <c r="AL85" i="11"/>
  <c r="AK117" i="11"/>
  <c r="AK134" i="11"/>
  <c r="V22" i="4"/>
  <c r="AK54" i="11"/>
  <c r="AM86" i="11"/>
  <c r="AN6" i="11"/>
  <c r="AJ117" i="11"/>
  <c r="AJ134" i="11"/>
  <c r="AJ53" i="11"/>
  <c r="AJ158" i="11" s="1"/>
  <c r="AN8" i="11" l="1"/>
  <c r="AM88" i="11"/>
  <c r="AM104" i="11" s="1"/>
  <c r="B34" i="4"/>
  <c r="C33" i="4"/>
  <c r="H22" i="4"/>
  <c r="I22" i="4"/>
  <c r="S34" i="4"/>
  <c r="T33" i="4"/>
  <c r="AV157" i="11"/>
  <c r="AM147" i="11"/>
  <c r="AN144" i="11"/>
  <c r="AO142" i="11"/>
  <c r="AN148" i="11"/>
  <c r="AN150" i="11" s="1"/>
  <c r="AO15" i="11"/>
  <c r="AN95" i="11"/>
  <c r="AN111" i="11" s="1"/>
  <c r="AL63" i="11"/>
  <c r="AM56" i="11"/>
  <c r="AO7" i="11"/>
  <c r="AL55" i="11"/>
  <c r="AN87" i="11"/>
  <c r="AN103" i="11" s="1"/>
  <c r="AK53" i="11"/>
  <c r="AK158" i="11" s="1"/>
  <c r="AO9" i="11"/>
  <c r="AN89" i="11"/>
  <c r="AN105" i="11" s="1"/>
  <c r="AL57" i="11"/>
  <c r="AM65" i="11"/>
  <c r="AP17" i="11"/>
  <c r="AO97" i="11"/>
  <c r="AO113" i="11" s="1"/>
  <c r="AP19" i="11"/>
  <c r="AO99" i="11"/>
  <c r="AO115" i="11" s="1"/>
  <c r="AM67" i="11"/>
  <c r="AN100" i="11"/>
  <c r="AN116" i="11" s="1"/>
  <c r="AO20" i="11"/>
  <c r="AL68" i="11"/>
  <c r="AN94" i="11"/>
  <c r="AN110" i="11" s="1"/>
  <c r="AO14" i="11"/>
  <c r="AL62" i="11"/>
  <c r="AO10" i="11"/>
  <c r="AL58" i="11"/>
  <c r="AN90" i="11"/>
  <c r="AN106" i="11" s="1"/>
  <c r="AQ12" i="11"/>
  <c r="AP92" i="11"/>
  <c r="AP108" i="11" s="1"/>
  <c r="AN60" i="11"/>
  <c r="AR143" i="11"/>
  <c r="AQ149" i="11"/>
  <c r="AQ11" i="11"/>
  <c r="AP91" i="11"/>
  <c r="AP107" i="11" s="1"/>
  <c r="AN59" i="11"/>
  <c r="AN109" i="11"/>
  <c r="AO98" i="11"/>
  <c r="AO114" i="11" s="1"/>
  <c r="AP18" i="11"/>
  <c r="AM66" i="11"/>
  <c r="AO107" i="11"/>
  <c r="AO93" i="11"/>
  <c r="AO109" i="11" s="1"/>
  <c r="AP13" i="11"/>
  <c r="AM61" i="11"/>
  <c r="AN112" i="11"/>
  <c r="AN114" i="11"/>
  <c r="AP16" i="11"/>
  <c r="AO96" i="11"/>
  <c r="AO112" i="11" s="1"/>
  <c r="AM64" i="11"/>
  <c r="U22" i="4"/>
  <c r="X22" i="4" s="1"/>
  <c r="W22" i="4"/>
  <c r="AL54" i="11"/>
  <c r="AN86" i="11"/>
  <c r="AO6" i="11"/>
  <c r="AN5" i="11"/>
  <c r="AM102" i="11"/>
  <c r="AM85" i="11"/>
  <c r="AL101" i="11"/>
  <c r="AN88" i="11" l="1"/>
  <c r="AN104" i="11" s="1"/>
  <c r="AO8" i="11"/>
  <c r="AO5" i="11" s="1"/>
  <c r="S35" i="4"/>
  <c r="T34" i="4"/>
  <c r="E23" i="4"/>
  <c r="B35" i="4"/>
  <c r="C34" i="4"/>
  <c r="AW157" i="11"/>
  <c r="AN147" i="11"/>
  <c r="AO148" i="11"/>
  <c r="AO150" i="11" s="1"/>
  <c r="AP142" i="11"/>
  <c r="AO144" i="11"/>
  <c r="AP15" i="11"/>
  <c r="AM63" i="11"/>
  <c r="AO95" i="11"/>
  <c r="AO111" i="11" s="1"/>
  <c r="AM55" i="11"/>
  <c r="AO87" i="11"/>
  <c r="AO103" i="11" s="1"/>
  <c r="AP7" i="11"/>
  <c r="AP9" i="11"/>
  <c r="AO89" i="11"/>
  <c r="AO105" i="11" s="1"/>
  <c r="AM57" i="11"/>
  <c r="AN56" i="11"/>
  <c r="AP99" i="11"/>
  <c r="AP115" i="11" s="1"/>
  <c r="AQ19" i="11"/>
  <c r="AN67" i="11"/>
  <c r="AO90" i="11"/>
  <c r="AO106" i="11" s="1"/>
  <c r="AM58" i="11"/>
  <c r="AP10" i="11"/>
  <c r="AQ17" i="11"/>
  <c r="AN65" i="11"/>
  <c r="AP97" i="11"/>
  <c r="AP113" i="11" s="1"/>
  <c r="AS143" i="11"/>
  <c r="AR149" i="11"/>
  <c r="AO60" i="11"/>
  <c r="AQ92" i="11"/>
  <c r="AQ108" i="11" s="1"/>
  <c r="AR12" i="11"/>
  <c r="AM68" i="11"/>
  <c r="AP20" i="11"/>
  <c r="AO100" i="11"/>
  <c r="AO116" i="11" s="1"/>
  <c r="AP14" i="11"/>
  <c r="AO94" i="11"/>
  <c r="AO110" i="11" s="1"/>
  <c r="AM62" i="11"/>
  <c r="AQ18" i="11"/>
  <c r="AP98" i="11"/>
  <c r="AP114" i="11" s="1"/>
  <c r="AN66" i="11"/>
  <c r="AQ91" i="11"/>
  <c r="AR11" i="11"/>
  <c r="AO59" i="11"/>
  <c r="AP96" i="11"/>
  <c r="AP112" i="11" s="1"/>
  <c r="AQ16" i="11"/>
  <c r="AN64" i="11"/>
  <c r="AQ13" i="11"/>
  <c r="AP93" i="11"/>
  <c r="AN61" i="11"/>
  <c r="AN102" i="11"/>
  <c r="AL53" i="11"/>
  <c r="AL158" i="11" s="1"/>
  <c r="AM101" i="11"/>
  <c r="AL117" i="11"/>
  <c r="AL134" i="11"/>
  <c r="AO86" i="11"/>
  <c r="AP6" i="11"/>
  <c r="AM54" i="11"/>
  <c r="Y22" i="4"/>
  <c r="Z22" i="4"/>
  <c r="AN101" i="11" l="1"/>
  <c r="AN134" i="11" s="1"/>
  <c r="AN85" i="11"/>
  <c r="AP8" i="11"/>
  <c r="AO88" i="11"/>
  <c r="AO104" i="11" s="1"/>
  <c r="B36" i="4"/>
  <c r="C35" i="4"/>
  <c r="D23" i="4"/>
  <c r="G23" i="4" s="1"/>
  <c r="F23" i="4"/>
  <c r="S36" i="4"/>
  <c r="T35" i="4"/>
  <c r="AX157" i="11"/>
  <c r="AO147" i="11"/>
  <c r="AP148" i="11"/>
  <c r="AP150" i="11" s="1"/>
  <c r="AP144" i="11"/>
  <c r="AQ142" i="11"/>
  <c r="AP95" i="11"/>
  <c r="AP111" i="11" s="1"/>
  <c r="AQ15" i="11"/>
  <c r="AN63" i="11"/>
  <c r="AO56" i="11"/>
  <c r="AQ9" i="11"/>
  <c r="AN57" i="11"/>
  <c r="AP89" i="11"/>
  <c r="AP105" i="11" s="1"/>
  <c r="AP87" i="11"/>
  <c r="AP103" i="11" s="1"/>
  <c r="AQ7" i="11"/>
  <c r="AN55" i="11"/>
  <c r="AM53" i="11"/>
  <c r="AM158" i="11" s="1"/>
  <c r="AQ99" i="11"/>
  <c r="AQ115" i="11" s="1"/>
  <c r="AO67" i="11"/>
  <c r="AR19" i="11"/>
  <c r="AP100" i="11"/>
  <c r="AP116" i="11" s="1"/>
  <c r="AQ20" i="11"/>
  <c r="AN68" i="11"/>
  <c r="AT143" i="11"/>
  <c r="AS149" i="11"/>
  <c r="AP90" i="11"/>
  <c r="AP106" i="11" s="1"/>
  <c r="AQ10" i="11"/>
  <c r="AN58" i="11"/>
  <c r="AR92" i="11"/>
  <c r="AR108" i="11" s="1"/>
  <c r="AP60" i="11"/>
  <c r="AS12" i="11"/>
  <c r="AQ97" i="11"/>
  <c r="AQ113" i="11" s="1"/>
  <c r="AR17" i="11"/>
  <c r="AO65" i="11"/>
  <c r="AQ14" i="11"/>
  <c r="AP94" i="11"/>
  <c r="AP110" i="11" s="1"/>
  <c r="AN62" i="11"/>
  <c r="AQ98" i="11"/>
  <c r="AQ114" i="11" s="1"/>
  <c r="AR18" i="11"/>
  <c r="AO66" i="11"/>
  <c r="AP109" i="11"/>
  <c r="AR13" i="11"/>
  <c r="AQ93" i="11"/>
  <c r="AQ109" i="11" s="1"/>
  <c r="AO61" i="11"/>
  <c r="AR16" i="11"/>
  <c r="AQ96" i="11"/>
  <c r="AO64" i="11"/>
  <c r="AQ107" i="11"/>
  <c r="AR91" i="11"/>
  <c r="AR107" i="11" s="1"/>
  <c r="AS11" i="11"/>
  <c r="AP59" i="11"/>
  <c r="AN54" i="11"/>
  <c r="AP86" i="11"/>
  <c r="AQ6" i="11"/>
  <c r="AP5" i="11"/>
  <c r="AM117" i="11"/>
  <c r="AM134" i="11"/>
  <c r="AO102" i="11"/>
  <c r="V23" i="4"/>
  <c r="AN117" i="11" l="1"/>
  <c r="AO85" i="11"/>
  <c r="AP88" i="11"/>
  <c r="AP104" i="11" s="1"/>
  <c r="AQ8" i="11"/>
  <c r="AQ5" i="11" s="1"/>
  <c r="S37" i="4"/>
  <c r="T36" i="4"/>
  <c r="H23" i="4"/>
  <c r="I23" i="4"/>
  <c r="B37" i="4"/>
  <c r="C36" i="4"/>
  <c r="AY157" i="11"/>
  <c r="AQ148" i="11"/>
  <c r="AQ150" i="11" s="1"/>
  <c r="AQ144" i="11"/>
  <c r="AR142" i="11"/>
  <c r="AP147" i="11"/>
  <c r="AQ95" i="11"/>
  <c r="AQ111" i="11" s="1"/>
  <c r="AO63" i="11"/>
  <c r="AR15" i="11"/>
  <c r="AR9" i="11"/>
  <c r="AQ89" i="11"/>
  <c r="AQ105" i="11" s="1"/>
  <c r="AO57" i="11"/>
  <c r="AQ87" i="11"/>
  <c r="AQ103" i="11" s="1"/>
  <c r="AO55" i="11"/>
  <c r="AR7" i="11"/>
  <c r="AP56" i="11"/>
  <c r="AQ60" i="11"/>
  <c r="AT12" i="11"/>
  <c r="AS92" i="11"/>
  <c r="AS108" i="11" s="1"/>
  <c r="AS19" i="11"/>
  <c r="AP67" i="11"/>
  <c r="AR99" i="11"/>
  <c r="AR115" i="11" s="1"/>
  <c r="AO62" i="11"/>
  <c r="AR14" i="11"/>
  <c r="AQ94" i="11"/>
  <c r="AQ110" i="11" s="1"/>
  <c r="AN53" i="11"/>
  <c r="AN158" i="11" s="1"/>
  <c r="AR10" i="11"/>
  <c r="AQ90" i="11"/>
  <c r="AQ106" i="11" s="1"/>
  <c r="AO58" i="11"/>
  <c r="AU143" i="11"/>
  <c r="AT149" i="11"/>
  <c r="AO68" i="11"/>
  <c r="AQ100" i="11"/>
  <c r="AQ116" i="11" s="1"/>
  <c r="AR20" i="11"/>
  <c r="AS17" i="11"/>
  <c r="AR97" i="11"/>
  <c r="AR113" i="11" s="1"/>
  <c r="AP65" i="11"/>
  <c r="AQ112" i="11"/>
  <c r="AS18" i="11"/>
  <c r="AR98" i="11"/>
  <c r="AR114" i="11" s="1"/>
  <c r="AP66" i="11"/>
  <c r="AR96" i="11"/>
  <c r="AR112" i="11" s="1"/>
  <c r="AS16" i="11"/>
  <c r="AP64" i="11"/>
  <c r="AS91" i="11"/>
  <c r="AS107" i="11" s="1"/>
  <c r="AT11" i="11"/>
  <c r="AQ59" i="11"/>
  <c r="R58" i="11"/>
  <c r="AS13" i="11"/>
  <c r="AR93" i="11"/>
  <c r="AP61" i="11"/>
  <c r="U23" i="4"/>
  <c r="X23" i="4" s="1"/>
  <c r="W23" i="4"/>
  <c r="AR6" i="11"/>
  <c r="AQ86" i="11"/>
  <c r="AO54" i="11"/>
  <c r="AP102" i="11"/>
  <c r="AP85" i="11"/>
  <c r="AO101" i="11"/>
  <c r="AP101" i="11" l="1"/>
  <c r="AP134" i="11" s="1"/>
  <c r="AR8" i="11"/>
  <c r="AR5" i="11" s="1"/>
  <c r="AQ88" i="11"/>
  <c r="AQ104" i="11" s="1"/>
  <c r="B38" i="4"/>
  <c r="C37" i="4"/>
  <c r="E24" i="4"/>
  <c r="S38" i="4"/>
  <c r="T37" i="4"/>
  <c r="AZ157" i="11"/>
  <c r="AS142" i="11"/>
  <c r="AR144" i="11"/>
  <c r="AR148" i="11"/>
  <c r="AR150" i="11" s="1"/>
  <c r="AQ147" i="11"/>
  <c r="AR95" i="11"/>
  <c r="AR111" i="11" s="1"/>
  <c r="AS15" i="11"/>
  <c r="AP63" i="11"/>
  <c r="AS7" i="11"/>
  <c r="AR87" i="11"/>
  <c r="AR103" i="11" s="1"/>
  <c r="AP55" i="11"/>
  <c r="AQ56" i="11"/>
  <c r="AR89" i="11"/>
  <c r="AR105" i="11" s="1"/>
  <c r="AS9" i="11"/>
  <c r="AP57" i="11"/>
  <c r="AT92" i="11"/>
  <c r="AT108" i="11" s="1"/>
  <c r="AR60" i="11"/>
  <c r="AU12" i="11"/>
  <c r="AT17" i="11"/>
  <c r="AQ65" i="11"/>
  <c r="AS97" i="11"/>
  <c r="AS113" i="11" s="1"/>
  <c r="AR90" i="11"/>
  <c r="AR106" i="11" s="1"/>
  <c r="AP58" i="11"/>
  <c r="AS10" i="11"/>
  <c r="AR94" i="11"/>
  <c r="AR110" i="11" s="1"/>
  <c r="AP62" i="11"/>
  <c r="AS14" i="11"/>
  <c r="AS20" i="11"/>
  <c r="AR100" i="11"/>
  <c r="AR116" i="11" s="1"/>
  <c r="AP68" i="11"/>
  <c r="AU149" i="11"/>
  <c r="AV143" i="11"/>
  <c r="S143" i="11"/>
  <c r="S142" i="11" s="1"/>
  <c r="S144" i="11" s="1"/>
  <c r="AS99" i="11"/>
  <c r="AS115" i="11" s="1"/>
  <c r="AT19" i="11"/>
  <c r="AQ67" i="11"/>
  <c r="R60" i="11"/>
  <c r="AU11" i="11"/>
  <c r="AT91" i="11"/>
  <c r="AT107" i="11" s="1"/>
  <c r="AR59" i="11"/>
  <c r="AR109" i="11"/>
  <c r="AS96" i="11"/>
  <c r="AS112" i="11" s="1"/>
  <c r="AT16" i="11"/>
  <c r="AQ64" i="11"/>
  <c r="AT18" i="11"/>
  <c r="AS98" i="11"/>
  <c r="AS114" i="11" s="1"/>
  <c r="AQ66" i="11"/>
  <c r="AS93" i="11"/>
  <c r="AS109" i="11" s="1"/>
  <c r="AT13" i="11"/>
  <c r="AQ61" i="11"/>
  <c r="R65" i="11"/>
  <c r="AO53" i="11"/>
  <c r="AO158" i="11" s="1"/>
  <c r="AQ102" i="11"/>
  <c r="AQ101" i="11" s="1"/>
  <c r="AQ85" i="11"/>
  <c r="AR86" i="11"/>
  <c r="AS6" i="11"/>
  <c r="AP54" i="11"/>
  <c r="AO117" i="11"/>
  <c r="AO134" i="11"/>
  <c r="Y23" i="4"/>
  <c r="Z23" i="4"/>
  <c r="AP117" i="11" l="1"/>
  <c r="AR88" i="11"/>
  <c r="AR104" i="11" s="1"/>
  <c r="AS8" i="11"/>
  <c r="S39" i="4"/>
  <c r="T38" i="4"/>
  <c r="D24" i="4"/>
  <c r="G24" i="4" s="1"/>
  <c r="F24" i="4"/>
  <c r="B39" i="4"/>
  <c r="C38" i="4"/>
  <c r="AR147" i="11"/>
  <c r="BA157" i="11"/>
  <c r="AS144" i="11"/>
  <c r="AS148" i="11"/>
  <c r="AS150" i="11" s="1"/>
  <c r="AT142" i="11"/>
  <c r="AS95" i="11"/>
  <c r="AS111" i="11" s="1"/>
  <c r="AT15" i="11"/>
  <c r="AQ63" i="11"/>
  <c r="AR56" i="11"/>
  <c r="AS89" i="11"/>
  <c r="AS105" i="11" s="1"/>
  <c r="AT9" i="11"/>
  <c r="AQ57" i="11"/>
  <c r="AQ55" i="11"/>
  <c r="AT7" i="11"/>
  <c r="AS87" i="11"/>
  <c r="AS103" i="11" s="1"/>
  <c r="AS90" i="11"/>
  <c r="AS106" i="11" s="1"/>
  <c r="AQ58" i="11"/>
  <c r="AT10" i="11"/>
  <c r="AW143" i="11"/>
  <c r="AV149" i="11"/>
  <c r="AT20" i="11"/>
  <c r="AS100" i="11"/>
  <c r="AS116" i="11" s="1"/>
  <c r="AQ68" i="11"/>
  <c r="AU92" i="11"/>
  <c r="AU108" i="11" s="1"/>
  <c r="AV12" i="11"/>
  <c r="AS60" i="11"/>
  <c r="AQ62" i="11"/>
  <c r="AT14" i="11"/>
  <c r="AS94" i="11"/>
  <c r="AS110" i="11" s="1"/>
  <c r="AU19" i="11"/>
  <c r="AR67" i="11"/>
  <c r="AT99" i="11"/>
  <c r="AT115" i="11" s="1"/>
  <c r="AR65" i="11"/>
  <c r="AT97" i="11"/>
  <c r="AT113" i="11" s="1"/>
  <c r="AU17" i="11"/>
  <c r="AP53" i="11"/>
  <c r="AP158" i="11" s="1"/>
  <c r="AT96" i="11"/>
  <c r="AT112" i="11" s="1"/>
  <c r="AU16" i="11"/>
  <c r="AR64" i="11"/>
  <c r="AU13" i="11"/>
  <c r="AT93" i="11"/>
  <c r="AT109" i="11" s="1"/>
  <c r="AR61" i="11"/>
  <c r="AU91" i="11"/>
  <c r="AU107" i="11" s="1"/>
  <c r="AV11" i="11"/>
  <c r="AS59" i="11"/>
  <c r="AT98" i="11"/>
  <c r="AT114" i="11" s="1"/>
  <c r="AU18" i="11"/>
  <c r="AR66" i="11"/>
  <c r="AQ117" i="11"/>
  <c r="AQ134" i="11"/>
  <c r="AS86" i="11"/>
  <c r="AT6" i="11"/>
  <c r="AQ54" i="11"/>
  <c r="AS5" i="11"/>
  <c r="AR102" i="11"/>
  <c r="V24" i="4"/>
  <c r="AR85" i="11" l="1"/>
  <c r="AR101" i="11"/>
  <c r="AT8" i="11"/>
  <c r="AS88" i="11"/>
  <c r="AS104" i="11" s="1"/>
  <c r="B40" i="4"/>
  <c r="C39" i="4"/>
  <c r="H24" i="4"/>
  <c r="I24" i="4"/>
  <c r="S40" i="4"/>
  <c r="T39" i="4"/>
  <c r="BB157" i="11"/>
  <c r="AS147" i="11"/>
  <c r="AU142" i="11"/>
  <c r="AT144" i="11"/>
  <c r="AT148" i="11"/>
  <c r="AT150" i="11" s="1"/>
  <c r="AU15" i="11"/>
  <c r="AT95" i="11"/>
  <c r="AT111" i="11" s="1"/>
  <c r="AR63" i="11"/>
  <c r="AR57" i="11"/>
  <c r="AT89" i="11"/>
  <c r="AT105" i="11" s="1"/>
  <c r="AU9" i="11"/>
  <c r="AQ53" i="11"/>
  <c r="AQ158" i="11" s="1"/>
  <c r="AT87" i="11"/>
  <c r="AT103" i="11" s="1"/>
  <c r="AU7" i="11"/>
  <c r="AR55" i="11"/>
  <c r="AS56" i="11"/>
  <c r="AU99" i="11"/>
  <c r="AU115" i="11" s="1"/>
  <c r="AS67" i="11"/>
  <c r="AV19" i="11"/>
  <c r="AT60" i="11"/>
  <c r="AV92" i="11"/>
  <c r="AV108" i="11" s="1"/>
  <c r="AW12" i="11"/>
  <c r="AT94" i="11"/>
  <c r="AT110" i="11" s="1"/>
  <c r="AU14" i="11"/>
  <c r="AR62" i="11"/>
  <c r="AR68" i="11"/>
  <c r="AT100" i="11"/>
  <c r="AT116" i="11" s="1"/>
  <c r="AU20" i="11"/>
  <c r="AR58" i="11"/>
  <c r="AT90" i="11"/>
  <c r="AT106" i="11" s="1"/>
  <c r="AU10" i="11"/>
  <c r="AX143" i="11"/>
  <c r="AW149" i="11"/>
  <c r="AV17" i="11"/>
  <c r="AU97" i="11"/>
  <c r="AU113" i="11" s="1"/>
  <c r="AS65" i="11"/>
  <c r="AU98" i="11"/>
  <c r="AU114" i="11" s="1"/>
  <c r="S130" i="11" s="1"/>
  <c r="AV18" i="11"/>
  <c r="AS66" i="11"/>
  <c r="R62" i="11"/>
  <c r="AV91" i="11"/>
  <c r="AW11" i="11"/>
  <c r="AT59" i="11"/>
  <c r="AU96" i="11"/>
  <c r="AU112" i="11" s="1"/>
  <c r="S112" i="11" s="1"/>
  <c r="AV16" i="11"/>
  <c r="AS64" i="11"/>
  <c r="AU93" i="11"/>
  <c r="AU109" i="11" s="1"/>
  <c r="AV13" i="11"/>
  <c r="AS61" i="11"/>
  <c r="AU6" i="11"/>
  <c r="AR54" i="11"/>
  <c r="AT86" i="11"/>
  <c r="AT5" i="11"/>
  <c r="U24" i="4"/>
  <c r="X24" i="4" s="1"/>
  <c r="W24" i="4"/>
  <c r="AS102" i="11"/>
  <c r="AR134" i="11"/>
  <c r="AR117" i="11"/>
  <c r="AS101" i="11" l="1"/>
  <c r="AS134" i="11" s="1"/>
  <c r="AS85" i="11"/>
  <c r="AU8" i="11"/>
  <c r="AU5" i="11" s="1"/>
  <c r="AT88" i="11"/>
  <c r="AT104" i="11" s="1"/>
  <c r="S41" i="4"/>
  <c r="T40" i="4"/>
  <c r="E25" i="4"/>
  <c r="B41" i="4"/>
  <c r="C40" i="4"/>
  <c r="AT147" i="11"/>
  <c r="BC157" i="11"/>
  <c r="AV142" i="11"/>
  <c r="AU148" i="11"/>
  <c r="AU150" i="11" s="1"/>
  <c r="AU144" i="11"/>
  <c r="AU95" i="11"/>
  <c r="AU111" i="11" s="1"/>
  <c r="AS63" i="11"/>
  <c r="AV15" i="11"/>
  <c r="AS55" i="11"/>
  <c r="AV7" i="11"/>
  <c r="AU87" i="11"/>
  <c r="AU103" i="11" s="1"/>
  <c r="AV9" i="11"/>
  <c r="AU89" i="11"/>
  <c r="AU105" i="11" s="1"/>
  <c r="AS57" i="11"/>
  <c r="AT56" i="11"/>
  <c r="AU94" i="11"/>
  <c r="AU110" i="11" s="1"/>
  <c r="AV14" i="11"/>
  <c r="AS62" i="11"/>
  <c r="AU90" i="11"/>
  <c r="AU106" i="11" s="1"/>
  <c r="AV10" i="11"/>
  <c r="AS58" i="11"/>
  <c r="AT67" i="11"/>
  <c r="AW19" i="11"/>
  <c r="AV99" i="11"/>
  <c r="AV115" i="11" s="1"/>
  <c r="AV97" i="11"/>
  <c r="AV113" i="11" s="1"/>
  <c r="AT65" i="11"/>
  <c r="AW17" i="11"/>
  <c r="AU60" i="11"/>
  <c r="S60" i="11" s="1"/>
  <c r="AX12" i="11"/>
  <c r="AV60" i="11" s="1"/>
  <c r="AW92" i="11"/>
  <c r="AW108" i="11" s="1"/>
  <c r="AV20" i="11"/>
  <c r="AU100" i="11"/>
  <c r="AU116" i="11" s="1"/>
  <c r="S116" i="11" s="1"/>
  <c r="AS68" i="11"/>
  <c r="AR53" i="11"/>
  <c r="AR158" i="11" s="1"/>
  <c r="AY143" i="11"/>
  <c r="AX149" i="11"/>
  <c r="R63" i="11"/>
  <c r="AW13" i="11"/>
  <c r="AV93" i="11"/>
  <c r="AT61" i="11"/>
  <c r="AW91" i="11"/>
  <c r="AW107" i="11" s="1"/>
  <c r="AX11" i="11"/>
  <c r="AV59" i="11" s="1"/>
  <c r="AU59" i="11"/>
  <c r="AV98" i="11"/>
  <c r="AW18" i="11"/>
  <c r="AT66" i="11"/>
  <c r="AV107" i="11"/>
  <c r="AV96" i="11"/>
  <c r="AW16" i="11"/>
  <c r="AT64" i="11"/>
  <c r="Y24" i="4"/>
  <c r="Z24" i="4"/>
  <c r="AT102" i="11"/>
  <c r="AT101" i="11" s="1"/>
  <c r="AU86" i="11"/>
  <c r="AV6" i="11"/>
  <c r="AS54" i="11"/>
  <c r="AS117" i="11" l="1"/>
  <c r="AT85" i="11"/>
  <c r="AV8" i="11"/>
  <c r="AV5" i="11" s="1"/>
  <c r="AU88" i="11"/>
  <c r="AU104" i="11" s="1"/>
  <c r="B42" i="4"/>
  <c r="C41" i="4"/>
  <c r="D25" i="4"/>
  <c r="G25" i="4" s="1"/>
  <c r="F25" i="4"/>
  <c r="S42" i="4"/>
  <c r="T41" i="4"/>
  <c r="BD157" i="11"/>
  <c r="AU147" i="11"/>
  <c r="AV144" i="11"/>
  <c r="AW142" i="11"/>
  <c r="AV148" i="11"/>
  <c r="AV150" i="11" s="1"/>
  <c r="AW15" i="11"/>
  <c r="AV95" i="11"/>
  <c r="AV111" i="11" s="1"/>
  <c r="AT63" i="11"/>
  <c r="AW9" i="11"/>
  <c r="AV89" i="11"/>
  <c r="AV105" i="11" s="1"/>
  <c r="AT57" i="11"/>
  <c r="AT55" i="11"/>
  <c r="AV87" i="11"/>
  <c r="AV103" i="11" s="1"/>
  <c r="AW7" i="11"/>
  <c r="AS53" i="11"/>
  <c r="AS158" i="11" s="1"/>
  <c r="AU56" i="11"/>
  <c r="S56" i="11" s="1"/>
  <c r="AY149" i="11"/>
  <c r="AZ143" i="11"/>
  <c r="AV90" i="11"/>
  <c r="AV106" i="11" s="1"/>
  <c r="AW10" i="11"/>
  <c r="AT58" i="11"/>
  <c r="AY12" i="11"/>
  <c r="AW60" i="11" s="1"/>
  <c r="AX92" i="11"/>
  <c r="AX108" i="11" s="1"/>
  <c r="AW99" i="11"/>
  <c r="AW115" i="11" s="1"/>
  <c r="AX19" i="11"/>
  <c r="AV67" i="11" s="1"/>
  <c r="AU67" i="11"/>
  <c r="S67" i="11" s="1"/>
  <c r="AW20" i="11"/>
  <c r="AV100" i="11"/>
  <c r="AV116" i="11" s="1"/>
  <c r="AT68" i="11"/>
  <c r="AX17" i="11"/>
  <c r="AV65" i="11" s="1"/>
  <c r="AW97" i="11"/>
  <c r="AW113" i="11" s="1"/>
  <c r="AU65" i="11"/>
  <c r="S65" i="11" s="1"/>
  <c r="AV94" i="11"/>
  <c r="AV110" i="11" s="1"/>
  <c r="AW14" i="11"/>
  <c r="AT62" i="11"/>
  <c r="AW98" i="11"/>
  <c r="AW114" i="11" s="1"/>
  <c r="AX18" i="11"/>
  <c r="AV66" i="11" s="1"/>
  <c r="AU66" i="11"/>
  <c r="AW93" i="11"/>
  <c r="AW109" i="11" s="1"/>
  <c r="AX13" i="11"/>
  <c r="AV61" i="11" s="1"/>
  <c r="AU61" i="11"/>
  <c r="AW96" i="11"/>
  <c r="AW112" i="11" s="1"/>
  <c r="AX16" i="11"/>
  <c r="AV64" i="11" s="1"/>
  <c r="AU64" i="11"/>
  <c r="R64" i="11" s="1"/>
  <c r="AV114" i="11"/>
  <c r="AV112" i="11"/>
  <c r="R59" i="11"/>
  <c r="S59" i="11"/>
  <c r="AY11" i="11"/>
  <c r="AW59" i="11" s="1"/>
  <c r="AX91" i="11"/>
  <c r="R57" i="11"/>
  <c r="R68" i="11"/>
  <c r="AV109" i="11"/>
  <c r="AU102" i="11"/>
  <c r="V25" i="4"/>
  <c r="AT134" i="11"/>
  <c r="AT117" i="11"/>
  <c r="AW6" i="11"/>
  <c r="AV86" i="11"/>
  <c r="AT54" i="11"/>
  <c r="AU85" i="11" l="1"/>
  <c r="AU101" i="11"/>
  <c r="AV88" i="11"/>
  <c r="AV104" i="11" s="1"/>
  <c r="AW8" i="11"/>
  <c r="AW5" i="11" s="1"/>
  <c r="S43" i="4"/>
  <c r="T42" i="4"/>
  <c r="U42" i="4"/>
  <c r="H25" i="4"/>
  <c r="I25" i="4"/>
  <c r="B43" i="4"/>
  <c r="C42" i="4"/>
  <c r="D42" i="4"/>
  <c r="BE157" i="11"/>
  <c r="AV147" i="11"/>
  <c r="AW144" i="11"/>
  <c r="AW148" i="11"/>
  <c r="AW150" i="11" s="1"/>
  <c r="AX142" i="11"/>
  <c r="AX15" i="11"/>
  <c r="AV63" i="11" s="1"/>
  <c r="AU63" i="11"/>
  <c r="S63" i="11" s="1"/>
  <c r="AW95" i="11"/>
  <c r="AW111" i="11" s="1"/>
  <c r="AX7" i="11"/>
  <c r="AV55" i="11" s="1"/>
  <c r="AU55" i="11"/>
  <c r="S55" i="11" s="1"/>
  <c r="AW87" i="11"/>
  <c r="AW103" i="11" s="1"/>
  <c r="AW89" i="11"/>
  <c r="AW105" i="11" s="1"/>
  <c r="AX9" i="11"/>
  <c r="AV57" i="11" s="1"/>
  <c r="AU57" i="11"/>
  <c r="S57" i="11" s="1"/>
  <c r="AX14" i="11"/>
  <c r="AV62" i="11" s="1"/>
  <c r="AW94" i="11"/>
  <c r="AW110" i="11" s="1"/>
  <c r="AU62" i="11"/>
  <c r="S62" i="11" s="1"/>
  <c r="AX97" i="11"/>
  <c r="AX113" i="11" s="1"/>
  <c r="AY17" i="11"/>
  <c r="AW65" i="11" s="1"/>
  <c r="AZ12" i="11"/>
  <c r="AX60" i="11" s="1"/>
  <c r="AY92" i="11"/>
  <c r="AY108" i="11" s="1"/>
  <c r="BA143" i="11"/>
  <c r="AZ149" i="11"/>
  <c r="AX20" i="11"/>
  <c r="AV68" i="11" s="1"/>
  <c r="AW100" i="11"/>
  <c r="AW116" i="11" s="1"/>
  <c r="AU68" i="11"/>
  <c r="S68" i="11" s="1"/>
  <c r="AX10" i="11"/>
  <c r="AV58" i="11" s="1"/>
  <c r="AU58" i="11"/>
  <c r="S58" i="11" s="1"/>
  <c r="AW90" i="11"/>
  <c r="AW106" i="11" s="1"/>
  <c r="AX99" i="11"/>
  <c r="AX115" i="11" s="1"/>
  <c r="AY19" i="11"/>
  <c r="AW67" i="11" s="1"/>
  <c r="AT53" i="11"/>
  <c r="AT158" i="11" s="1"/>
  <c r="AX107" i="11"/>
  <c r="R61" i="11"/>
  <c r="S61" i="11"/>
  <c r="AY91" i="11"/>
  <c r="AY107" i="11" s="1"/>
  <c r="AZ11" i="11"/>
  <c r="AX59" i="11" s="1"/>
  <c r="AY16" i="11"/>
  <c r="AW64" i="11" s="1"/>
  <c r="AX96" i="11"/>
  <c r="AX93" i="11"/>
  <c r="AY13" i="11"/>
  <c r="AW61" i="11" s="1"/>
  <c r="AY18" i="11"/>
  <c r="AW66" i="11" s="1"/>
  <c r="AX98" i="11"/>
  <c r="S64" i="11"/>
  <c r="R66" i="11"/>
  <c r="S66" i="11"/>
  <c r="AW86" i="11"/>
  <c r="AX6" i="11"/>
  <c r="AV54" i="11" s="1"/>
  <c r="AU54" i="11"/>
  <c r="U25" i="4"/>
  <c r="X25" i="4" s="1"/>
  <c r="W25" i="4"/>
  <c r="AV102" i="11"/>
  <c r="AU117" i="11"/>
  <c r="AU134" i="11"/>
  <c r="AV85" i="11" l="1"/>
  <c r="AW88" i="11"/>
  <c r="AW104" i="11" s="1"/>
  <c r="AX8" i="11"/>
  <c r="AX5" i="11" s="1"/>
  <c r="E26" i="4"/>
  <c r="B44" i="4"/>
  <c r="C43" i="4"/>
  <c r="D43" i="4"/>
  <c r="S44" i="4"/>
  <c r="T43" i="4"/>
  <c r="U43" i="4"/>
  <c r="BF157" i="11"/>
  <c r="AW147" i="11"/>
  <c r="AX148" i="11"/>
  <c r="AX150" i="11" s="1"/>
  <c r="AX144" i="11"/>
  <c r="AY142" i="11"/>
  <c r="AY15" i="11"/>
  <c r="AW63" i="11" s="1"/>
  <c r="AX95" i="11"/>
  <c r="AX111" i="11" s="1"/>
  <c r="AX89" i="11"/>
  <c r="AX105" i="11" s="1"/>
  <c r="AY9" i="11"/>
  <c r="AW57" i="11" s="1"/>
  <c r="AX87" i="11"/>
  <c r="AX103" i="11" s="1"/>
  <c r="AY7" i="11"/>
  <c r="AW55" i="11" s="1"/>
  <c r="AX100" i="11"/>
  <c r="AX116" i="11" s="1"/>
  <c r="AY20" i="11"/>
  <c r="AW68" i="11" s="1"/>
  <c r="AZ17" i="11"/>
  <c r="AX65" i="11" s="1"/>
  <c r="AY97" i="11"/>
  <c r="AY113" i="11" s="1"/>
  <c r="AZ92" i="11"/>
  <c r="AZ108" i="11" s="1"/>
  <c r="BA12" i="11"/>
  <c r="AY60" i="11" s="1"/>
  <c r="AX94" i="11"/>
  <c r="AX110" i="11" s="1"/>
  <c r="AY14" i="11"/>
  <c r="AW62" i="11" s="1"/>
  <c r="BB143" i="11"/>
  <c r="BA149" i="11"/>
  <c r="R53" i="11"/>
  <c r="M56" i="1" s="1"/>
  <c r="L56" i="1" s="1"/>
  <c r="AX90" i="11"/>
  <c r="AX106" i="11" s="1"/>
  <c r="AY10" i="11"/>
  <c r="AW58" i="11" s="1"/>
  <c r="AY99" i="11"/>
  <c r="AY115" i="11" s="1"/>
  <c r="AZ19" i="11"/>
  <c r="AX67" i="11" s="1"/>
  <c r="AZ13" i="11"/>
  <c r="AX61" i="11" s="1"/>
  <c r="AY93" i="11"/>
  <c r="AY109" i="11" s="1"/>
  <c r="AX109" i="11"/>
  <c r="AX114" i="11"/>
  <c r="AZ91" i="11"/>
  <c r="AZ107" i="11" s="1"/>
  <c r="BA11" i="11"/>
  <c r="AY59" i="11" s="1"/>
  <c r="AZ18" i="11"/>
  <c r="AX66" i="11" s="1"/>
  <c r="AY98" i="11"/>
  <c r="AY114" i="11" s="1"/>
  <c r="AX112" i="11"/>
  <c r="AZ16" i="11"/>
  <c r="AX64" i="11" s="1"/>
  <c r="AY96" i="11"/>
  <c r="AY112" i="11" s="1"/>
  <c r="AV101" i="11"/>
  <c r="Y25" i="4"/>
  <c r="Z25" i="4"/>
  <c r="AU53" i="11"/>
  <c r="AU158" i="11" s="1"/>
  <c r="S54" i="11"/>
  <c r="S53" i="11" s="1"/>
  <c r="N56" i="1" s="1"/>
  <c r="AX86" i="11"/>
  <c r="AY6" i="11"/>
  <c r="AW54" i="11" s="1"/>
  <c r="AW102" i="11"/>
  <c r="AW101" i="11" l="1"/>
  <c r="AW85" i="11"/>
  <c r="AV56" i="11"/>
  <c r="AV53" i="11" s="1"/>
  <c r="AV158" i="11" s="1"/>
  <c r="AY8" i="11"/>
  <c r="AY5" i="11" s="1"/>
  <c r="AX88" i="11"/>
  <c r="AX104" i="11" s="1"/>
  <c r="S45" i="4"/>
  <c r="T44" i="4"/>
  <c r="U44" i="4"/>
  <c r="B45" i="4"/>
  <c r="C44" i="4"/>
  <c r="D44" i="4"/>
  <c r="D26" i="4"/>
  <c r="G26" i="4" s="1"/>
  <c r="F26" i="4"/>
  <c r="BG157" i="11"/>
  <c r="AX147" i="11"/>
  <c r="AY144" i="11"/>
  <c r="AY148" i="11"/>
  <c r="AY150" i="11" s="1"/>
  <c r="AZ142" i="11"/>
  <c r="AY95" i="11"/>
  <c r="AY111" i="11" s="1"/>
  <c r="AZ15" i="11"/>
  <c r="AX63" i="11" s="1"/>
  <c r="AY87" i="11"/>
  <c r="AY103" i="11" s="1"/>
  <c r="AZ7" i="11"/>
  <c r="AX55" i="11" s="1"/>
  <c r="AY89" i="11"/>
  <c r="AY105" i="11" s="1"/>
  <c r="AZ9" i="11"/>
  <c r="AX57" i="11" s="1"/>
  <c r="BC143" i="11"/>
  <c r="BB149" i="11"/>
  <c r="BA92" i="11"/>
  <c r="BA108" i="11" s="1"/>
  <c r="BB12" i="11"/>
  <c r="AZ60" i="11" s="1"/>
  <c r="AY94" i="11"/>
  <c r="AY110" i="11" s="1"/>
  <c r="AZ14" i="11"/>
  <c r="AX62" i="11" s="1"/>
  <c r="BA19" i="11"/>
  <c r="AY67" i="11" s="1"/>
  <c r="AZ99" i="11"/>
  <c r="AZ115" i="11" s="1"/>
  <c r="AY90" i="11"/>
  <c r="AY106" i="11" s="1"/>
  <c r="AZ10" i="11"/>
  <c r="AX58" i="11" s="1"/>
  <c r="BA17" i="11"/>
  <c r="AY65" i="11" s="1"/>
  <c r="AZ97" i="11"/>
  <c r="AZ113" i="11" s="1"/>
  <c r="AZ20" i="11"/>
  <c r="AX68" i="11" s="1"/>
  <c r="AY100" i="11"/>
  <c r="AY116" i="11" s="1"/>
  <c r="BA91" i="11"/>
  <c r="BB11" i="11"/>
  <c r="AZ59" i="11" s="1"/>
  <c r="AZ98" i="11"/>
  <c r="AZ114" i="11" s="1"/>
  <c r="BA18" i="11"/>
  <c r="AY66" i="11" s="1"/>
  <c r="BA16" i="11"/>
  <c r="AY64" i="11" s="1"/>
  <c r="AZ96" i="11"/>
  <c r="BA13" i="11"/>
  <c r="AY61" i="11" s="1"/>
  <c r="AZ93" i="11"/>
  <c r="AX102" i="11"/>
  <c r="AX101" i="11" s="1"/>
  <c r="AX85" i="11"/>
  <c r="V26" i="4"/>
  <c r="AW134" i="11"/>
  <c r="AW117" i="11"/>
  <c r="AY86" i="11"/>
  <c r="AZ6" i="11"/>
  <c r="AX54" i="11" s="1"/>
  <c r="AV134" i="11"/>
  <c r="AV117" i="11"/>
  <c r="AW56" i="11" l="1"/>
  <c r="AW53" i="11" s="1"/>
  <c r="AW158" i="11" s="1"/>
  <c r="AZ8" i="11"/>
  <c r="AZ5" i="11" s="1"/>
  <c r="AY88" i="11"/>
  <c r="AY104" i="11" s="1"/>
  <c r="H26" i="4"/>
  <c r="I26" i="4"/>
  <c r="B46" i="4"/>
  <c r="D45" i="4"/>
  <c r="C45" i="4"/>
  <c r="S46" i="4"/>
  <c r="T45" i="4"/>
  <c r="U45" i="4"/>
  <c r="BH157" i="11"/>
  <c r="AY147" i="11"/>
  <c r="BA142" i="11"/>
  <c r="AZ144" i="11"/>
  <c r="AZ148" i="11"/>
  <c r="AZ150" i="11" s="1"/>
  <c r="AZ95" i="11"/>
  <c r="AZ111" i="11" s="1"/>
  <c r="BA15" i="11"/>
  <c r="AY63" i="11" s="1"/>
  <c r="BA7" i="11"/>
  <c r="AY55" i="11" s="1"/>
  <c r="AZ87" i="11"/>
  <c r="AZ103" i="11" s="1"/>
  <c r="BA9" i="11"/>
  <c r="AY57" i="11" s="1"/>
  <c r="AZ89" i="11"/>
  <c r="AZ105" i="11" s="1"/>
  <c r="BA10" i="11"/>
  <c r="AY58" i="11" s="1"/>
  <c r="AZ90" i="11"/>
  <c r="AZ106" i="11" s="1"/>
  <c r="BB92" i="11"/>
  <c r="BB108" i="11" s="1"/>
  <c r="BC12" i="11"/>
  <c r="BA60" i="11" s="1"/>
  <c r="AZ100" i="11"/>
  <c r="AZ116" i="11" s="1"/>
  <c r="BA20" i="11"/>
  <c r="AY68" i="11" s="1"/>
  <c r="BB17" i="11"/>
  <c r="AZ65" i="11" s="1"/>
  <c r="BA97" i="11"/>
  <c r="BA113" i="11" s="1"/>
  <c r="BA99" i="11"/>
  <c r="BA115" i="11" s="1"/>
  <c r="BB19" i="11"/>
  <c r="AZ67" i="11" s="1"/>
  <c r="BD143" i="11"/>
  <c r="BC149" i="11"/>
  <c r="BA14" i="11"/>
  <c r="AY62" i="11" s="1"/>
  <c r="AZ94" i="11"/>
  <c r="AZ110" i="11" s="1"/>
  <c r="BC11" i="11"/>
  <c r="BA59" i="11" s="1"/>
  <c r="BB91" i="11"/>
  <c r="BB107" i="11" s="1"/>
  <c r="AZ112" i="11"/>
  <c r="BB16" i="11"/>
  <c r="AZ64" i="11" s="1"/>
  <c r="BA96" i="11"/>
  <c r="BA112" i="11" s="1"/>
  <c r="AZ109" i="11"/>
  <c r="BB18" i="11"/>
  <c r="AZ66" i="11" s="1"/>
  <c r="BA98" i="11"/>
  <c r="BA107" i="11"/>
  <c r="BA93" i="11"/>
  <c r="BA109" i="11" s="1"/>
  <c r="BB13" i="11"/>
  <c r="AZ61" i="11" s="1"/>
  <c r="U26" i="4"/>
  <c r="X26" i="4" s="1"/>
  <c r="W26" i="4"/>
  <c r="BA6" i="11"/>
  <c r="AY54" i="11" s="1"/>
  <c r="AZ86" i="11"/>
  <c r="AY102" i="11"/>
  <c r="AX134" i="11"/>
  <c r="AX117" i="11"/>
  <c r="AY85" i="11" l="1"/>
  <c r="AX56" i="11"/>
  <c r="AX53" i="11" s="1"/>
  <c r="AX158" i="11" s="1"/>
  <c r="AZ88" i="11"/>
  <c r="AZ104" i="11" s="1"/>
  <c r="BA8" i="11"/>
  <c r="BA5" i="11" s="1"/>
  <c r="AZ147" i="11"/>
  <c r="S47" i="4"/>
  <c r="T46" i="4"/>
  <c r="U46" i="4"/>
  <c r="E27" i="4"/>
  <c r="B47" i="4"/>
  <c r="C46" i="4"/>
  <c r="D46" i="4"/>
  <c r="BI157" i="11"/>
  <c r="BA144" i="11"/>
  <c r="BB142" i="11"/>
  <c r="BA148" i="11"/>
  <c r="BA150" i="11" s="1"/>
  <c r="BB15" i="11"/>
  <c r="AZ63" i="11" s="1"/>
  <c r="BA95" i="11"/>
  <c r="BA111" i="11" s="1"/>
  <c r="BB9" i="11"/>
  <c r="AZ57" i="11" s="1"/>
  <c r="BA89" i="11"/>
  <c r="BA105" i="11" s="1"/>
  <c r="BB7" i="11"/>
  <c r="AZ55" i="11" s="1"/>
  <c r="BA87" i="11"/>
  <c r="BA103" i="11" s="1"/>
  <c r="BB20" i="11"/>
  <c r="AZ68" i="11" s="1"/>
  <c r="BA100" i="11"/>
  <c r="BA116" i="11" s="1"/>
  <c r="BA94" i="11"/>
  <c r="BA110" i="11" s="1"/>
  <c r="BB14" i="11"/>
  <c r="AZ62" i="11" s="1"/>
  <c r="BE143" i="11"/>
  <c r="BD149" i="11"/>
  <c r="BD12" i="11"/>
  <c r="BB60" i="11" s="1"/>
  <c r="BC92" i="11"/>
  <c r="BC108" i="11" s="1"/>
  <c r="BC19" i="11"/>
  <c r="BA67" i="11" s="1"/>
  <c r="BB99" i="11"/>
  <c r="BB115" i="11" s="1"/>
  <c r="BA90" i="11"/>
  <c r="BA106" i="11" s="1"/>
  <c r="BB10" i="11"/>
  <c r="AZ58" i="11" s="1"/>
  <c r="BB97" i="11"/>
  <c r="BB113" i="11" s="1"/>
  <c r="BC17" i="11"/>
  <c r="BA65" i="11" s="1"/>
  <c r="BB93" i="11"/>
  <c r="BC13" i="11"/>
  <c r="BA61" i="11" s="1"/>
  <c r="BA114" i="11"/>
  <c r="BB96" i="11"/>
  <c r="BC16" i="11"/>
  <c r="BA64" i="11" s="1"/>
  <c r="BD11" i="11"/>
  <c r="BB59" i="11" s="1"/>
  <c r="BC91" i="11"/>
  <c r="BB98" i="11"/>
  <c r="BB114" i="11" s="1"/>
  <c r="BC18" i="11"/>
  <c r="BA66" i="11" s="1"/>
  <c r="AY101" i="11"/>
  <c r="AZ102" i="11"/>
  <c r="BA86" i="11"/>
  <c r="BB6" i="11"/>
  <c r="AZ54" i="11" s="1"/>
  <c r="Y26" i="4"/>
  <c r="Z26" i="4"/>
  <c r="AZ85" i="11" l="1"/>
  <c r="AZ101" i="11"/>
  <c r="AY56" i="11"/>
  <c r="AY53" i="11" s="1"/>
  <c r="AY158" i="11" s="1"/>
  <c r="BA88" i="11"/>
  <c r="BA104" i="11" s="1"/>
  <c r="BB8" i="11"/>
  <c r="BB5" i="11" s="1"/>
  <c r="D27" i="4"/>
  <c r="G27" i="4" s="1"/>
  <c r="F27" i="4"/>
  <c r="B48" i="4"/>
  <c r="D47" i="4"/>
  <c r="C47" i="4"/>
  <c r="S48" i="4"/>
  <c r="T47" i="4"/>
  <c r="U47" i="4"/>
  <c r="BJ157" i="11"/>
  <c r="BA147" i="11"/>
  <c r="BB148" i="11"/>
  <c r="BB150" i="11" s="1"/>
  <c r="BC142" i="11"/>
  <c r="BB144" i="11"/>
  <c r="BB95" i="11"/>
  <c r="BB111" i="11" s="1"/>
  <c r="BC15" i="11"/>
  <c r="BA63" i="11" s="1"/>
  <c r="BB87" i="11"/>
  <c r="BB103" i="11" s="1"/>
  <c r="BC7" i="11"/>
  <c r="BA55" i="11" s="1"/>
  <c r="BC9" i="11"/>
  <c r="BA57" i="11" s="1"/>
  <c r="BB89" i="11"/>
  <c r="BB105" i="11" s="1"/>
  <c r="BD92" i="11"/>
  <c r="BD108" i="11" s="1"/>
  <c r="BE12" i="11"/>
  <c r="BC60" i="11" s="1"/>
  <c r="BB90" i="11"/>
  <c r="BB106" i="11" s="1"/>
  <c r="BC10" i="11"/>
  <c r="BA58" i="11" s="1"/>
  <c r="BF143" i="11"/>
  <c r="BE149" i="11"/>
  <c r="BC14" i="11"/>
  <c r="BA62" i="11" s="1"/>
  <c r="BB94" i="11"/>
  <c r="BB110" i="11" s="1"/>
  <c r="BD17" i="11"/>
  <c r="BB65" i="11" s="1"/>
  <c r="BC97" i="11"/>
  <c r="BC113" i="11" s="1"/>
  <c r="BD19" i="11"/>
  <c r="BB67" i="11" s="1"/>
  <c r="BC99" i="11"/>
  <c r="BC115" i="11" s="1"/>
  <c r="BC20" i="11"/>
  <c r="BA68" i="11" s="1"/>
  <c r="BB100" i="11"/>
  <c r="BB116" i="11" s="1"/>
  <c r="BB112" i="11"/>
  <c r="BD18" i="11"/>
  <c r="BB66" i="11" s="1"/>
  <c r="BC98" i="11"/>
  <c r="BC114" i="11" s="1"/>
  <c r="BC93" i="11"/>
  <c r="BC109" i="11" s="1"/>
  <c r="BD13" i="11"/>
  <c r="BB61" i="11" s="1"/>
  <c r="BC107" i="11"/>
  <c r="BB109" i="11"/>
  <c r="BC96" i="11"/>
  <c r="BC112" i="11" s="1"/>
  <c r="BD16" i="11"/>
  <c r="BB64" i="11" s="1"/>
  <c r="BE11" i="11"/>
  <c r="BC59" i="11" s="1"/>
  <c r="BD91" i="11"/>
  <c r="BD107" i="11" s="1"/>
  <c r="BB86" i="11"/>
  <c r="BC6" i="11"/>
  <c r="BA54" i="11" s="1"/>
  <c r="BA102" i="11"/>
  <c r="V27" i="4"/>
  <c r="AZ134" i="11"/>
  <c r="AZ117" i="11"/>
  <c r="AY134" i="11"/>
  <c r="AY117" i="11"/>
  <c r="BA85" i="11" l="1"/>
  <c r="BA101" i="11"/>
  <c r="AZ56" i="11"/>
  <c r="AZ53" i="11" s="1"/>
  <c r="AZ158" i="11" s="1"/>
  <c r="BB88" i="11"/>
  <c r="BB104" i="11" s="1"/>
  <c r="BC8" i="11"/>
  <c r="BC5" i="11" s="1"/>
  <c r="H27" i="4"/>
  <c r="I27" i="4"/>
  <c r="T48" i="4"/>
  <c r="S49" i="4"/>
  <c r="U48" i="4"/>
  <c r="B49" i="4"/>
  <c r="C48" i="4"/>
  <c r="D48" i="4"/>
  <c r="BK157" i="11"/>
  <c r="BD142" i="11"/>
  <c r="BC144" i="11"/>
  <c r="BC148" i="11"/>
  <c r="BC150" i="11" s="1"/>
  <c r="BB147" i="11"/>
  <c r="BC95" i="11"/>
  <c r="BC111" i="11" s="1"/>
  <c r="BD15" i="11"/>
  <c r="BB63" i="11" s="1"/>
  <c r="BD9" i="11"/>
  <c r="BB57" i="11" s="1"/>
  <c r="BC89" i="11"/>
  <c r="BC105" i="11" s="1"/>
  <c r="BC87" i="11"/>
  <c r="BC103" i="11" s="1"/>
  <c r="BD7" i="11"/>
  <c r="BB55" i="11" s="1"/>
  <c r="BD97" i="11"/>
  <c r="BD113" i="11" s="1"/>
  <c r="BE17" i="11"/>
  <c r="BC65" i="11" s="1"/>
  <c r="BG143" i="11"/>
  <c r="BF149" i="11"/>
  <c r="BC90" i="11"/>
  <c r="BC106" i="11" s="1"/>
  <c r="BD10" i="11"/>
  <c r="BB58" i="11" s="1"/>
  <c r="BD99" i="11"/>
  <c r="BD115" i="11" s="1"/>
  <c r="BE19" i="11"/>
  <c r="BC67" i="11" s="1"/>
  <c r="BC94" i="11"/>
  <c r="BC110" i="11" s="1"/>
  <c r="BD14" i="11"/>
  <c r="BB62" i="11" s="1"/>
  <c r="BD20" i="11"/>
  <c r="BB68" i="11" s="1"/>
  <c r="BC100" i="11"/>
  <c r="BC116" i="11" s="1"/>
  <c r="BE92" i="11"/>
  <c r="BE108" i="11" s="1"/>
  <c r="BF12" i="11"/>
  <c r="BD60" i="11" s="1"/>
  <c r="BE16" i="11"/>
  <c r="BC64" i="11" s="1"/>
  <c r="BD96" i="11"/>
  <c r="BD112" i="11" s="1"/>
  <c r="BE91" i="11"/>
  <c r="BE107" i="11" s="1"/>
  <c r="BF11" i="11"/>
  <c r="BD59" i="11" s="1"/>
  <c r="BD98" i="11"/>
  <c r="BD114" i="11" s="1"/>
  <c r="BE18" i="11"/>
  <c r="BC66" i="11" s="1"/>
  <c r="BE13" i="11"/>
  <c r="BC61" i="11" s="1"/>
  <c r="BD93" i="11"/>
  <c r="BA134" i="11"/>
  <c r="BD6" i="11"/>
  <c r="BB54" i="11" s="1"/>
  <c r="BC86" i="11"/>
  <c r="U27" i="4"/>
  <c r="X27" i="4" s="1"/>
  <c r="W27" i="4"/>
  <c r="BB102" i="11"/>
  <c r="BA117" i="11" l="1"/>
  <c r="BB85" i="11"/>
  <c r="BC147" i="11"/>
  <c r="BA56" i="11"/>
  <c r="BA53" i="11" s="1"/>
  <c r="BA158" i="11" s="1"/>
  <c r="BD8" i="11"/>
  <c r="BD5" i="11" s="1"/>
  <c r="BC88" i="11"/>
  <c r="BC104" i="11" s="1"/>
  <c r="E28" i="4"/>
  <c r="C49" i="4"/>
  <c r="B50" i="4"/>
  <c r="D49" i="4"/>
  <c r="T49" i="4"/>
  <c r="S50" i="4"/>
  <c r="U49" i="4"/>
  <c r="BL157" i="11"/>
  <c r="BE142" i="11"/>
  <c r="BD144" i="11"/>
  <c r="BD148" i="11"/>
  <c r="BD150" i="11" s="1"/>
  <c r="BE15" i="11"/>
  <c r="BC63" i="11" s="1"/>
  <c r="BD95" i="11"/>
  <c r="BD111" i="11" s="1"/>
  <c r="BD87" i="11"/>
  <c r="BD103" i="11" s="1"/>
  <c r="BE7" i="11"/>
  <c r="BC55" i="11" s="1"/>
  <c r="BD89" i="11"/>
  <c r="BD105" i="11" s="1"/>
  <c r="BE9" i="11"/>
  <c r="BC57" i="11" s="1"/>
  <c r="BH143" i="11"/>
  <c r="BG149" i="11"/>
  <c r="T146" i="11" s="1"/>
  <c r="T143" i="11"/>
  <c r="T142" i="11" s="1"/>
  <c r="T144" i="11" s="1"/>
  <c r="BG12" i="11"/>
  <c r="BE60" i="11" s="1"/>
  <c r="BF92" i="11"/>
  <c r="BF108" i="11" s="1"/>
  <c r="BF19" i="11"/>
  <c r="BD67" i="11" s="1"/>
  <c r="BE99" i="11"/>
  <c r="BE115" i="11" s="1"/>
  <c r="BF17" i="11"/>
  <c r="BD65" i="11" s="1"/>
  <c r="BE97" i="11"/>
  <c r="BE113" i="11" s="1"/>
  <c r="BE14" i="11"/>
  <c r="BC62" i="11" s="1"/>
  <c r="BD94" i="11"/>
  <c r="BD110" i="11" s="1"/>
  <c r="BE10" i="11"/>
  <c r="BC58" i="11" s="1"/>
  <c r="BD90" i="11"/>
  <c r="BD106" i="11" s="1"/>
  <c r="BE20" i="11"/>
  <c r="BC68" i="11" s="1"/>
  <c r="BD100" i="11"/>
  <c r="BD116" i="11" s="1"/>
  <c r="BF91" i="11"/>
  <c r="BF107" i="11" s="1"/>
  <c r="BG11" i="11"/>
  <c r="BE59" i="11" s="1"/>
  <c r="BF18" i="11"/>
  <c r="BD66" i="11" s="1"/>
  <c r="BE98" i="11"/>
  <c r="BE114" i="11" s="1"/>
  <c r="BE96" i="11"/>
  <c r="BE112" i="11" s="1"/>
  <c r="BF16" i="11"/>
  <c r="BD64" i="11" s="1"/>
  <c r="BD109" i="11"/>
  <c r="BF13" i="11"/>
  <c r="BD61" i="11" s="1"/>
  <c r="BE93" i="11"/>
  <c r="BE109" i="11" s="1"/>
  <c r="BB101" i="11"/>
  <c r="BD86" i="11"/>
  <c r="BE6" i="11"/>
  <c r="BC54" i="11" s="1"/>
  <c r="BC102" i="11"/>
  <c r="Y27" i="4"/>
  <c r="Z27" i="4"/>
  <c r="BC101" i="11" l="1"/>
  <c r="BC85" i="11"/>
  <c r="BB56" i="11"/>
  <c r="BB53" i="11" s="1"/>
  <c r="BD88" i="11"/>
  <c r="BD104" i="11" s="1"/>
  <c r="BE8" i="11"/>
  <c r="BE5" i="11" s="1"/>
  <c r="BD147" i="11"/>
  <c r="B51" i="4"/>
  <c r="C50" i="4"/>
  <c r="D50" i="4"/>
  <c r="S51" i="4"/>
  <c r="T50" i="4"/>
  <c r="U50" i="4"/>
  <c r="D28" i="4"/>
  <c r="G28" i="4" s="1"/>
  <c r="F28" i="4"/>
  <c r="BM157" i="11"/>
  <c r="BE148" i="11"/>
  <c r="BE150" i="11" s="1"/>
  <c r="BE144" i="11"/>
  <c r="BF142" i="11"/>
  <c r="BF15" i="11"/>
  <c r="BD63" i="11" s="1"/>
  <c r="BE95" i="11"/>
  <c r="BE111" i="11" s="1"/>
  <c r="BF9" i="11"/>
  <c r="BD57" i="11" s="1"/>
  <c r="BE89" i="11"/>
  <c r="BE105" i="11" s="1"/>
  <c r="BE87" i="11"/>
  <c r="BE103" i="11" s="1"/>
  <c r="BF7" i="11"/>
  <c r="BD55" i="11" s="1"/>
  <c r="BG19" i="11"/>
  <c r="BE67" i="11" s="1"/>
  <c r="BF99" i="11"/>
  <c r="BF115" i="11" s="1"/>
  <c r="BF97" i="11"/>
  <c r="BF113" i="11" s="1"/>
  <c r="BG17" i="11"/>
  <c r="BE65" i="11" s="1"/>
  <c r="BG92" i="11"/>
  <c r="BG108" i="11" s="1"/>
  <c r="T108" i="11" s="1"/>
  <c r="BH12" i="11"/>
  <c r="BF60" i="11" s="1"/>
  <c r="BE90" i="11"/>
  <c r="BE106" i="11" s="1"/>
  <c r="BF10" i="11"/>
  <c r="BD58" i="11" s="1"/>
  <c r="BE100" i="11"/>
  <c r="BE116" i="11" s="1"/>
  <c r="BF20" i="11"/>
  <c r="BD68" i="11" s="1"/>
  <c r="BF14" i="11"/>
  <c r="BD62" i="11" s="1"/>
  <c r="BE94" i="11"/>
  <c r="BE110" i="11" s="1"/>
  <c r="BI143" i="11"/>
  <c r="BH149" i="11"/>
  <c r="U143" i="11"/>
  <c r="U142" i="11" s="1"/>
  <c r="U144" i="11" s="1"/>
  <c r="BF98" i="11"/>
  <c r="BF114" i="11" s="1"/>
  <c r="BG18" i="11"/>
  <c r="BE66" i="11" s="1"/>
  <c r="BG13" i="11"/>
  <c r="BE61" i="11" s="1"/>
  <c r="BF93" i="11"/>
  <c r="BF109" i="11" s="1"/>
  <c r="BG91" i="11"/>
  <c r="BG107" i="11" s="1"/>
  <c r="T107" i="11" s="1"/>
  <c r="BH11" i="11"/>
  <c r="BF59" i="11" s="1"/>
  <c r="BG16" i="11"/>
  <c r="BE64" i="11" s="1"/>
  <c r="BF96" i="11"/>
  <c r="BF112" i="11" s="1"/>
  <c r="BE86" i="11"/>
  <c r="BF6" i="11"/>
  <c r="BD54" i="11" s="1"/>
  <c r="BD102" i="11"/>
  <c r="V28" i="4"/>
  <c r="BB117" i="11"/>
  <c r="BB158" i="11"/>
  <c r="BB134" i="11"/>
  <c r="BD101" i="11" l="1"/>
  <c r="BD85" i="11"/>
  <c r="BC117" i="11"/>
  <c r="BC134" i="11"/>
  <c r="BC56" i="11"/>
  <c r="BC53" i="11" s="1"/>
  <c r="BC158" i="11" s="1"/>
  <c r="BE88" i="11"/>
  <c r="BE104" i="11" s="1"/>
  <c r="BF8" i="11"/>
  <c r="BF5" i="11" s="1"/>
  <c r="H28" i="4"/>
  <c r="I28" i="4"/>
  <c r="S52" i="4"/>
  <c r="T51" i="4"/>
  <c r="U51" i="4"/>
  <c r="B52" i="4"/>
  <c r="C51" i="4"/>
  <c r="D51" i="4"/>
  <c r="BN157" i="11"/>
  <c r="BG142" i="11"/>
  <c r="BF144" i="11"/>
  <c r="BF148" i="11"/>
  <c r="BF150" i="11" s="1"/>
  <c r="BE147" i="11"/>
  <c r="BF95" i="11"/>
  <c r="BF111" i="11" s="1"/>
  <c r="BG15" i="11"/>
  <c r="BE63" i="11" s="1"/>
  <c r="BF87" i="11"/>
  <c r="BF103" i="11" s="1"/>
  <c r="BG7" i="11"/>
  <c r="BE55" i="11" s="1"/>
  <c r="BG9" i="11"/>
  <c r="BE57" i="11" s="1"/>
  <c r="BF89" i="11"/>
  <c r="BF105" i="11" s="1"/>
  <c r="BJ143" i="11"/>
  <c r="BI149" i="11"/>
  <c r="V143" i="11"/>
  <c r="V142" i="11" s="1"/>
  <c r="V144" i="11" s="1"/>
  <c r="BI12" i="11"/>
  <c r="BG60" i="11" s="1"/>
  <c r="T60" i="11" s="1"/>
  <c r="BH92" i="11"/>
  <c r="BH108" i="11" s="1"/>
  <c r="BF90" i="11"/>
  <c r="BF106" i="11" s="1"/>
  <c r="BG10" i="11"/>
  <c r="BE58" i="11" s="1"/>
  <c r="BH17" i="11"/>
  <c r="BF65" i="11" s="1"/>
  <c r="BG97" i="11"/>
  <c r="BG113" i="11" s="1"/>
  <c r="BF94" i="11"/>
  <c r="BF110" i="11" s="1"/>
  <c r="BG14" i="11"/>
  <c r="BE62" i="11" s="1"/>
  <c r="BG20" i="11"/>
  <c r="BE68" i="11" s="1"/>
  <c r="BF100" i="11"/>
  <c r="BF116" i="11" s="1"/>
  <c r="BG99" i="11"/>
  <c r="BG115" i="11" s="1"/>
  <c r="T115" i="11" s="1"/>
  <c r="BH19" i="11"/>
  <c r="BF67" i="11" s="1"/>
  <c r="BG98" i="11"/>
  <c r="BG114" i="11" s="1"/>
  <c r="T130" i="11" s="1"/>
  <c r="BH18" i="11"/>
  <c r="BF66" i="11" s="1"/>
  <c r="BG96" i="11"/>
  <c r="BG112" i="11" s="1"/>
  <c r="BH16" i="11"/>
  <c r="BF64" i="11" s="1"/>
  <c r="BH13" i="11"/>
  <c r="BF61" i="11" s="1"/>
  <c r="BG93" i="11"/>
  <c r="BG109" i="11" s="1"/>
  <c r="BH91" i="11"/>
  <c r="BI11" i="11"/>
  <c r="BG59" i="11" s="1"/>
  <c r="T59" i="11" s="1"/>
  <c r="BD134" i="11"/>
  <c r="BD117" i="11"/>
  <c r="BF86" i="11"/>
  <c r="BG6" i="11"/>
  <c r="BE54" i="11" s="1"/>
  <c r="BE102" i="11"/>
  <c r="BE101" i="11" s="1"/>
  <c r="U28" i="4"/>
  <c r="X28" i="4" s="1"/>
  <c r="W28" i="4"/>
  <c r="BE85" i="11" l="1"/>
  <c r="BE117" i="11" s="1"/>
  <c r="BD56" i="11"/>
  <c r="BD53" i="11" s="1"/>
  <c r="BD158" i="11" s="1"/>
  <c r="BF88" i="11"/>
  <c r="BF104" i="11" s="1"/>
  <c r="BG8" i="11"/>
  <c r="BF147" i="11"/>
  <c r="S53" i="4"/>
  <c r="T52" i="4"/>
  <c r="U52" i="4"/>
  <c r="E29" i="4"/>
  <c r="B53" i="4"/>
  <c r="C52" i="4"/>
  <c r="D52" i="4"/>
  <c r="BO157" i="11"/>
  <c r="BG148" i="11"/>
  <c r="BG150" i="11" s="1"/>
  <c r="BG144" i="11"/>
  <c r="BH142" i="11"/>
  <c r="BG95" i="11"/>
  <c r="BG111" i="11" s="1"/>
  <c r="T111" i="11" s="1"/>
  <c r="BH15" i="11"/>
  <c r="BF63" i="11" s="1"/>
  <c r="BH9" i="11"/>
  <c r="BF57" i="11" s="1"/>
  <c r="BG89" i="11"/>
  <c r="BG105" i="11" s="1"/>
  <c r="BH7" i="11"/>
  <c r="BF55" i="11" s="1"/>
  <c r="BG87" i="11"/>
  <c r="BG103" i="11" s="1"/>
  <c r="BI19" i="11"/>
  <c r="BG67" i="11" s="1"/>
  <c r="T67" i="11" s="1"/>
  <c r="BH99" i="11"/>
  <c r="BH115" i="11" s="1"/>
  <c r="BH97" i="11"/>
  <c r="BH113" i="11" s="1"/>
  <c r="BI17" i="11"/>
  <c r="BG65" i="11" s="1"/>
  <c r="T65" i="11" s="1"/>
  <c r="BH14" i="11"/>
  <c r="BF62" i="11" s="1"/>
  <c r="BG94" i="11"/>
  <c r="BG110" i="11" s="1"/>
  <c r="T114" i="11"/>
  <c r="BG90" i="11"/>
  <c r="BG106" i="11" s="1"/>
  <c r="BH10" i="11"/>
  <c r="BF58" i="11" s="1"/>
  <c r="BK143" i="11"/>
  <c r="BJ149" i="11"/>
  <c r="BG100" i="11"/>
  <c r="BG116" i="11" s="1"/>
  <c r="BH20" i="11"/>
  <c r="BF68" i="11" s="1"/>
  <c r="BI92" i="11"/>
  <c r="BI108" i="11" s="1"/>
  <c r="BJ12" i="11"/>
  <c r="BI91" i="11"/>
  <c r="BI107" i="11" s="1"/>
  <c r="BJ11" i="11"/>
  <c r="BH107" i="11"/>
  <c r="BI18" i="11"/>
  <c r="BG66" i="11" s="1"/>
  <c r="T66" i="11" s="1"/>
  <c r="BH98" i="11"/>
  <c r="BH93" i="11"/>
  <c r="BI13" i="11"/>
  <c r="BG61" i="11" s="1"/>
  <c r="T61" i="11" s="1"/>
  <c r="BI16" i="11"/>
  <c r="BG64" i="11" s="1"/>
  <c r="T64" i="11" s="1"/>
  <c r="BH96" i="11"/>
  <c r="BE134" i="11"/>
  <c r="BF102" i="11"/>
  <c r="BF101" i="11" s="1"/>
  <c r="BF85" i="11"/>
  <c r="BG86" i="11"/>
  <c r="BH6" i="11"/>
  <c r="BF54" i="11" s="1"/>
  <c r="BG5" i="11"/>
  <c r="Y28" i="4"/>
  <c r="Z28" i="4"/>
  <c r="BE56" i="11" l="1"/>
  <c r="BE53" i="11" s="1"/>
  <c r="BE158" i="11" s="1"/>
  <c r="BH8" i="11"/>
  <c r="BG88" i="11"/>
  <c r="BG104" i="11" s="1"/>
  <c r="B54" i="4"/>
  <c r="C53" i="4"/>
  <c r="D53" i="4"/>
  <c r="D29" i="4"/>
  <c r="G29" i="4" s="1"/>
  <c r="F29" i="4"/>
  <c r="S54" i="4"/>
  <c r="T53" i="4"/>
  <c r="U53" i="4"/>
  <c r="BP157" i="11"/>
  <c r="BI142" i="11"/>
  <c r="BH144" i="11"/>
  <c r="BH148" i="11"/>
  <c r="BH150" i="11" s="1"/>
  <c r="BG147" i="11"/>
  <c r="BI15" i="11"/>
  <c r="BG63" i="11" s="1"/>
  <c r="T63" i="11" s="1"/>
  <c r="BH95" i="11"/>
  <c r="BH111" i="11" s="1"/>
  <c r="BI7" i="11"/>
  <c r="BG55" i="11" s="1"/>
  <c r="T55" i="11" s="1"/>
  <c r="BH87" i="11"/>
  <c r="BH103" i="11" s="1"/>
  <c r="BI9" i="11"/>
  <c r="BG57" i="11" s="1"/>
  <c r="T57" i="11" s="1"/>
  <c r="BH89" i="11"/>
  <c r="BH105" i="11" s="1"/>
  <c r="BH100" i="11"/>
  <c r="BH116" i="11" s="1"/>
  <c r="BI20" i="11"/>
  <c r="BG68" i="11" s="1"/>
  <c r="T68" i="11" s="1"/>
  <c r="BI14" i="11"/>
  <c r="BG62" i="11" s="1"/>
  <c r="T62" i="11" s="1"/>
  <c r="BH94" i="11"/>
  <c r="BH110" i="11" s="1"/>
  <c r="BK12" i="11"/>
  <c r="BJ92" i="11"/>
  <c r="BJ108" i="11" s="1"/>
  <c r="BL143" i="11"/>
  <c r="BK149" i="11"/>
  <c r="BJ19" i="11"/>
  <c r="BI99" i="11"/>
  <c r="BI115" i="11" s="1"/>
  <c r="BI10" i="11"/>
  <c r="BG58" i="11" s="1"/>
  <c r="T58" i="11" s="1"/>
  <c r="BH90" i="11"/>
  <c r="BH106" i="11" s="1"/>
  <c r="BJ17" i="11"/>
  <c r="BI97" i="11"/>
  <c r="BI113" i="11" s="1"/>
  <c r="BH112" i="11"/>
  <c r="BJ18" i="11"/>
  <c r="BI98" i="11"/>
  <c r="BI114" i="11" s="1"/>
  <c r="BH114" i="11"/>
  <c r="BJ16" i="11"/>
  <c r="BI96" i="11"/>
  <c r="BI112" i="11" s="1"/>
  <c r="BI93" i="11"/>
  <c r="BI109" i="11" s="1"/>
  <c r="BJ13" i="11"/>
  <c r="BH109" i="11"/>
  <c r="BJ91" i="11"/>
  <c r="BJ107" i="11" s="1"/>
  <c r="BK11" i="11"/>
  <c r="BH86" i="11"/>
  <c r="BI6" i="11"/>
  <c r="BG54" i="11" s="1"/>
  <c r="BH5" i="11"/>
  <c r="BG102" i="11"/>
  <c r="BG101" i="11" s="1"/>
  <c r="BG85" i="11"/>
  <c r="V29" i="4"/>
  <c r="BF117" i="11"/>
  <c r="BF134" i="11"/>
  <c r="BH147" i="11" l="1"/>
  <c r="BF56" i="11"/>
  <c r="BF53" i="11" s="1"/>
  <c r="BF158" i="11" s="1"/>
  <c r="BH88" i="11"/>
  <c r="BH104" i="11" s="1"/>
  <c r="BI8" i="11"/>
  <c r="S55" i="4"/>
  <c r="T54" i="4"/>
  <c r="U54" i="4"/>
  <c r="H29" i="4"/>
  <c r="I29" i="4"/>
  <c r="B55" i="4"/>
  <c r="C54" i="4"/>
  <c r="D54" i="4"/>
  <c r="BQ157" i="11"/>
  <c r="T54" i="11"/>
  <c r="BI144" i="11"/>
  <c r="BJ142" i="11"/>
  <c r="BI148" i="11"/>
  <c r="BI150" i="11" s="1"/>
  <c r="BI95" i="11"/>
  <c r="BI111" i="11" s="1"/>
  <c r="BJ15" i="11"/>
  <c r="BI89" i="11"/>
  <c r="BI105" i="11" s="1"/>
  <c r="BJ9" i="11"/>
  <c r="BJ7" i="11"/>
  <c r="BI87" i="11"/>
  <c r="BI103" i="11" s="1"/>
  <c r="BJ20" i="11"/>
  <c r="BI100" i="11"/>
  <c r="BI116" i="11" s="1"/>
  <c r="BK92" i="11"/>
  <c r="BK108" i="11" s="1"/>
  <c r="BL12" i="11"/>
  <c r="BI90" i="11"/>
  <c r="BI106" i="11" s="1"/>
  <c r="BJ10" i="11"/>
  <c r="BJ99" i="11"/>
  <c r="BJ115" i="11" s="1"/>
  <c r="BK19" i="11"/>
  <c r="BJ97" i="11"/>
  <c r="BJ113" i="11" s="1"/>
  <c r="BK17" i="11"/>
  <c r="BI94" i="11"/>
  <c r="BI110" i="11" s="1"/>
  <c r="BJ14" i="11"/>
  <c r="BM143" i="11"/>
  <c r="BL149" i="11"/>
  <c r="BJ98" i="11"/>
  <c r="BK18" i="11"/>
  <c r="BK16" i="11"/>
  <c r="BJ96" i="11"/>
  <c r="BJ112" i="11" s="1"/>
  <c r="BK13" i="11"/>
  <c r="BJ93" i="11"/>
  <c r="BL11" i="11"/>
  <c r="BK91" i="11"/>
  <c r="BI86" i="11"/>
  <c r="BJ6" i="11"/>
  <c r="BH102" i="11"/>
  <c r="BG134" i="11"/>
  <c r="BG117" i="11"/>
  <c r="U29" i="4"/>
  <c r="X29" i="4" s="1"/>
  <c r="W29" i="4"/>
  <c r="BH85" i="11" l="1"/>
  <c r="BG56" i="11"/>
  <c r="BJ8" i="11"/>
  <c r="BJ5" i="11" s="1"/>
  <c r="BI88" i="11"/>
  <c r="BI104" i="11" s="1"/>
  <c r="BI5" i="11"/>
  <c r="BI147" i="11"/>
  <c r="B56" i="4"/>
  <c r="C55" i="4"/>
  <c r="D55" i="4"/>
  <c r="E30" i="4"/>
  <c r="S56" i="4"/>
  <c r="T55" i="4"/>
  <c r="U55" i="4"/>
  <c r="BR157" i="11"/>
  <c r="BJ144" i="11"/>
  <c r="BK142" i="11"/>
  <c r="BJ148" i="11"/>
  <c r="BJ150" i="11" s="1"/>
  <c r="BJ95" i="11"/>
  <c r="BJ111" i="11" s="1"/>
  <c r="BK15" i="11"/>
  <c r="BJ87" i="11"/>
  <c r="BJ103" i="11" s="1"/>
  <c r="BK7" i="11"/>
  <c r="BK9" i="11"/>
  <c r="BJ89" i="11"/>
  <c r="BJ105" i="11" s="1"/>
  <c r="BK99" i="11"/>
  <c r="BK115" i="11" s="1"/>
  <c r="BL19" i="11"/>
  <c r="BL17" i="11"/>
  <c r="BK97" i="11"/>
  <c r="BK113" i="11" s="1"/>
  <c r="BL92" i="11"/>
  <c r="BL108" i="11" s="1"/>
  <c r="BM12" i="11"/>
  <c r="BJ90" i="11"/>
  <c r="BJ106" i="11" s="1"/>
  <c r="BK10" i="11"/>
  <c r="BK14" i="11"/>
  <c r="BJ94" i="11"/>
  <c r="BJ110" i="11" s="1"/>
  <c r="BN143" i="11"/>
  <c r="BM149" i="11"/>
  <c r="BJ100" i="11"/>
  <c r="BJ116" i="11" s="1"/>
  <c r="BK20" i="11"/>
  <c r="BL13" i="11"/>
  <c r="BK93" i="11"/>
  <c r="BK109" i="11" s="1"/>
  <c r="BK96" i="11"/>
  <c r="BK112" i="11" s="1"/>
  <c r="BL16" i="11"/>
  <c r="BJ114" i="11"/>
  <c r="BJ109" i="11"/>
  <c r="BK98" i="11"/>
  <c r="BK114" i="11" s="1"/>
  <c r="BL18" i="11"/>
  <c r="BK107" i="11"/>
  <c r="BL91" i="11"/>
  <c r="BL107" i="11" s="1"/>
  <c r="BM11" i="11"/>
  <c r="Y29" i="4"/>
  <c r="Z29" i="4"/>
  <c r="BJ86" i="11"/>
  <c r="BK6" i="11"/>
  <c r="BH101" i="11"/>
  <c r="BI102" i="11"/>
  <c r="BI101" i="11" s="1"/>
  <c r="BI85" i="11" l="1"/>
  <c r="BK8" i="11"/>
  <c r="BK5" i="11" s="1"/>
  <c r="BJ88" i="11"/>
  <c r="BJ104" i="11" s="1"/>
  <c r="T56" i="11"/>
  <c r="T53" i="11" s="1"/>
  <c r="O56" i="1" s="1"/>
  <c r="BG53" i="11"/>
  <c r="BG158" i="11" s="1"/>
  <c r="S57" i="4"/>
  <c r="T56" i="4"/>
  <c r="U56" i="4"/>
  <c r="D30" i="4"/>
  <c r="G30" i="4" s="1"/>
  <c r="F30" i="4"/>
  <c r="B57" i="4"/>
  <c r="D56" i="4"/>
  <c r="C56" i="4"/>
  <c r="BS157" i="11"/>
  <c r="BJ147" i="11"/>
  <c r="BL142" i="11"/>
  <c r="BK144" i="11"/>
  <c r="BK148" i="11"/>
  <c r="BK150" i="11" s="1"/>
  <c r="BL15" i="11"/>
  <c r="BK95" i="11"/>
  <c r="BK111" i="11" s="1"/>
  <c r="BL9" i="11"/>
  <c r="BK89" i="11"/>
  <c r="BK105" i="11" s="1"/>
  <c r="BK87" i="11"/>
  <c r="BK103" i="11" s="1"/>
  <c r="BL7" i="11"/>
  <c r="BL97" i="11"/>
  <c r="BL113" i="11" s="1"/>
  <c r="BM17" i="11"/>
  <c r="BL14" i="11"/>
  <c r="BK94" i="11"/>
  <c r="BK110" i="11" s="1"/>
  <c r="BK90" i="11"/>
  <c r="BK106" i="11" s="1"/>
  <c r="BL10" i="11"/>
  <c r="BM92" i="11"/>
  <c r="BM108" i="11" s="1"/>
  <c r="BN12" i="11"/>
  <c r="BL20" i="11"/>
  <c r="BK100" i="11"/>
  <c r="BK116" i="11" s="1"/>
  <c r="BM19" i="11"/>
  <c r="BL99" i="11"/>
  <c r="BL115" i="11" s="1"/>
  <c r="BO143" i="11"/>
  <c r="BN149" i="11"/>
  <c r="BN11" i="11"/>
  <c r="BM91" i="11"/>
  <c r="BM18" i="11"/>
  <c r="BL98" i="11"/>
  <c r="BM13" i="11"/>
  <c r="BL93" i="11"/>
  <c r="BL96" i="11"/>
  <c r="BM16" i="11"/>
  <c r="BK86" i="11"/>
  <c r="BL6" i="11"/>
  <c r="BJ102" i="11"/>
  <c r="BH117" i="11"/>
  <c r="BH134" i="11"/>
  <c r="BH158" i="11"/>
  <c r="BI158" i="11"/>
  <c r="BI117" i="11"/>
  <c r="BI134" i="11"/>
  <c r="V30" i="4"/>
  <c r="BJ85" i="11" l="1"/>
  <c r="BK88" i="11"/>
  <c r="BK104" i="11" s="1"/>
  <c r="BL8" i="11"/>
  <c r="BL5" i="11" s="1"/>
  <c r="BK147" i="11"/>
  <c r="H30" i="4"/>
  <c r="I30" i="4"/>
  <c r="B58" i="4"/>
  <c r="C57" i="4"/>
  <c r="D57" i="4"/>
  <c r="S58" i="4"/>
  <c r="T57" i="4"/>
  <c r="U57" i="4"/>
  <c r="BT157" i="11"/>
  <c r="BL148" i="11"/>
  <c r="BL150" i="11" s="1"/>
  <c r="BM142" i="11"/>
  <c r="BL144" i="11"/>
  <c r="BL147" i="11" s="1"/>
  <c r="BL95" i="11"/>
  <c r="BL111" i="11" s="1"/>
  <c r="BM15" i="11"/>
  <c r="BM7" i="11"/>
  <c r="BL87" i="11"/>
  <c r="BL103" i="11" s="1"/>
  <c r="BM9" i="11"/>
  <c r="BL89" i="11"/>
  <c r="BL105" i="11" s="1"/>
  <c r="BL90" i="11"/>
  <c r="BL106" i="11" s="1"/>
  <c r="BM10" i="11"/>
  <c r="BM20" i="11"/>
  <c r="BL100" i="11"/>
  <c r="BL116" i="11" s="1"/>
  <c r="BL94" i="11"/>
  <c r="BL110" i="11" s="1"/>
  <c r="BM14" i="11"/>
  <c r="BN92" i="11"/>
  <c r="BN108" i="11" s="1"/>
  <c r="BO12" i="11"/>
  <c r="BM97" i="11"/>
  <c r="BM113" i="11" s="1"/>
  <c r="BN17" i="11"/>
  <c r="BP143" i="11"/>
  <c r="BO149" i="11"/>
  <c r="BM99" i="11"/>
  <c r="BM115" i="11" s="1"/>
  <c r="BN19" i="11"/>
  <c r="BL112" i="11"/>
  <c r="BN13" i="11"/>
  <c r="BM93" i="11"/>
  <c r="BM109" i="11" s="1"/>
  <c r="BM107" i="11"/>
  <c r="BM96" i="11"/>
  <c r="BM112" i="11" s="1"/>
  <c r="BN16" i="11"/>
  <c r="BO11" i="11"/>
  <c r="BN91" i="11"/>
  <c r="BN107" i="11" s="1"/>
  <c r="BL114" i="11"/>
  <c r="BN18" i="11"/>
  <c r="BM98" i="11"/>
  <c r="BM114" i="11" s="1"/>
  <c r="BL109" i="11"/>
  <c r="U30" i="4"/>
  <c r="X30" i="4" s="1"/>
  <c r="W30" i="4"/>
  <c r="BJ101" i="11"/>
  <c r="BL86" i="11"/>
  <c r="BM6" i="11"/>
  <c r="BK102" i="11"/>
  <c r="BK101" i="11" l="1"/>
  <c r="BK158" i="11" s="1"/>
  <c r="BK85" i="11"/>
  <c r="BL88" i="11"/>
  <c r="BL104" i="11" s="1"/>
  <c r="BM8" i="11"/>
  <c r="BM5" i="11" s="1"/>
  <c r="S59" i="4"/>
  <c r="T58" i="4"/>
  <c r="U58" i="4"/>
  <c r="B59" i="4"/>
  <c r="C58" i="4"/>
  <c r="D58" i="4"/>
  <c r="E31" i="4"/>
  <c r="BU157" i="11"/>
  <c r="BM148" i="11"/>
  <c r="BM150" i="11" s="1"/>
  <c r="BN142" i="11"/>
  <c r="BM144" i="11"/>
  <c r="BM95" i="11"/>
  <c r="BM111" i="11" s="1"/>
  <c r="BN15" i="11"/>
  <c r="BN9" i="11"/>
  <c r="BM89" i="11"/>
  <c r="BM105" i="11" s="1"/>
  <c r="BM87" i="11"/>
  <c r="BM103" i="11" s="1"/>
  <c r="BN7" i="11"/>
  <c r="BO19" i="11"/>
  <c r="BN99" i="11"/>
  <c r="BN115" i="11" s="1"/>
  <c r="BM94" i="11"/>
  <c r="BM110" i="11" s="1"/>
  <c r="BN14" i="11"/>
  <c r="BN20" i="11"/>
  <c r="BM100" i="11"/>
  <c r="BM116" i="11" s="1"/>
  <c r="BP12" i="11"/>
  <c r="BO92" i="11"/>
  <c r="BO108" i="11" s="1"/>
  <c r="BM90" i="11"/>
  <c r="BM106" i="11" s="1"/>
  <c r="BN10" i="11"/>
  <c r="BN97" i="11"/>
  <c r="BN113" i="11" s="1"/>
  <c r="BO17" i="11"/>
  <c r="BQ143" i="11"/>
  <c r="BP149" i="11"/>
  <c r="BO91" i="11"/>
  <c r="BP11" i="11"/>
  <c r="BO18" i="11"/>
  <c r="BN98" i="11"/>
  <c r="BN93" i="11"/>
  <c r="BN109" i="11" s="1"/>
  <c r="BO13" i="11"/>
  <c r="BN96" i="11"/>
  <c r="BN112" i="11" s="1"/>
  <c r="BO16" i="11"/>
  <c r="BL102" i="11"/>
  <c r="BJ117" i="11"/>
  <c r="BJ134" i="11"/>
  <c r="BJ158" i="11"/>
  <c r="Y30" i="4"/>
  <c r="Z30" i="4"/>
  <c r="BM86" i="11"/>
  <c r="BN6" i="11"/>
  <c r="BK117" i="11" l="1"/>
  <c r="BK134" i="11"/>
  <c r="BL85" i="11"/>
  <c r="BM88" i="11"/>
  <c r="BM104" i="11" s="1"/>
  <c r="BN8" i="11"/>
  <c r="D31" i="4"/>
  <c r="G31" i="4" s="1"/>
  <c r="F31" i="4"/>
  <c r="B60" i="4"/>
  <c r="C59" i="4"/>
  <c r="D59" i="4"/>
  <c r="S60" i="4"/>
  <c r="T59" i="4"/>
  <c r="U59" i="4"/>
  <c r="BV157" i="11"/>
  <c r="BN148" i="11"/>
  <c r="BN150" i="11" s="1"/>
  <c r="BN144" i="11"/>
  <c r="BO142" i="11"/>
  <c r="BM147" i="11"/>
  <c r="BO15" i="11"/>
  <c r="BN95" i="11"/>
  <c r="BN111" i="11" s="1"/>
  <c r="BO7" i="11"/>
  <c r="BN87" i="11"/>
  <c r="BN103" i="11" s="1"/>
  <c r="BN89" i="11"/>
  <c r="BN105" i="11" s="1"/>
  <c r="BO9" i="11"/>
  <c r="BR143" i="11"/>
  <c r="BQ149" i="11"/>
  <c r="BN100" i="11"/>
  <c r="BN116" i="11" s="1"/>
  <c r="BO20" i="11"/>
  <c r="BP17" i="11"/>
  <c r="BO97" i="11"/>
  <c r="BO113" i="11" s="1"/>
  <c r="BP92" i="11"/>
  <c r="BP108" i="11" s="1"/>
  <c r="BQ12" i="11"/>
  <c r="BO10" i="11"/>
  <c r="BN90" i="11"/>
  <c r="BN106" i="11" s="1"/>
  <c r="BN94" i="11"/>
  <c r="BN110" i="11" s="1"/>
  <c r="BO14" i="11"/>
  <c r="BO99" i="11"/>
  <c r="BO115" i="11" s="1"/>
  <c r="BP19" i="11"/>
  <c r="BP91" i="11"/>
  <c r="BP107" i="11" s="1"/>
  <c r="BQ11" i="11"/>
  <c r="BO107" i="11"/>
  <c r="BP16" i="11"/>
  <c r="BO96" i="11"/>
  <c r="BO112" i="11" s="1"/>
  <c r="BN114" i="11"/>
  <c r="BO93" i="11"/>
  <c r="BO109" i="11" s="1"/>
  <c r="BP13" i="11"/>
  <c r="BO98" i="11"/>
  <c r="BO114" i="11" s="1"/>
  <c r="BP18" i="11"/>
  <c r="BM102" i="11"/>
  <c r="V31" i="4"/>
  <c r="BN86" i="11"/>
  <c r="BO6" i="11"/>
  <c r="BN5" i="11"/>
  <c r="BL101" i="11"/>
  <c r="BN147" i="11" l="1"/>
  <c r="BM101" i="11"/>
  <c r="BM85" i="11"/>
  <c r="BN88" i="11"/>
  <c r="BN104" i="11" s="1"/>
  <c r="BO8" i="11"/>
  <c r="BO5" i="11" s="1"/>
  <c r="S61" i="4"/>
  <c r="T60" i="4"/>
  <c r="U60" i="4"/>
  <c r="B61" i="4"/>
  <c r="C60" i="4"/>
  <c r="D60" i="4"/>
  <c r="H31" i="4"/>
  <c r="I31" i="4"/>
  <c r="BW157" i="11"/>
  <c r="BP142" i="11"/>
  <c r="BO148" i="11"/>
  <c r="BO150" i="11" s="1"/>
  <c r="BO144" i="11"/>
  <c r="BO95" i="11"/>
  <c r="BO111" i="11" s="1"/>
  <c r="BP15" i="11"/>
  <c r="BO89" i="11"/>
  <c r="BO105" i="11" s="1"/>
  <c r="BP9" i="11"/>
  <c r="BO87" i="11"/>
  <c r="BO103" i="11" s="1"/>
  <c r="BP7" i="11"/>
  <c r="BQ92" i="11"/>
  <c r="BQ108" i="11" s="1"/>
  <c r="BR12" i="11"/>
  <c r="BQ19" i="11"/>
  <c r="BP99" i="11"/>
  <c r="BP115" i="11" s="1"/>
  <c r="BO100" i="11"/>
  <c r="BO116" i="11" s="1"/>
  <c r="BP20" i="11"/>
  <c r="BP14" i="11"/>
  <c r="BO94" i="11"/>
  <c r="BO110" i="11" s="1"/>
  <c r="BP10" i="11"/>
  <c r="BO90" i="11"/>
  <c r="BO106" i="11" s="1"/>
  <c r="BS143" i="11"/>
  <c r="BR149" i="11"/>
  <c r="BP97" i="11"/>
  <c r="BP113" i="11" s="1"/>
  <c r="BQ17" i="11"/>
  <c r="BP93" i="11"/>
  <c r="BP109" i="11" s="1"/>
  <c r="BQ13" i="11"/>
  <c r="BQ91" i="11"/>
  <c r="BQ107" i="11" s="1"/>
  <c r="BR11" i="11"/>
  <c r="BQ18" i="11"/>
  <c r="BP98" i="11"/>
  <c r="BP96" i="11"/>
  <c r="BP112" i="11" s="1"/>
  <c r="BQ16" i="11"/>
  <c r="BN102" i="11"/>
  <c r="BN85" i="11"/>
  <c r="BL134" i="11"/>
  <c r="BL117" i="11"/>
  <c r="BL158" i="11"/>
  <c r="U31" i="4"/>
  <c r="X31" i="4" s="1"/>
  <c r="W31" i="4"/>
  <c r="BO86" i="11"/>
  <c r="BP6" i="11"/>
  <c r="BM117" i="11" l="1"/>
  <c r="BM134" i="11"/>
  <c r="BM158" i="11"/>
  <c r="BO88" i="11"/>
  <c r="BO104" i="11" s="1"/>
  <c r="BP8" i="11"/>
  <c r="BP5" i="11" s="1"/>
  <c r="B62" i="4"/>
  <c r="C61" i="4"/>
  <c r="D61" i="4"/>
  <c r="S62" i="4"/>
  <c r="T61" i="4"/>
  <c r="U61" i="4"/>
  <c r="E32" i="4"/>
  <c r="BX157" i="11"/>
  <c r="BO147" i="11"/>
  <c r="BP148" i="11"/>
  <c r="BP150" i="11" s="1"/>
  <c r="BP144" i="11"/>
  <c r="BQ142" i="11"/>
  <c r="BP95" i="11"/>
  <c r="BP111" i="11" s="1"/>
  <c r="BQ15" i="11"/>
  <c r="BQ7" i="11"/>
  <c r="BP87" i="11"/>
  <c r="BP103" i="11" s="1"/>
  <c r="BQ9" i="11"/>
  <c r="BP89" i="11"/>
  <c r="BP105" i="11" s="1"/>
  <c r="BQ97" i="11"/>
  <c r="BQ113" i="11" s="1"/>
  <c r="BR17" i="11"/>
  <c r="BQ10" i="11"/>
  <c r="BP90" i="11"/>
  <c r="BP106" i="11" s="1"/>
  <c r="BS12" i="11"/>
  <c r="BR92" i="11"/>
  <c r="BR108" i="11" s="1"/>
  <c r="BP94" i="11"/>
  <c r="BP110" i="11" s="1"/>
  <c r="BQ14" i="11"/>
  <c r="BR19" i="11"/>
  <c r="BQ99" i="11"/>
  <c r="BQ115" i="11" s="1"/>
  <c r="BQ20" i="11"/>
  <c r="BP100" i="11"/>
  <c r="BP116" i="11" s="1"/>
  <c r="BT143" i="11"/>
  <c r="BS149" i="11"/>
  <c r="BR13" i="11"/>
  <c r="BQ93" i="11"/>
  <c r="BQ109" i="11" s="1"/>
  <c r="BP114" i="11"/>
  <c r="BR18" i="11"/>
  <c r="BQ98" i="11"/>
  <c r="BQ114" i="11" s="1"/>
  <c r="BR16" i="11"/>
  <c r="BQ96" i="11"/>
  <c r="BQ112" i="11" s="1"/>
  <c r="BR91" i="11"/>
  <c r="BR107" i="11" s="1"/>
  <c r="BS11" i="11"/>
  <c r="BP86" i="11"/>
  <c r="BQ6" i="11"/>
  <c r="BO102" i="11"/>
  <c r="Y31" i="4"/>
  <c r="Z31" i="4"/>
  <c r="BN101" i="11"/>
  <c r="BO85" i="11" l="1"/>
  <c r="BO101" i="11"/>
  <c r="BQ8" i="11"/>
  <c r="BP88" i="11"/>
  <c r="BP104" i="11" s="1"/>
  <c r="S63" i="4"/>
  <c r="T62" i="4"/>
  <c r="U62" i="4"/>
  <c r="B63" i="4"/>
  <c r="C62" i="4"/>
  <c r="D62" i="4"/>
  <c r="D32" i="4"/>
  <c r="G32" i="4" s="1"/>
  <c r="F32" i="4"/>
  <c r="BY157" i="11"/>
  <c r="BR142" i="11"/>
  <c r="BQ148" i="11"/>
  <c r="BQ150" i="11" s="1"/>
  <c r="BQ144" i="11"/>
  <c r="BP147" i="11"/>
  <c r="BR15" i="11"/>
  <c r="BQ95" i="11"/>
  <c r="BQ111" i="11" s="1"/>
  <c r="BQ89" i="11"/>
  <c r="BQ105" i="11" s="1"/>
  <c r="BR9" i="11"/>
  <c r="BQ87" i="11"/>
  <c r="BQ103" i="11" s="1"/>
  <c r="BR7" i="11"/>
  <c r="BT12" i="11"/>
  <c r="BS92" i="11"/>
  <c r="BS108" i="11" s="1"/>
  <c r="BR99" i="11"/>
  <c r="BR115" i="11" s="1"/>
  <c r="BS19" i="11"/>
  <c r="BQ100" i="11"/>
  <c r="BQ116" i="11" s="1"/>
  <c r="BR20" i="11"/>
  <c r="BQ94" i="11"/>
  <c r="BQ110" i="11" s="1"/>
  <c r="BR14" i="11"/>
  <c r="BQ90" i="11"/>
  <c r="BQ106" i="11" s="1"/>
  <c r="BR10" i="11"/>
  <c r="BU143" i="11"/>
  <c r="BT149" i="11"/>
  <c r="BS17" i="11"/>
  <c r="BR97" i="11"/>
  <c r="BR113" i="11" s="1"/>
  <c r="BS13" i="11"/>
  <c r="BR93" i="11"/>
  <c r="BR109" i="11" s="1"/>
  <c r="BS91" i="11"/>
  <c r="BS107" i="11" s="1"/>
  <c r="BT11" i="11"/>
  <c r="BS18" i="11"/>
  <c r="BR98" i="11"/>
  <c r="BR114" i="11" s="1"/>
  <c r="BR96" i="11"/>
  <c r="BR112" i="11" s="1"/>
  <c r="BS16" i="11"/>
  <c r="BQ86" i="11"/>
  <c r="BR6" i="11"/>
  <c r="BQ5" i="11"/>
  <c r="BN134" i="11"/>
  <c r="BN117" i="11"/>
  <c r="BN158" i="11"/>
  <c r="V32" i="4"/>
  <c r="BP102" i="11"/>
  <c r="BO117" i="11"/>
  <c r="BO134" i="11"/>
  <c r="BO158" i="11"/>
  <c r="BP85" i="11" l="1"/>
  <c r="BR8" i="11"/>
  <c r="BQ88" i="11"/>
  <c r="BQ104" i="11" s="1"/>
  <c r="H32" i="4"/>
  <c r="I32" i="4"/>
  <c r="B64" i="4"/>
  <c r="D63" i="4"/>
  <c r="C63" i="4"/>
  <c r="S64" i="4"/>
  <c r="T63" i="4"/>
  <c r="U63" i="4"/>
  <c r="BZ157" i="11"/>
  <c r="BQ147" i="11"/>
  <c r="BS142" i="11"/>
  <c r="BR148" i="11"/>
  <c r="BR150" i="11" s="1"/>
  <c r="BR144" i="11"/>
  <c r="BR95" i="11"/>
  <c r="BR111" i="11" s="1"/>
  <c r="BS15" i="11"/>
  <c r="BR89" i="11"/>
  <c r="BR105" i="11" s="1"/>
  <c r="BS9" i="11"/>
  <c r="BR87" i="11"/>
  <c r="BR103" i="11" s="1"/>
  <c r="BS7" i="11"/>
  <c r="BT19" i="11"/>
  <c r="BS99" i="11"/>
  <c r="BS115" i="11" s="1"/>
  <c r="BV143" i="11"/>
  <c r="BU149" i="11"/>
  <c r="BS14" i="11"/>
  <c r="BR94" i="11"/>
  <c r="BR110" i="11" s="1"/>
  <c r="BS97" i="11"/>
  <c r="BS113" i="11" s="1"/>
  <c r="BT17" i="11"/>
  <c r="BU12" i="11"/>
  <c r="BT92" i="11"/>
  <c r="BT108" i="11" s="1"/>
  <c r="BR100" i="11"/>
  <c r="BR116" i="11" s="1"/>
  <c r="BS20" i="11"/>
  <c r="BR90" i="11"/>
  <c r="BR106" i="11" s="1"/>
  <c r="BS10" i="11"/>
  <c r="BS93" i="11"/>
  <c r="BS109" i="11" s="1"/>
  <c r="BT13" i="11"/>
  <c r="BS96" i="11"/>
  <c r="BS112" i="11" s="1"/>
  <c r="BT16" i="11"/>
  <c r="BS98" i="11"/>
  <c r="BS114" i="11" s="1"/>
  <c r="BT18" i="11"/>
  <c r="BU11" i="11"/>
  <c r="BT91" i="11"/>
  <c r="BP101" i="11"/>
  <c r="BR86" i="11"/>
  <c r="BS6" i="11"/>
  <c r="BR5" i="11"/>
  <c r="U32" i="4"/>
  <c r="X32" i="4" s="1"/>
  <c r="W32" i="4"/>
  <c r="BQ102" i="11"/>
  <c r="BQ101" i="11" s="1"/>
  <c r="BQ85" i="11"/>
  <c r="BR88" i="11" l="1"/>
  <c r="BR104" i="11" s="1"/>
  <c r="BS8" i="11"/>
  <c r="BS5" i="11" s="1"/>
  <c r="B65" i="4"/>
  <c r="C64" i="4"/>
  <c r="D64" i="4"/>
  <c r="E33" i="4"/>
  <c r="S65" i="4"/>
  <c r="T64" i="4"/>
  <c r="U64" i="4"/>
  <c r="CA157" i="11"/>
  <c r="BR147" i="11"/>
  <c r="BS144" i="11"/>
  <c r="BT142" i="11"/>
  <c r="BS148" i="11"/>
  <c r="BS150" i="11" s="1"/>
  <c r="BT15" i="11"/>
  <c r="BS95" i="11"/>
  <c r="BS111" i="11" s="1"/>
  <c r="BS87" i="11"/>
  <c r="BS103" i="11" s="1"/>
  <c r="BT7" i="11"/>
  <c r="BT9" i="11"/>
  <c r="BS89" i="11"/>
  <c r="BS105" i="11" s="1"/>
  <c r="BW143" i="11"/>
  <c r="BV149" i="11"/>
  <c r="BS100" i="11"/>
  <c r="BS116" i="11" s="1"/>
  <c r="BT20" i="11"/>
  <c r="BU19" i="11"/>
  <c r="BT99" i="11"/>
  <c r="BT115" i="11" s="1"/>
  <c r="BS94" i="11"/>
  <c r="BS110" i="11" s="1"/>
  <c r="BT14" i="11"/>
  <c r="BT10" i="11"/>
  <c r="BS90" i="11"/>
  <c r="BS106" i="11" s="1"/>
  <c r="BV12" i="11"/>
  <c r="BU92" i="11"/>
  <c r="BU108" i="11" s="1"/>
  <c r="BU17" i="11"/>
  <c r="BT97" i="11"/>
  <c r="BT113" i="11" s="1"/>
  <c r="BT107" i="11"/>
  <c r="BU13" i="11"/>
  <c r="BT93" i="11"/>
  <c r="S8" i="11"/>
  <c r="T8" i="11"/>
  <c r="BV11" i="11"/>
  <c r="BU91" i="11"/>
  <c r="BU107" i="11" s="1"/>
  <c r="BU16" i="11"/>
  <c r="BT96" i="11"/>
  <c r="BU18" i="11"/>
  <c r="BT98" i="11"/>
  <c r="BR102" i="11"/>
  <c r="Y32" i="4"/>
  <c r="Z32" i="4"/>
  <c r="BS86" i="11"/>
  <c r="BT6" i="11"/>
  <c r="BQ158" i="11"/>
  <c r="BQ117" i="11"/>
  <c r="BQ134" i="11"/>
  <c r="BP117" i="11"/>
  <c r="BP134" i="11"/>
  <c r="BP158" i="11"/>
  <c r="BR85" i="11" l="1"/>
  <c r="U8" i="11"/>
  <c r="BR101" i="11"/>
  <c r="BR158" i="11" s="1"/>
  <c r="BS147" i="11"/>
  <c r="BT8" i="11"/>
  <c r="BT5" i="11" s="1"/>
  <c r="BS88" i="11"/>
  <c r="BS104" i="11" s="1"/>
  <c r="S66" i="4"/>
  <c r="T65" i="4"/>
  <c r="U65" i="4"/>
  <c r="D33" i="4"/>
  <c r="G33" i="4" s="1"/>
  <c r="F33" i="4"/>
  <c r="B66" i="4"/>
  <c r="C65" i="4"/>
  <c r="D65" i="4"/>
  <c r="CB157" i="11"/>
  <c r="BU142" i="11"/>
  <c r="BT148" i="11"/>
  <c r="BT150" i="11" s="1"/>
  <c r="BT144" i="11"/>
  <c r="BU15" i="11"/>
  <c r="BT95" i="11"/>
  <c r="BT111" i="11" s="1"/>
  <c r="BU9" i="11"/>
  <c r="BT89" i="11"/>
  <c r="BT105" i="11" s="1"/>
  <c r="BU7" i="11"/>
  <c r="BT87" i="11"/>
  <c r="BT103" i="11" s="1"/>
  <c r="BV19" i="11"/>
  <c r="BU99" i="11"/>
  <c r="BU115" i="11" s="1"/>
  <c r="BX143" i="11"/>
  <c r="BW149" i="11"/>
  <c r="BT90" i="11"/>
  <c r="BT106" i="11" s="1"/>
  <c r="BU10" i="11"/>
  <c r="BU97" i="11"/>
  <c r="BU113" i="11" s="1"/>
  <c r="BV17" i="11"/>
  <c r="BU14" i="11"/>
  <c r="BT94" i="11"/>
  <c r="BT110" i="11" s="1"/>
  <c r="BU20" i="11"/>
  <c r="BT100" i="11"/>
  <c r="BT116" i="11" s="1"/>
  <c r="BW12" i="11"/>
  <c r="BV92" i="11"/>
  <c r="BV108" i="11" s="1"/>
  <c r="S88" i="11"/>
  <c r="T88" i="11"/>
  <c r="BT112" i="11"/>
  <c r="BW11" i="11"/>
  <c r="BV91" i="11"/>
  <c r="BV107" i="11" s="1"/>
  <c r="BU96" i="11"/>
  <c r="BU112" i="11" s="1"/>
  <c r="BV16" i="11"/>
  <c r="BT114" i="11"/>
  <c r="BT109" i="11"/>
  <c r="BV18" i="11"/>
  <c r="BU98" i="11"/>
  <c r="BU114" i="11" s="1"/>
  <c r="S7" i="11"/>
  <c r="T7" i="11"/>
  <c r="U7" i="11"/>
  <c r="BU93" i="11"/>
  <c r="BU109" i="11" s="1"/>
  <c r="BV13" i="11"/>
  <c r="V33" i="4"/>
  <c r="BS102" i="11"/>
  <c r="BT86" i="11"/>
  <c r="BU6" i="11"/>
  <c r="BR134" i="11" l="1"/>
  <c r="BR117" i="11"/>
  <c r="BS85" i="11"/>
  <c r="BS101" i="11"/>
  <c r="U88" i="11"/>
  <c r="BT88" i="11"/>
  <c r="BT104" i="11" s="1"/>
  <c r="BU8" i="11"/>
  <c r="X70" i="11" s="1" a="1"/>
  <c r="H33" i="4"/>
  <c r="I33" i="4"/>
  <c r="B67" i="4"/>
  <c r="C66" i="4"/>
  <c r="D66" i="4"/>
  <c r="S67" i="4"/>
  <c r="T66" i="4"/>
  <c r="U66" i="4"/>
  <c r="CC157" i="11"/>
  <c r="BT147" i="11"/>
  <c r="BV142" i="11"/>
  <c r="BU144" i="11"/>
  <c r="BU148" i="11"/>
  <c r="BU150" i="11" s="1"/>
  <c r="BV15" i="11"/>
  <c r="BU95" i="11"/>
  <c r="BU111" i="11" s="1"/>
  <c r="BV7" i="11"/>
  <c r="BU87" i="11"/>
  <c r="BU103" i="11" s="1"/>
  <c r="BU89" i="11"/>
  <c r="BU105" i="11" s="1"/>
  <c r="BV9" i="11"/>
  <c r="BW92" i="11"/>
  <c r="BW108" i="11" s="1"/>
  <c r="BX12" i="11"/>
  <c r="BW19" i="11"/>
  <c r="BV99" i="11"/>
  <c r="BV115" i="11" s="1"/>
  <c r="BU100" i="11"/>
  <c r="BU116" i="11" s="1"/>
  <c r="BV20" i="11"/>
  <c r="BY143" i="11"/>
  <c r="BX149" i="11"/>
  <c r="BU90" i="11"/>
  <c r="BU106" i="11" s="1"/>
  <c r="BV10" i="11"/>
  <c r="BU94" i="11"/>
  <c r="BU110" i="11" s="1"/>
  <c r="BV14" i="11"/>
  <c r="BV97" i="11"/>
  <c r="BV113" i="11" s="1"/>
  <c r="BW17" i="11"/>
  <c r="S87" i="11"/>
  <c r="T87" i="11"/>
  <c r="U87" i="11"/>
  <c r="BV93" i="11"/>
  <c r="BV109" i="11" s="1"/>
  <c r="BW13" i="11"/>
  <c r="BV98" i="11"/>
  <c r="BV114" i="11" s="1"/>
  <c r="BW18" i="11"/>
  <c r="BW91" i="11"/>
  <c r="BX11" i="11"/>
  <c r="S104" i="11"/>
  <c r="S120" i="11"/>
  <c r="T120" i="11"/>
  <c r="T104" i="11"/>
  <c r="U120" i="11"/>
  <c r="U104" i="11"/>
  <c r="BW16" i="11"/>
  <c r="BV96" i="11"/>
  <c r="BV112" i="11" s="1"/>
  <c r="BU86" i="11"/>
  <c r="BV6" i="11"/>
  <c r="BS158" i="11"/>
  <c r="BT102" i="11"/>
  <c r="U33" i="4"/>
  <c r="X33" i="4" s="1"/>
  <c r="W33" i="4"/>
  <c r="BS117" i="11" l="1"/>
  <c r="BS134" i="11"/>
  <c r="BT85" i="11"/>
  <c r="BU5" i="11"/>
  <c r="BV8" i="11"/>
  <c r="BV5" i="11" s="1"/>
  <c r="BU88" i="11"/>
  <c r="BU104" i="11" s="1"/>
  <c r="S68" i="4"/>
  <c r="T67" i="4"/>
  <c r="U67" i="4"/>
  <c r="B68" i="4"/>
  <c r="D67" i="4"/>
  <c r="C67" i="4"/>
  <c r="E34" i="4"/>
  <c r="CD157" i="11"/>
  <c r="BU147" i="11"/>
  <c r="BV148" i="11"/>
  <c r="BV150" i="11" s="1"/>
  <c r="BV144" i="11"/>
  <c r="BW142" i="11"/>
  <c r="BV95" i="11"/>
  <c r="BV111" i="11" s="1"/>
  <c r="BW15" i="11"/>
  <c r="BW9" i="11"/>
  <c r="BV89" i="11"/>
  <c r="BV105" i="11" s="1"/>
  <c r="BW7" i="11"/>
  <c r="BV87" i="11"/>
  <c r="BV103" i="11" s="1"/>
  <c r="BW14" i="11"/>
  <c r="BV94" i="11"/>
  <c r="BV110" i="11" s="1"/>
  <c r="BW20" i="11"/>
  <c r="BV100" i="11"/>
  <c r="BV116" i="11" s="1"/>
  <c r="BZ143" i="11"/>
  <c r="BY149" i="11"/>
  <c r="BV90" i="11"/>
  <c r="BV106" i="11" s="1"/>
  <c r="BW10" i="11"/>
  <c r="BY12" i="11"/>
  <c r="BX92" i="11"/>
  <c r="BX108" i="11" s="1"/>
  <c r="BX17" i="11"/>
  <c r="BW97" i="11"/>
  <c r="BW113" i="11" s="1"/>
  <c r="BW99" i="11"/>
  <c r="BW115" i="11" s="1"/>
  <c r="BX19" i="11"/>
  <c r="BW107" i="11"/>
  <c r="BW96" i="11"/>
  <c r="BW112" i="11" s="1"/>
  <c r="BX16" i="11"/>
  <c r="BW98" i="11"/>
  <c r="BW114" i="11" s="1"/>
  <c r="BX18" i="11"/>
  <c r="S119" i="11"/>
  <c r="S103" i="11"/>
  <c r="T119" i="11"/>
  <c r="T103" i="11"/>
  <c r="U103" i="11"/>
  <c r="U119" i="11"/>
  <c r="BX13" i="11"/>
  <c r="BW93" i="11"/>
  <c r="BX91" i="11"/>
  <c r="BX107" i="11" s="1"/>
  <c r="BY11" i="11"/>
  <c r="Y33" i="4"/>
  <c r="Z33" i="4"/>
  <c r="BV86" i="11"/>
  <c r="BW6" i="11"/>
  <c r="BU102" i="11"/>
  <c r="BH80" i="11"/>
  <c r="BL83" i="11"/>
  <c r="Y82" i="11"/>
  <c r="AQ72" i="11"/>
  <c r="BP78" i="11"/>
  <c r="AG76" i="11"/>
  <c r="BN80" i="11"/>
  <c r="BD74" i="11"/>
  <c r="BL77" i="11"/>
  <c r="BB82" i="11"/>
  <c r="AY84" i="11"/>
  <c r="AM75" i="11"/>
  <c r="BD73" i="11"/>
  <c r="AA82" i="11"/>
  <c r="AP70" i="11"/>
  <c r="AP71" i="11"/>
  <c r="AU83" i="11"/>
  <c r="X73" i="11"/>
  <c r="AO76" i="11"/>
  <c r="AM83" i="11"/>
  <c r="AE72" i="11"/>
  <c r="BF78" i="11"/>
  <c r="AB74" i="11"/>
  <c r="BI83" i="11"/>
  <c r="AF77" i="11"/>
  <c r="BP79" i="11"/>
  <c r="AB72" i="11"/>
  <c r="BF73" i="11"/>
  <c r="AB81" i="11"/>
  <c r="AV77" i="11"/>
  <c r="BM79" i="11"/>
  <c r="AH73" i="11"/>
  <c r="AY82" i="11"/>
  <c r="X80" i="11"/>
  <c r="BM84" i="11"/>
  <c r="AY79" i="11"/>
  <c r="BF77" i="11"/>
  <c r="Y75" i="11"/>
  <c r="AG73" i="11"/>
  <c r="BJ79" i="11"/>
  <c r="BR84" i="11"/>
  <c r="BG72" i="11"/>
  <c r="AZ82" i="11"/>
  <c r="BO84" i="11"/>
  <c r="BC72" i="11"/>
  <c r="AV75" i="11"/>
  <c r="BR70" i="11"/>
  <c r="AM70" i="11"/>
  <c r="BB80" i="11"/>
  <c r="AT81" i="11"/>
  <c r="BF83" i="11"/>
  <c r="AA83" i="11"/>
  <c r="AB77" i="11"/>
  <c r="AX77" i="11"/>
  <c r="BS84" i="11"/>
  <c r="AZ70" i="11"/>
  <c r="AQ82" i="11"/>
  <c r="AI83" i="11"/>
  <c r="BH81" i="11"/>
  <c r="AA76" i="11"/>
  <c r="Z79" i="11"/>
  <c r="BJ84" i="11"/>
  <c r="AG70" i="11"/>
  <c r="AQ71" i="11"/>
  <c r="AW74" i="11"/>
  <c r="BQ79" i="11"/>
  <c r="BR74" i="11"/>
  <c r="AV74" i="11"/>
  <c r="AL72" i="11"/>
  <c r="BC78" i="11"/>
  <c r="BF79" i="11"/>
  <c r="AQ70" i="11"/>
  <c r="AN75" i="11"/>
  <c r="AL78" i="11"/>
  <c r="Y78" i="11"/>
  <c r="AD70" i="11"/>
  <c r="BO80" i="11"/>
  <c r="BK81" i="11"/>
  <c r="AO74" i="11"/>
  <c r="AP78" i="11"/>
  <c r="BI71" i="11"/>
  <c r="BB81" i="11"/>
  <c r="AP77" i="11"/>
  <c r="BL82" i="11"/>
  <c r="AZ84" i="11"/>
  <c r="AS79" i="11"/>
  <c r="BE71" i="11"/>
  <c r="BF75" i="11"/>
  <c r="AI75" i="11"/>
  <c r="AB70" i="11"/>
  <c r="BP80" i="11"/>
  <c r="AZ72" i="11"/>
  <c r="AT73" i="11"/>
  <c r="Y80" i="11"/>
  <c r="BK77" i="11"/>
  <c r="AO70" i="11"/>
  <c r="BP70" i="11"/>
  <c r="AM77" i="11"/>
  <c r="X70" i="11"/>
  <c r="Y76" i="11"/>
  <c r="BI80" i="11"/>
  <c r="AG72" i="11"/>
  <c r="AC83" i="11"/>
  <c r="BA77" i="11"/>
  <c r="AC73" i="11"/>
  <c r="AW83" i="11"/>
  <c r="AB73" i="11"/>
  <c r="BR78" i="11"/>
  <c r="AD83" i="11"/>
  <c r="AY77" i="11"/>
  <c r="AA81" i="11"/>
  <c r="AH70" i="11"/>
  <c r="AE83" i="11"/>
  <c r="Y70" i="11"/>
  <c r="AZ79" i="11"/>
  <c r="AO84" i="11"/>
  <c r="AM82" i="11"/>
  <c r="BA82" i="11"/>
  <c r="BR83" i="11"/>
  <c r="BA72" i="11"/>
  <c r="AL84" i="11"/>
  <c r="AN79" i="11"/>
  <c r="AS81" i="11"/>
  <c r="AX70" i="11"/>
  <c r="AD82" i="11"/>
  <c r="AV70" i="11"/>
  <c r="BC79" i="11"/>
  <c r="BJ76" i="11"/>
  <c r="AP80" i="11"/>
  <c r="AG82" i="11"/>
  <c r="AW81" i="11"/>
  <c r="AD81" i="11"/>
  <c r="BK75" i="11"/>
  <c r="AO77" i="11"/>
  <c r="AU82" i="11"/>
  <c r="BB73" i="11"/>
  <c r="BR81" i="11"/>
  <c r="BE74" i="11"/>
  <c r="AL73" i="11"/>
  <c r="AH75" i="11"/>
  <c r="AN72" i="11"/>
  <c r="AN82" i="11"/>
  <c r="BG73" i="11"/>
  <c r="AH83" i="11"/>
  <c r="AH81" i="11"/>
  <c r="AD75" i="11"/>
  <c r="AM76" i="11"/>
  <c r="BO74" i="11"/>
  <c r="AF72" i="11"/>
  <c r="AY83" i="11"/>
  <c r="BG81" i="11"/>
  <c r="AD77" i="11"/>
  <c r="BN77" i="11"/>
  <c r="Y81" i="11"/>
  <c r="AH71" i="11"/>
  <c r="AR81" i="11"/>
  <c r="AH80" i="11"/>
  <c r="BA73" i="11"/>
  <c r="AW72" i="11"/>
  <c r="Y83" i="11"/>
  <c r="BJ75" i="11"/>
  <c r="AZ71" i="11"/>
  <c r="BO79" i="11"/>
  <c r="AX76" i="11"/>
  <c r="BP75" i="11"/>
  <c r="AF83" i="11"/>
  <c r="AO83" i="11"/>
  <c r="Y72" i="11"/>
  <c r="AN84" i="11"/>
  <c r="BC83" i="11"/>
  <c r="X72" i="11"/>
  <c r="AJ84" i="11"/>
  <c r="BG80" i="11"/>
  <c r="AG78" i="11"/>
  <c r="AX83" i="11"/>
  <c r="BL72" i="11"/>
  <c r="AS80" i="11"/>
  <c r="BO83" i="11"/>
  <c r="Y79" i="11"/>
  <c r="AR84" i="11"/>
  <c r="BI81" i="11"/>
  <c r="AZ74" i="11"/>
  <c r="AJ75" i="11"/>
  <c r="X84" i="11"/>
  <c r="BP81" i="11"/>
  <c r="BC81" i="11"/>
  <c r="AM79" i="11"/>
  <c r="AL71" i="11"/>
  <c r="AT84" i="11"/>
  <c r="BS73" i="11"/>
  <c r="AG74" i="11"/>
  <c r="BB71" i="11"/>
  <c r="BL84" i="11"/>
  <c r="AH72" i="11"/>
  <c r="BH76" i="11"/>
  <c r="BB77" i="11"/>
  <c r="AW77" i="11"/>
  <c r="AU81" i="11"/>
  <c r="AC79" i="11"/>
  <c r="BF70" i="11"/>
  <c r="AL70" i="11"/>
  <c r="AA75" i="11"/>
  <c r="BJ78" i="11"/>
  <c r="BF74" i="11"/>
  <c r="AT80" i="11"/>
  <c r="AD78" i="11"/>
  <c r="AF76" i="11"/>
  <c r="AV72" i="11"/>
  <c r="BS75" i="11"/>
  <c r="AL80" i="11"/>
  <c r="AV84" i="11"/>
  <c r="AR75" i="11"/>
  <c r="BA81" i="11"/>
  <c r="AD71" i="11"/>
  <c r="AK80" i="11"/>
  <c r="Z70" i="11"/>
  <c r="BO81" i="11"/>
  <c r="BK74" i="11"/>
  <c r="X81" i="11"/>
  <c r="AH78" i="11"/>
  <c r="AW82" i="11"/>
  <c r="BS72" i="11"/>
  <c r="AA71" i="11"/>
  <c r="AX80" i="11"/>
  <c r="AN78" i="11"/>
  <c r="AS84" i="11"/>
  <c r="AV82" i="11"/>
  <c r="AM71" i="11"/>
  <c r="BC76" i="11"/>
  <c r="AM73" i="11"/>
  <c r="BS79" i="11"/>
  <c r="BN71" i="11"/>
  <c r="AC81" i="11"/>
  <c r="AY81" i="11"/>
  <c r="AP75" i="11"/>
  <c r="BB75" i="11"/>
  <c r="BD70" i="11"/>
  <c r="AR74" i="11"/>
  <c r="BF72" i="11"/>
  <c r="AJ82" i="11"/>
  <c r="BI84" i="11"/>
  <c r="AK81" i="11"/>
  <c r="AO79" i="11"/>
  <c r="AJ71" i="11"/>
  <c r="AP83" i="11"/>
  <c r="BD84" i="11"/>
  <c r="AI77" i="11"/>
  <c r="BE84" i="11"/>
  <c r="Y71" i="11"/>
  <c r="BP82" i="11"/>
  <c r="AJ74" i="11"/>
  <c r="BN72" i="11"/>
  <c r="Z71" i="11"/>
  <c r="BF84" i="11"/>
  <c r="AL77" i="11"/>
  <c r="AH84" i="11"/>
  <c r="AI84" i="11"/>
  <c r="AA77" i="11"/>
  <c r="BL79" i="11"/>
  <c r="BK72" i="11"/>
  <c r="AF73" i="11"/>
  <c r="AW73" i="11"/>
  <c r="AH77" i="11"/>
  <c r="BI74" i="11"/>
  <c r="AF71" i="11"/>
  <c r="BE70" i="11"/>
  <c r="AP81" i="11"/>
  <c r="BF80" i="11"/>
  <c r="AN71" i="11"/>
  <c r="Z74" i="11"/>
  <c r="AJ77" i="11"/>
  <c r="AC78" i="11"/>
  <c r="AA73" i="11"/>
  <c r="BD83" i="11"/>
  <c r="BM75" i="11"/>
  <c r="BB74" i="11"/>
  <c r="AU70" i="11"/>
  <c r="AR82" i="11"/>
  <c r="BQ78" i="11"/>
  <c r="Y77" i="11"/>
  <c r="Z81" i="11"/>
  <c r="AN70" i="11"/>
  <c r="AB83" i="11"/>
  <c r="BN70" i="11"/>
  <c r="AW76" i="11"/>
  <c r="AT71" i="11"/>
  <c r="Y84" i="11"/>
  <c r="BI73" i="11"/>
  <c r="BR72" i="11"/>
  <c r="BH77" i="11"/>
  <c r="AQ79" i="11"/>
  <c r="BS81" i="11"/>
  <c r="BC71" i="11"/>
  <c r="AJ73" i="11"/>
  <c r="AS74" i="11"/>
  <c r="BS80" i="11"/>
  <c r="Y73" i="11"/>
  <c r="AZ73" i="11"/>
  <c r="AF79" i="11"/>
  <c r="AV79" i="11"/>
  <c r="AW84" i="11"/>
  <c r="BP73" i="11"/>
  <c r="BN75" i="11"/>
  <c r="AZ76" i="11"/>
  <c r="AE70" i="11"/>
  <c r="AO82" i="11"/>
  <c r="AJ72" i="11"/>
  <c r="AA79" i="11"/>
  <c r="AP76" i="11"/>
  <c r="AX82" i="11"/>
  <c r="AU76" i="11"/>
  <c r="BM83" i="11"/>
  <c r="AQ75" i="11"/>
  <c r="AU80" i="11"/>
  <c r="BG83" i="11"/>
  <c r="AQ73" i="11"/>
  <c r="BB72" i="11"/>
  <c r="BB70" i="11"/>
  <c r="BO72" i="11"/>
  <c r="BI79" i="11"/>
  <c r="AW71" i="11"/>
  <c r="AJ78" i="11"/>
  <c r="AI76" i="11"/>
  <c r="AQ84" i="11"/>
  <c r="BC73" i="11"/>
  <c r="BA80" i="11"/>
  <c r="BN81" i="11"/>
  <c r="AB80" i="11"/>
  <c r="BP84" i="11"/>
  <c r="BC82" i="11"/>
  <c r="BH78" i="11"/>
  <c r="AS76" i="11"/>
  <c r="AL81" i="11"/>
  <c r="AN77" i="11"/>
  <c r="AP72" i="11"/>
  <c r="BI70" i="11"/>
  <c r="AC84" i="11"/>
  <c r="BE73" i="11"/>
  <c r="AL83" i="11"/>
  <c r="BQ77" i="11"/>
  <c r="AJ70" i="11"/>
  <c r="BJ74" i="11"/>
  <c r="BQ74" i="11"/>
  <c r="AX71" i="11"/>
  <c r="BH75" i="11"/>
  <c r="AJ79" i="11"/>
  <c r="AE77" i="11"/>
  <c r="AX74" i="11"/>
  <c r="AK79" i="11"/>
  <c r="BH71" i="11"/>
  <c r="X83" i="11"/>
  <c r="BM78" i="11"/>
  <c r="BB79" i="11"/>
  <c r="BH82" i="11"/>
  <c r="AI71" i="11"/>
  <c r="AA70" i="11"/>
  <c r="AW70" i="11"/>
  <c r="AO75" i="11"/>
  <c r="AK82" i="11"/>
  <c r="BO73" i="11"/>
  <c r="BN73" i="11"/>
  <c r="BL78" i="11"/>
  <c r="AZ77" i="11"/>
  <c r="AO71" i="11"/>
  <c r="AK83" i="11"/>
  <c r="BD82" i="11"/>
  <c r="BC75" i="11"/>
  <c r="AF80" i="11"/>
  <c r="AV78" i="11"/>
  <c r="BG78" i="11"/>
  <c r="AY71" i="11"/>
  <c r="AD72" i="11"/>
  <c r="Y74" i="11"/>
  <c r="AO73" i="11"/>
  <c r="BS76" i="11"/>
  <c r="AK70" i="11"/>
  <c r="BK70" i="11"/>
  <c r="AG83" i="11"/>
  <c r="BR76" i="11"/>
  <c r="AW79" i="11"/>
  <c r="AU74" i="11"/>
  <c r="BF81" i="11"/>
  <c r="BM82" i="11"/>
  <c r="AN76" i="11"/>
  <c r="AO80" i="11"/>
  <c r="AD74" i="11"/>
  <c r="BI77" i="11"/>
  <c r="AK78" i="11"/>
  <c r="AA72" i="11"/>
  <c r="BQ84" i="11"/>
  <c r="BJ77" i="11"/>
  <c r="AI72" i="11"/>
  <c r="BE77" i="11"/>
  <c r="AS78" i="11"/>
  <c r="AE75" i="11"/>
  <c r="AR80" i="11"/>
  <c r="AP73" i="11"/>
  <c r="AS75" i="11"/>
  <c r="AY76" i="11"/>
  <c r="BG75" i="11"/>
  <c r="BJ80" i="11"/>
  <c r="AQ76" i="11"/>
  <c r="BO70" i="11"/>
  <c r="BB78" i="11"/>
  <c r="BG79" i="11"/>
  <c r="Z72" i="11"/>
  <c r="BS82" i="11"/>
  <c r="BH74" i="11"/>
  <c r="BP77" i="11"/>
  <c r="AR73" i="11"/>
  <c r="X78" i="11"/>
  <c r="BJ83" i="11"/>
  <c r="AB71" i="11"/>
  <c r="BL81" i="11"/>
  <c r="BH73" i="11"/>
  <c r="AG79" i="11"/>
  <c r="AO81" i="11"/>
  <c r="BD72" i="11"/>
  <c r="AI79" i="11"/>
  <c r="AU78" i="11"/>
  <c r="AP84" i="11"/>
  <c r="AE80" i="11"/>
  <c r="AF82" i="11"/>
  <c r="BS70" i="11"/>
  <c r="AG80" i="11"/>
  <c r="AJ80" i="11"/>
  <c r="BR71" i="11"/>
  <c r="AK84" i="11"/>
  <c r="AT72" i="11"/>
  <c r="Z80" i="11"/>
  <c r="AP79" i="11"/>
  <c r="AX73" i="11"/>
  <c r="Z82" i="11"/>
  <c r="X71" i="11"/>
  <c r="AZ83" i="11"/>
  <c r="AS72" i="11"/>
  <c r="BA84" i="11"/>
  <c r="BP83" i="11"/>
  <c r="AO72" i="11"/>
  <c r="AT82" i="11"/>
  <c r="BJ82" i="11"/>
  <c r="AI74" i="11"/>
  <c r="AQ74" i="11"/>
  <c r="BE81" i="11"/>
  <c r="AX84" i="11"/>
  <c r="BQ71" i="11"/>
  <c r="BD79" i="11"/>
  <c r="BQ73" i="11"/>
  <c r="BE82" i="11"/>
  <c r="AK75" i="11"/>
  <c r="BA76" i="11"/>
  <c r="AG71" i="11"/>
  <c r="BS71" i="11"/>
  <c r="AE71" i="11"/>
  <c r="AR79" i="11"/>
  <c r="BG77" i="11"/>
  <c r="BB83" i="11"/>
  <c r="AR76" i="11"/>
  <c r="X76" i="11"/>
  <c r="AE74" i="11"/>
  <c r="AD84" i="11"/>
  <c r="BN78" i="11"/>
  <c r="AB75" i="11"/>
  <c r="BM70" i="11"/>
  <c r="BH83" i="11"/>
  <c r="AC80" i="11"/>
  <c r="AL75" i="11"/>
  <c r="BH72" i="11"/>
  <c r="AE84" i="11"/>
  <c r="AO78" i="11"/>
  <c r="BN84" i="11"/>
  <c r="AH79" i="11"/>
  <c r="BS83" i="11"/>
  <c r="AF75" i="11"/>
  <c r="BM77" i="11"/>
  <c r="AE78" i="11"/>
  <c r="AY78" i="11"/>
  <c r="BP76" i="11"/>
  <c r="AB84" i="11"/>
  <c r="BA75" i="11"/>
  <c r="AE82" i="11"/>
  <c r="AI70" i="11"/>
  <c r="AG75" i="11"/>
  <c r="BK73" i="11"/>
  <c r="AK71" i="11"/>
  <c r="BQ75" i="11"/>
  <c r="AX78" i="11"/>
  <c r="BM76" i="11"/>
  <c r="BP72" i="11"/>
  <c r="X74" i="11"/>
  <c r="BG84" i="11"/>
  <c r="AQ80" i="11"/>
  <c r="AB76" i="11"/>
  <c r="BQ72" i="11"/>
  <c r="AM74" i="11"/>
  <c r="AV73" i="11"/>
  <c r="AA80" i="11"/>
  <c r="AQ83" i="11"/>
  <c r="AQ77" i="11"/>
  <c r="BE78" i="11"/>
  <c r="BA70" i="11"/>
  <c r="BR73" i="11"/>
  <c r="BM80" i="11"/>
  <c r="BQ76" i="11"/>
  <c r="BD78" i="11"/>
  <c r="AD76" i="11"/>
  <c r="AY74" i="11"/>
  <c r="AS71" i="11"/>
  <c r="AL74" i="11"/>
  <c r="AK73" i="11"/>
  <c r="BJ72" i="11"/>
  <c r="AI73" i="11"/>
  <c r="AT83" i="11"/>
  <c r="AW80" i="11"/>
  <c r="AM81" i="11"/>
  <c r="BM81" i="11"/>
  <c r="AG77" i="11"/>
  <c r="BK83" i="11"/>
  <c r="AY72" i="11"/>
  <c r="AN83" i="11"/>
  <c r="AV81" i="11"/>
  <c r="AM78" i="11"/>
  <c r="BQ70" i="11"/>
  <c r="AT76" i="11"/>
  <c r="AS77" i="11"/>
  <c r="AG84" i="11"/>
  <c r="AU84" i="11"/>
  <c r="BP71" i="11"/>
  <c r="BK80" i="11"/>
  <c r="AN81" i="11"/>
  <c r="AR71" i="11"/>
  <c r="AE76" i="11"/>
  <c r="AZ81" i="11"/>
  <c r="AP82" i="11"/>
  <c r="AF84" i="11"/>
  <c r="BC77" i="11"/>
  <c r="BG74" i="11"/>
  <c r="AC72" i="11"/>
  <c r="AS83" i="11"/>
  <c r="AK76" i="11"/>
  <c r="BL76" i="11"/>
  <c r="X79" i="11"/>
  <c r="BR77" i="11"/>
  <c r="AT74" i="11"/>
  <c r="BA71" i="11"/>
  <c r="AA78" i="11"/>
  <c r="BL71" i="11"/>
  <c r="BP74" i="11"/>
  <c r="BB84" i="11"/>
  <c r="AE73" i="11"/>
  <c r="BH79" i="11"/>
  <c r="AY70" i="11"/>
  <c r="AE81" i="11"/>
  <c r="BO71" i="11"/>
  <c r="AC82" i="11"/>
  <c r="BI76" i="11"/>
  <c r="BE72" i="11"/>
  <c r="AI78" i="11"/>
  <c r="BD76" i="11"/>
  <c r="BK82" i="11"/>
  <c r="AB79" i="11"/>
  <c r="BE76" i="11"/>
  <c r="Z75" i="11"/>
  <c r="BI82" i="11"/>
  <c r="BO75" i="11"/>
  <c r="AZ75" i="11"/>
  <c r="BC84" i="11"/>
  <c r="AU77" i="11"/>
  <c r="AU75" i="11"/>
  <c r="BF76" i="11"/>
  <c r="BC80" i="11"/>
  <c r="AJ83" i="11"/>
  <c r="BD77" i="11"/>
  <c r="AX79" i="11"/>
  <c r="BQ83" i="11"/>
  <c r="AR72" i="11"/>
  <c r="BJ71" i="11"/>
  <c r="BA79" i="11"/>
  <c r="BM71" i="11"/>
  <c r="AS82" i="11"/>
  <c r="X75" i="11"/>
  <c r="BN76" i="11"/>
  <c r="AL76" i="11"/>
  <c r="BK78" i="11"/>
  <c r="AW78" i="11"/>
  <c r="AH76" i="11"/>
  <c r="BK76" i="11"/>
  <c r="AV71" i="11"/>
  <c r="AA74" i="11"/>
  <c r="AR78" i="11"/>
  <c r="AX75" i="11"/>
  <c r="AT75" i="11"/>
  <c r="AL82" i="11"/>
  <c r="BA74" i="11"/>
  <c r="AY75" i="11"/>
  <c r="BG71" i="11"/>
  <c r="X77" i="11"/>
  <c r="AV80" i="11"/>
  <c r="AC70" i="11"/>
  <c r="AK72" i="11"/>
  <c r="BO76" i="11"/>
  <c r="AG81" i="11"/>
  <c r="AB82" i="11"/>
  <c r="BQ81" i="11"/>
  <c r="BM74" i="11"/>
  <c r="AJ76" i="11"/>
  <c r="Z78" i="11"/>
  <c r="BG76" i="11"/>
  <c r="BI72" i="11"/>
  <c r="AI81" i="11"/>
  <c r="BD75" i="11"/>
  <c r="BF82" i="11"/>
  <c r="BD71" i="11"/>
  <c r="BL75" i="11"/>
  <c r="BR80" i="11"/>
  <c r="AW75" i="11"/>
  <c r="AK77" i="11"/>
  <c r="BM72" i="11"/>
  <c r="BB76" i="11"/>
  <c r="BE75" i="11"/>
  <c r="AF70" i="11"/>
  <c r="AR83" i="11"/>
  <c r="AY80" i="11"/>
  <c r="BL70" i="11"/>
  <c r="AQ81" i="11"/>
  <c r="BI78" i="11"/>
  <c r="AB78" i="11"/>
  <c r="AN74" i="11"/>
  <c r="AM80" i="11"/>
  <c r="BE80" i="11"/>
  <c r="BC70" i="11"/>
  <c r="AR70" i="11"/>
  <c r="BL80" i="11"/>
  <c r="BC74" i="11"/>
  <c r="AC75" i="11"/>
  <c r="AC74" i="11"/>
  <c r="AF78" i="11"/>
  <c r="BN83" i="11"/>
  <c r="AU71" i="11"/>
  <c r="BA78" i="11"/>
  <c r="BM73" i="11"/>
  <c r="Z83" i="11"/>
  <c r="BK79" i="11"/>
  <c r="AY73" i="11"/>
  <c r="AQ78" i="11"/>
  <c r="AZ80" i="11"/>
  <c r="BE79" i="11"/>
  <c r="AL79" i="11"/>
  <c r="BG70" i="11"/>
  <c r="BH84" i="11"/>
  <c r="BD81" i="11"/>
  <c r="AT77" i="11"/>
  <c r="BO78" i="11"/>
  <c r="BL74" i="11"/>
  <c r="BQ80" i="11"/>
  <c r="BS78" i="11"/>
  <c r="AT78" i="11"/>
  <c r="BS74" i="11"/>
  <c r="AS73" i="11"/>
  <c r="AC76" i="11"/>
  <c r="BD80" i="11"/>
  <c r="BR79" i="11"/>
  <c r="AJ81" i="11"/>
  <c r="BQ82" i="11"/>
  <c r="BH70" i="11"/>
  <c r="BO82" i="11"/>
  <c r="AU73" i="11"/>
  <c r="AN73" i="11"/>
  <c r="AD79" i="11"/>
  <c r="AK74" i="11"/>
  <c r="AH74" i="11"/>
  <c r="AF74" i="11"/>
  <c r="AE79" i="11"/>
  <c r="AC77" i="11"/>
  <c r="AM72" i="11"/>
  <c r="AX72" i="11"/>
  <c r="BN74" i="11"/>
  <c r="AU79" i="11"/>
  <c r="BR75" i="11"/>
  <c r="BO77" i="11"/>
  <c r="BK84" i="11"/>
  <c r="BJ70" i="11"/>
  <c r="AF81" i="11"/>
  <c r="BR82" i="11"/>
  <c r="AM84" i="11"/>
  <c r="AV76" i="11"/>
  <c r="Z77" i="11"/>
  <c r="AN80" i="11"/>
  <c r="X82" i="11"/>
  <c r="Z76" i="11"/>
  <c r="AI82" i="11"/>
  <c r="AV83" i="11"/>
  <c r="BE83" i="11"/>
  <c r="BL73" i="11"/>
  <c r="AP74" i="11"/>
  <c r="AS70" i="11"/>
  <c r="BS77" i="11"/>
  <c r="BN82" i="11"/>
  <c r="AT70" i="11"/>
  <c r="BI75" i="11"/>
  <c r="BK71" i="11"/>
  <c r="AI80" i="11"/>
  <c r="AX81" i="11"/>
  <c r="Z73" i="11"/>
  <c r="AT79" i="11"/>
  <c r="AD80" i="11"/>
  <c r="BA83" i="11"/>
  <c r="Z84" i="11"/>
  <c r="BG82" i="11"/>
  <c r="AR77" i="11"/>
  <c r="AZ78" i="11"/>
  <c r="BJ73" i="11"/>
  <c r="BJ81" i="11"/>
  <c r="BF71" i="11"/>
  <c r="AH82" i="11"/>
  <c r="AA84" i="11"/>
  <c r="AD73" i="11"/>
  <c r="AU72" i="11"/>
  <c r="AC71" i="11"/>
  <c r="BN79" i="11"/>
  <c r="BT101" i="11"/>
  <c r="BU101" i="11" l="1"/>
  <c r="BU85" i="11"/>
  <c r="BV88" i="11"/>
  <c r="BV104" i="11" s="1"/>
  <c r="BW8" i="11"/>
  <c r="D34" i="4"/>
  <c r="G34" i="4" s="1"/>
  <c r="F34" i="4"/>
  <c r="B69" i="4"/>
  <c r="C68" i="4"/>
  <c r="D68" i="4"/>
  <c r="S69" i="4"/>
  <c r="T68" i="4"/>
  <c r="U68" i="4"/>
  <c r="CE157" i="11"/>
  <c r="BV147" i="11"/>
  <c r="BW144" i="11"/>
  <c r="BX142" i="11"/>
  <c r="BW148" i="11"/>
  <c r="BW150" i="11" s="1"/>
  <c r="BX15" i="11"/>
  <c r="BW95" i="11"/>
  <c r="BW111" i="11" s="1"/>
  <c r="BW87" i="11"/>
  <c r="BW103" i="11" s="1"/>
  <c r="BX7" i="11"/>
  <c r="BW89" i="11"/>
  <c r="BW105" i="11" s="1"/>
  <c r="BX9" i="11"/>
  <c r="BW100" i="11"/>
  <c r="BW116" i="11" s="1"/>
  <c r="BX20" i="11"/>
  <c r="CA143" i="11"/>
  <c r="BZ149" i="11"/>
  <c r="BY17" i="11"/>
  <c r="BX97" i="11"/>
  <c r="BX113" i="11" s="1"/>
  <c r="BY19" i="11"/>
  <c r="BX99" i="11"/>
  <c r="BX115" i="11" s="1"/>
  <c r="BX10" i="11"/>
  <c r="BW90" i="11"/>
  <c r="BW106" i="11" s="1"/>
  <c r="BZ12" i="11"/>
  <c r="BY92" i="11"/>
  <c r="BY108" i="11" s="1"/>
  <c r="BW94" i="11"/>
  <c r="BW110" i="11" s="1"/>
  <c r="BX14" i="11"/>
  <c r="S76" i="11"/>
  <c r="T76" i="11"/>
  <c r="BY16" i="11"/>
  <c r="BX96" i="11"/>
  <c r="BX93" i="11"/>
  <c r="BX109" i="11" s="1"/>
  <c r="BY13" i="11"/>
  <c r="T83" i="11"/>
  <c r="BZ11" i="11"/>
  <c r="BY91" i="11"/>
  <c r="BY107" i="11" s="1"/>
  <c r="AT69" i="11"/>
  <c r="BO69" i="11"/>
  <c r="BJ69" i="11"/>
  <c r="U84" i="11"/>
  <c r="BW109" i="11"/>
  <c r="BY18" i="11"/>
  <c r="BX98" i="11"/>
  <c r="BX114" i="11" s="1"/>
  <c r="T80" i="11"/>
  <c r="R79" i="11"/>
  <c r="U71" i="11"/>
  <c r="BB69" i="11"/>
  <c r="S73" i="11"/>
  <c r="AV69" i="11"/>
  <c r="T70" i="11"/>
  <c r="T75" i="11"/>
  <c r="T77" i="11"/>
  <c r="AF69" i="11"/>
  <c r="R77" i="11"/>
  <c r="R75" i="11"/>
  <c r="BA69" i="11"/>
  <c r="AW69" i="11"/>
  <c r="AJ69" i="11"/>
  <c r="S70" i="11"/>
  <c r="AU69" i="11"/>
  <c r="BD69" i="11"/>
  <c r="T71" i="11"/>
  <c r="S83" i="11"/>
  <c r="U72" i="11"/>
  <c r="AA69" i="11"/>
  <c r="T79" i="11"/>
  <c r="BN69" i="11"/>
  <c r="S71" i="11"/>
  <c r="S84" i="11"/>
  <c r="AX69" i="11"/>
  <c r="AD69" i="11"/>
  <c r="T74" i="11"/>
  <c r="BW86" i="11"/>
  <c r="BW5" i="11"/>
  <c r="BX6" i="11"/>
  <c r="R76" i="11"/>
  <c r="U78" i="11"/>
  <c r="S72" i="11"/>
  <c r="S74" i="11"/>
  <c r="T82" i="11"/>
  <c r="R81" i="11"/>
  <c r="T84" i="11"/>
  <c r="U76" i="11"/>
  <c r="R72" i="11"/>
  <c r="X69" i="11"/>
  <c r="R70" i="11"/>
  <c r="U81" i="11"/>
  <c r="BV102" i="11"/>
  <c r="BV85" i="11"/>
  <c r="R74" i="11"/>
  <c r="AI69" i="11"/>
  <c r="R71" i="11"/>
  <c r="S80" i="11"/>
  <c r="U82" i="11"/>
  <c r="S79" i="11"/>
  <c r="S78" i="11"/>
  <c r="U77" i="11"/>
  <c r="AN69" i="11"/>
  <c r="BE69" i="11"/>
  <c r="Y69" i="11"/>
  <c r="AB69" i="11"/>
  <c r="R80" i="11"/>
  <c r="R73" i="11"/>
  <c r="BQ69" i="11"/>
  <c r="BT134" i="11"/>
  <c r="BT117" i="11"/>
  <c r="BT158" i="11"/>
  <c r="R82" i="11"/>
  <c r="U70" i="11"/>
  <c r="BH69" i="11"/>
  <c r="BG69" i="11"/>
  <c r="T81" i="11"/>
  <c r="U83" i="11"/>
  <c r="BK69" i="11"/>
  <c r="T78" i="11"/>
  <c r="U75" i="11"/>
  <c r="AE69" i="11"/>
  <c r="AL69" i="11"/>
  <c r="BP69" i="11"/>
  <c r="U80" i="11"/>
  <c r="V34" i="4"/>
  <c r="AS69" i="11"/>
  <c r="BL69" i="11"/>
  <c r="AY69" i="11"/>
  <c r="T73" i="11"/>
  <c r="BM69" i="11"/>
  <c r="BS69" i="11"/>
  <c r="U74" i="11"/>
  <c r="AK69" i="11"/>
  <c r="BI69" i="11"/>
  <c r="S82" i="11"/>
  <c r="Z69" i="11"/>
  <c r="T72" i="11"/>
  <c r="BF69" i="11"/>
  <c r="R84" i="11"/>
  <c r="AH69" i="11"/>
  <c r="AO69" i="11"/>
  <c r="AQ69" i="11"/>
  <c r="AZ69" i="11"/>
  <c r="AM69" i="11"/>
  <c r="R78" i="11"/>
  <c r="AR69" i="11"/>
  <c r="S81" i="11"/>
  <c r="BC69" i="11"/>
  <c r="AC69" i="11"/>
  <c r="U79" i="11"/>
  <c r="U73" i="11"/>
  <c r="R83" i="11"/>
  <c r="S77" i="11"/>
  <c r="S75" i="11"/>
  <c r="AG69" i="11"/>
  <c r="BR69" i="11"/>
  <c r="AP69" i="11"/>
  <c r="BU158" i="11"/>
  <c r="BU134" i="11"/>
  <c r="BU117" i="11" l="1"/>
  <c r="BW88" i="11"/>
  <c r="BW104" i="11" s="1"/>
  <c r="BX8" i="11"/>
  <c r="S70" i="4"/>
  <c r="T69" i="4"/>
  <c r="U69" i="4"/>
  <c r="B70" i="4"/>
  <c r="C69" i="4"/>
  <c r="D69" i="4"/>
  <c r="H34" i="4"/>
  <c r="I34" i="4"/>
  <c r="BW147" i="11"/>
  <c r="BX144" i="11"/>
  <c r="BY142" i="11"/>
  <c r="BX148" i="11"/>
  <c r="BX150" i="11" s="1"/>
  <c r="BX95" i="11"/>
  <c r="BX111" i="11" s="1"/>
  <c r="BY15" i="11"/>
  <c r="BX89" i="11"/>
  <c r="BX105" i="11" s="1"/>
  <c r="BY9" i="11"/>
  <c r="BX87" i="11"/>
  <c r="BX103" i="11" s="1"/>
  <c r="BY7" i="11"/>
  <c r="BX94" i="11"/>
  <c r="BX110" i="11" s="1"/>
  <c r="BY14" i="11"/>
  <c r="BZ17" i="11"/>
  <c r="BY97" i="11"/>
  <c r="BY113" i="11" s="1"/>
  <c r="CB143" i="11"/>
  <c r="CA149" i="11"/>
  <c r="BZ92" i="11"/>
  <c r="BZ108" i="11" s="1"/>
  <c r="CA12" i="11"/>
  <c r="BX90" i="11"/>
  <c r="BX106" i="11" s="1"/>
  <c r="BY10" i="11"/>
  <c r="BX100" i="11"/>
  <c r="BX116" i="11" s="1"/>
  <c r="BY20" i="11"/>
  <c r="BZ19" i="11"/>
  <c r="BY99" i="11"/>
  <c r="BY115" i="11" s="1"/>
  <c r="S10" i="11"/>
  <c r="T10" i="11"/>
  <c r="U10" i="11"/>
  <c r="CA11" i="11"/>
  <c r="BZ91" i="11"/>
  <c r="BZ107" i="11" s="1"/>
  <c r="BX112" i="11"/>
  <c r="BY93" i="11"/>
  <c r="BZ13" i="11"/>
  <c r="BY96" i="11"/>
  <c r="BY112" i="11" s="1"/>
  <c r="BZ16" i="11"/>
  <c r="BY98" i="11"/>
  <c r="BY114" i="11" s="1"/>
  <c r="BZ18" i="11"/>
  <c r="BX86" i="11"/>
  <c r="BY6" i="11"/>
  <c r="S69" i="11"/>
  <c r="BV101" i="11"/>
  <c r="T69" i="11"/>
  <c r="U69" i="11"/>
  <c r="BW102" i="11"/>
  <c r="R69" i="11"/>
  <c r="U34" i="4"/>
  <c r="X34" i="4" s="1"/>
  <c r="W34" i="4"/>
  <c r="BW85" i="11" l="1"/>
  <c r="BX88" i="11"/>
  <c r="BX104" i="11" s="1"/>
  <c r="BY8" i="11"/>
  <c r="BY5" i="11" s="1"/>
  <c r="BX5" i="11"/>
  <c r="BW101" i="11"/>
  <c r="BW134" i="11" s="1"/>
  <c r="BX147" i="11"/>
  <c r="E35" i="4"/>
  <c r="B71" i="4"/>
  <c r="D70" i="4"/>
  <c r="C70" i="4"/>
  <c r="S71" i="4"/>
  <c r="T70" i="4"/>
  <c r="U70" i="4"/>
  <c r="BY144" i="11"/>
  <c r="BY148" i="11"/>
  <c r="BY150" i="11" s="1"/>
  <c r="BZ142" i="11"/>
  <c r="BZ15" i="11"/>
  <c r="BY95" i="11"/>
  <c r="BY111" i="11" s="1"/>
  <c r="BY87" i="11"/>
  <c r="BY103" i="11" s="1"/>
  <c r="BZ7" i="11"/>
  <c r="BZ9" i="11"/>
  <c r="BY89" i="11"/>
  <c r="BY105" i="11" s="1"/>
  <c r="BY100" i="11"/>
  <c r="BY116" i="11" s="1"/>
  <c r="BZ20" i="11"/>
  <c r="CC143" i="11"/>
  <c r="CB149" i="11"/>
  <c r="BZ10" i="11"/>
  <c r="BY90" i="11"/>
  <c r="BY106" i="11" s="1"/>
  <c r="BY94" i="11"/>
  <c r="BY110" i="11" s="1"/>
  <c r="BZ14" i="11"/>
  <c r="CA92" i="11"/>
  <c r="CA108" i="11" s="1"/>
  <c r="CB12" i="11"/>
  <c r="BZ97" i="11"/>
  <c r="BZ113" i="11" s="1"/>
  <c r="CA17" i="11"/>
  <c r="BZ99" i="11"/>
  <c r="BZ115" i="11" s="1"/>
  <c r="CA19" i="11"/>
  <c r="S90" i="11"/>
  <c r="T90" i="11"/>
  <c r="U90" i="11"/>
  <c r="CA18" i="11"/>
  <c r="BZ98" i="11"/>
  <c r="BZ114" i="11" s="1"/>
  <c r="S12" i="11"/>
  <c r="T12" i="11"/>
  <c r="U12" i="11"/>
  <c r="CA16" i="11"/>
  <c r="BZ96" i="11"/>
  <c r="CB11" i="11"/>
  <c r="CA91" i="11"/>
  <c r="CA107" i="11" s="1"/>
  <c r="S17" i="11"/>
  <c r="T17" i="11"/>
  <c r="U17" i="11"/>
  <c r="BZ93" i="11"/>
  <c r="BZ109" i="11" s="1"/>
  <c r="CA13" i="11"/>
  <c r="S19" i="11"/>
  <c r="T19" i="11"/>
  <c r="U19" i="11"/>
  <c r="BY109" i="11"/>
  <c r="Y34" i="4"/>
  <c r="Z34" i="4"/>
  <c r="BV134" i="11"/>
  <c r="BV158" i="11"/>
  <c r="BV117" i="11"/>
  <c r="BY86" i="11"/>
  <c r="BZ6" i="11"/>
  <c r="BX102" i="11"/>
  <c r="BX85" i="11"/>
  <c r="BW117" i="11" l="1"/>
  <c r="BW158" i="11"/>
  <c r="BZ8" i="11"/>
  <c r="BY88" i="11"/>
  <c r="BY104" i="11" s="1"/>
  <c r="BY147" i="11"/>
  <c r="S72" i="4"/>
  <c r="T71" i="4"/>
  <c r="U71" i="4"/>
  <c r="B72" i="4"/>
  <c r="C71" i="4"/>
  <c r="D71" i="4"/>
  <c r="D35" i="4"/>
  <c r="G35" i="4" s="1"/>
  <c r="F35" i="4"/>
  <c r="CA142" i="11"/>
  <c r="BZ144" i="11"/>
  <c r="BZ148" i="11"/>
  <c r="BZ150" i="11" s="1"/>
  <c r="BZ95" i="11"/>
  <c r="BZ111" i="11" s="1"/>
  <c r="CA15" i="11"/>
  <c r="BZ87" i="11"/>
  <c r="BZ103" i="11" s="1"/>
  <c r="CA7" i="11"/>
  <c r="BZ89" i="11"/>
  <c r="BZ105" i="11" s="1"/>
  <c r="CA9" i="11"/>
  <c r="R7" i="11"/>
  <c r="CA14" i="11"/>
  <c r="BZ94" i="11"/>
  <c r="BZ110" i="11" s="1"/>
  <c r="CB17" i="11"/>
  <c r="CA97" i="11"/>
  <c r="CA113" i="11" s="1"/>
  <c r="BZ100" i="11"/>
  <c r="BZ116" i="11" s="1"/>
  <c r="CA20" i="11"/>
  <c r="BZ90" i="11"/>
  <c r="CA10" i="11"/>
  <c r="CA99" i="11"/>
  <c r="CA115" i="11" s="1"/>
  <c r="CB19" i="11"/>
  <c r="CB92" i="11"/>
  <c r="CB108" i="11" s="1"/>
  <c r="CC12" i="11"/>
  <c r="CD143" i="11"/>
  <c r="CC149" i="11"/>
  <c r="CA96" i="11"/>
  <c r="CA112" i="11" s="1"/>
  <c r="CB16" i="11"/>
  <c r="CB91" i="11"/>
  <c r="CB107" i="11" s="1"/>
  <c r="CC11" i="11"/>
  <c r="BZ112" i="11"/>
  <c r="S99" i="11"/>
  <c r="T99" i="11"/>
  <c r="U99" i="11"/>
  <c r="S92" i="11"/>
  <c r="T92" i="11"/>
  <c r="U92" i="11"/>
  <c r="S106" i="11"/>
  <c r="S122" i="11"/>
  <c r="T122" i="11"/>
  <c r="T106" i="11"/>
  <c r="U106" i="11"/>
  <c r="U122" i="11"/>
  <c r="CA98" i="11"/>
  <c r="CA114" i="11" s="1"/>
  <c r="CB18" i="11"/>
  <c r="CA93" i="11"/>
  <c r="CA109" i="11" s="1"/>
  <c r="CB13" i="11"/>
  <c r="S97" i="11"/>
  <c r="T97" i="11"/>
  <c r="U97" i="11"/>
  <c r="BX101" i="11"/>
  <c r="BZ5" i="11"/>
  <c r="BZ86" i="11"/>
  <c r="CA6" i="11"/>
  <c r="BY102" i="11"/>
  <c r="V35" i="4"/>
  <c r="BY85" i="11" l="1"/>
  <c r="BY101" i="11"/>
  <c r="BY134" i="11" s="1"/>
  <c r="BZ88" i="11"/>
  <c r="BZ104" i="11" s="1"/>
  <c r="CA8" i="11"/>
  <c r="CA5" i="11" s="1"/>
  <c r="BZ147" i="11"/>
  <c r="H35" i="4"/>
  <c r="I35" i="4"/>
  <c r="B73" i="4"/>
  <c r="C72" i="4"/>
  <c r="D72" i="4"/>
  <c r="S73" i="4"/>
  <c r="T72" i="4"/>
  <c r="U72" i="4"/>
  <c r="CB142" i="11"/>
  <c r="CA144" i="11"/>
  <c r="CA148" i="11"/>
  <c r="CA150" i="11" s="1"/>
  <c r="CB15" i="11"/>
  <c r="CA95" i="11"/>
  <c r="CA111" i="11" s="1"/>
  <c r="CA89" i="11"/>
  <c r="CA105" i="11" s="1"/>
  <c r="CB9" i="11"/>
  <c r="CA87" i="11"/>
  <c r="CA103" i="11" s="1"/>
  <c r="CB7" i="11"/>
  <c r="CC92" i="11"/>
  <c r="CD12" i="11"/>
  <c r="BZ106" i="11"/>
  <c r="CA94" i="11"/>
  <c r="CA110" i="11" s="1"/>
  <c r="CB14" i="11"/>
  <c r="CB10" i="11"/>
  <c r="CA90" i="11"/>
  <c r="CA106" i="11" s="1"/>
  <c r="CA100" i="11"/>
  <c r="CA116" i="11" s="1"/>
  <c r="CB20" i="11"/>
  <c r="R87" i="11"/>
  <c r="CC19" i="11"/>
  <c r="CB99" i="11"/>
  <c r="CB97" i="11"/>
  <c r="CC17" i="11"/>
  <c r="CE143" i="11"/>
  <c r="CE149" i="11" s="1"/>
  <c r="CD149" i="11"/>
  <c r="S124" i="11"/>
  <c r="S108" i="11"/>
  <c r="T124" i="11"/>
  <c r="U124" i="11"/>
  <c r="U108" i="11"/>
  <c r="CC16" i="11"/>
  <c r="CB96" i="11"/>
  <c r="CB112" i="11" s="1"/>
  <c r="S14" i="11"/>
  <c r="T14" i="11"/>
  <c r="U14" i="11"/>
  <c r="S129" i="11"/>
  <c r="S113" i="11"/>
  <c r="T113" i="11"/>
  <c r="T129" i="11"/>
  <c r="U113" i="11"/>
  <c r="U129" i="11"/>
  <c r="CB98" i="11"/>
  <c r="CB114" i="11" s="1"/>
  <c r="CC18" i="11"/>
  <c r="CB93" i="11"/>
  <c r="CB109" i="11" s="1"/>
  <c r="CC13" i="11"/>
  <c r="S131" i="11"/>
  <c r="S115" i="11"/>
  <c r="T131" i="11"/>
  <c r="U115" i="11"/>
  <c r="U131" i="11"/>
  <c r="CC91" i="11"/>
  <c r="CC107" i="11" s="1"/>
  <c r="CD11" i="11"/>
  <c r="BY158" i="11"/>
  <c r="CA86" i="11"/>
  <c r="CB6" i="11"/>
  <c r="U35" i="4"/>
  <c r="X35" i="4" s="1"/>
  <c r="W35" i="4"/>
  <c r="BZ102" i="11"/>
  <c r="BX134" i="11"/>
  <c r="BX117" i="11"/>
  <c r="BX158" i="11"/>
  <c r="BY117" i="11" l="1"/>
  <c r="BZ85" i="11"/>
  <c r="CA88" i="11"/>
  <c r="CA104" i="11" s="1"/>
  <c r="CB8" i="11"/>
  <c r="CB5" i="11" s="1"/>
  <c r="CA147" i="11"/>
  <c r="S74" i="4"/>
  <c r="T73" i="4"/>
  <c r="U73" i="4"/>
  <c r="B74" i="4"/>
  <c r="C73" i="4"/>
  <c r="D73" i="4"/>
  <c r="E36" i="4"/>
  <c r="CB148" i="11"/>
  <c r="CB150" i="11" s="1"/>
  <c r="CC142" i="11"/>
  <c r="CB144" i="11"/>
  <c r="CB95" i="11"/>
  <c r="CB111" i="11" s="1"/>
  <c r="CC15" i="11"/>
  <c r="CB87" i="11"/>
  <c r="CC7" i="11"/>
  <c r="CB89" i="11"/>
  <c r="CB105" i="11" s="1"/>
  <c r="CC9" i="11"/>
  <c r="CB100" i="11"/>
  <c r="CB116" i="11" s="1"/>
  <c r="CC20" i="11"/>
  <c r="R103" i="11"/>
  <c r="CD17" i="11"/>
  <c r="CC97" i="11"/>
  <c r="CC113" i="11" s="1"/>
  <c r="CB113" i="11"/>
  <c r="CD92" i="11"/>
  <c r="CD108" i="11" s="1"/>
  <c r="CE12" i="11"/>
  <c r="CB90" i="11"/>
  <c r="CC10" i="11"/>
  <c r="CC108" i="11"/>
  <c r="R149" i="11"/>
  <c r="R150" i="11" s="1"/>
  <c r="R151" i="11" s="1"/>
  <c r="R152" i="11" s="1"/>
  <c r="R146" i="11"/>
  <c r="S149" i="11"/>
  <c r="S146" i="11"/>
  <c r="T149" i="11"/>
  <c r="U146" i="11"/>
  <c r="U149" i="11"/>
  <c r="V146" i="11"/>
  <c r="V149" i="11"/>
  <c r="CB115" i="11"/>
  <c r="CC14" i="11"/>
  <c r="CB94" i="11"/>
  <c r="CB110" i="11" s="1"/>
  <c r="CC99" i="11"/>
  <c r="CC115" i="11" s="1"/>
  <c r="CD19" i="11"/>
  <c r="R15" i="11"/>
  <c r="S15" i="11"/>
  <c r="T15" i="11"/>
  <c r="U15" i="11"/>
  <c r="CC98" i="11"/>
  <c r="CC114" i="11" s="1"/>
  <c r="CD18" i="11"/>
  <c r="S94" i="11"/>
  <c r="T94" i="11"/>
  <c r="U94" i="11"/>
  <c r="CD91" i="11"/>
  <c r="CD107" i="11" s="1"/>
  <c r="CE11" i="11"/>
  <c r="CD13" i="11"/>
  <c r="CC93" i="11"/>
  <c r="CC109" i="11" s="1"/>
  <c r="CD16" i="11"/>
  <c r="CC96" i="11"/>
  <c r="CC112" i="11" s="1"/>
  <c r="Y35" i="4"/>
  <c r="Z35" i="4"/>
  <c r="CA102" i="11"/>
  <c r="BZ101" i="11"/>
  <c r="CB86" i="11"/>
  <c r="CC6" i="11"/>
  <c r="CA85" i="11" l="1"/>
  <c r="CB88" i="11"/>
  <c r="CB104" i="11" s="1"/>
  <c r="CC8" i="11"/>
  <c r="CC5" i="11" s="1"/>
  <c r="D36" i="4"/>
  <c r="G36" i="4" s="1"/>
  <c r="F36" i="4"/>
  <c r="B75" i="4"/>
  <c r="D74" i="4"/>
  <c r="C74" i="4"/>
  <c r="S75" i="4"/>
  <c r="T74" i="4"/>
  <c r="U74" i="4"/>
  <c r="CC144" i="11"/>
  <c r="CC148" i="11"/>
  <c r="CC150" i="11" s="1"/>
  <c r="CD142" i="11"/>
  <c r="CB147" i="11"/>
  <c r="CC95" i="11"/>
  <c r="CC111" i="11" s="1"/>
  <c r="CD15" i="11"/>
  <c r="CD9" i="11"/>
  <c r="CC89" i="11"/>
  <c r="CC105" i="11" s="1"/>
  <c r="CD7" i="11"/>
  <c r="CC87" i="11"/>
  <c r="CC103" i="11" s="1"/>
  <c r="CB103" i="11"/>
  <c r="CB106" i="11"/>
  <c r="CE17" i="11"/>
  <c r="V17" i="11" s="1"/>
  <c r="CD97" i="11"/>
  <c r="CE92" i="11"/>
  <c r="CE108" i="11" s="1"/>
  <c r="V124" i="11" s="1"/>
  <c r="V12" i="11"/>
  <c r="W44" i="11" s="1"/>
  <c r="CD99" i="11"/>
  <c r="CE19" i="11"/>
  <c r="V19" i="11" s="1"/>
  <c r="W51" i="11" s="1"/>
  <c r="CC94" i="11"/>
  <c r="CD14" i="11"/>
  <c r="CD20" i="11"/>
  <c r="CC100" i="11"/>
  <c r="CC116" i="11" s="1"/>
  <c r="CC90" i="11"/>
  <c r="CC106" i="11" s="1"/>
  <c r="CD10" i="11"/>
  <c r="R9" i="11"/>
  <c r="S9" i="11"/>
  <c r="T9" i="11"/>
  <c r="U9" i="11"/>
  <c r="S126" i="11"/>
  <c r="S110" i="11"/>
  <c r="T110" i="11"/>
  <c r="T126" i="11"/>
  <c r="U110" i="11"/>
  <c r="U126" i="11"/>
  <c r="CD96" i="11"/>
  <c r="CD112" i="11" s="1"/>
  <c r="CE16" i="11"/>
  <c r="CE13" i="11"/>
  <c r="CD93" i="11"/>
  <c r="CD109" i="11" s="1"/>
  <c r="CE18" i="11"/>
  <c r="CD98" i="11"/>
  <c r="CD114" i="11" s="1"/>
  <c r="CE91" i="11"/>
  <c r="R11" i="11"/>
  <c r="S11" i="11"/>
  <c r="T11" i="11"/>
  <c r="U11" i="11"/>
  <c r="V11" i="11"/>
  <c r="R20" i="11"/>
  <c r="S20" i="11"/>
  <c r="T20" i="11"/>
  <c r="U20" i="11"/>
  <c r="S95" i="11"/>
  <c r="T95" i="11"/>
  <c r="U95" i="11"/>
  <c r="BZ158" i="11"/>
  <c r="BZ117" i="11"/>
  <c r="BZ134" i="11"/>
  <c r="CC86" i="11"/>
  <c r="CD6" i="11"/>
  <c r="CA101" i="11"/>
  <c r="CB102" i="11"/>
  <c r="V36" i="4"/>
  <c r="CB85" i="11" l="1"/>
  <c r="CD8" i="11"/>
  <c r="CC88" i="11"/>
  <c r="CC104" i="11" s="1"/>
  <c r="CC147" i="11"/>
  <c r="B76" i="4"/>
  <c r="C75" i="4"/>
  <c r="D75" i="4"/>
  <c r="H36" i="4"/>
  <c r="I36" i="4"/>
  <c r="S76" i="4"/>
  <c r="T75" i="4"/>
  <c r="U75" i="4"/>
  <c r="W43" i="11"/>
  <c r="AB43" i="11" s="1"/>
  <c r="AB27" i="11" s="1"/>
  <c r="CB101" i="11"/>
  <c r="CB134" i="11" s="1"/>
  <c r="AG44" i="11"/>
  <c r="AG28" i="11" s="1"/>
  <c r="AI44" i="11"/>
  <c r="AC44" i="11"/>
  <c r="AC28" i="11" s="1"/>
  <c r="Z44" i="11"/>
  <c r="Z28" i="11" s="1"/>
  <c r="AH44" i="11"/>
  <c r="AH28" i="11" s="1"/>
  <c r="AB44" i="11"/>
  <c r="AB28" i="11" s="1"/>
  <c r="AA44" i="11"/>
  <c r="AA28" i="11" s="1"/>
  <c r="Y44" i="11"/>
  <c r="Y28" i="11" s="1"/>
  <c r="X44" i="11"/>
  <c r="X28" i="11" s="1"/>
  <c r="AD44" i="11"/>
  <c r="AD28" i="11" s="1"/>
  <c r="AF44" i="11"/>
  <c r="AF28" i="11" s="1"/>
  <c r="AE44" i="11"/>
  <c r="AE28" i="11" s="1"/>
  <c r="AE51" i="11"/>
  <c r="AE35" i="11" s="1"/>
  <c r="AI51" i="11"/>
  <c r="AA51" i="11"/>
  <c r="AA35" i="11" s="1"/>
  <c r="X51" i="11"/>
  <c r="X35" i="11" s="1"/>
  <c r="AG51" i="11"/>
  <c r="AG35" i="11" s="1"/>
  <c r="AH51" i="11"/>
  <c r="AH35" i="11" s="1"/>
  <c r="AD51" i="11"/>
  <c r="AD35" i="11" s="1"/>
  <c r="Y51" i="11"/>
  <c r="Y35" i="11" s="1"/>
  <c r="AB51" i="11"/>
  <c r="AB35" i="11" s="1"/>
  <c r="AF51" i="11"/>
  <c r="AF35" i="11" s="1"/>
  <c r="Z51" i="11"/>
  <c r="Z35" i="11" s="1"/>
  <c r="AC51" i="11"/>
  <c r="AC35" i="11" s="1"/>
  <c r="CD148" i="11"/>
  <c r="CD150" i="11" s="1"/>
  <c r="CD144" i="11"/>
  <c r="CE142" i="11"/>
  <c r="V92" i="11"/>
  <c r="V108" i="11"/>
  <c r="CD95" i="11"/>
  <c r="CE15" i="11"/>
  <c r="CE95" i="11" s="1"/>
  <c r="CE111" i="11" s="1"/>
  <c r="R8" i="11"/>
  <c r="CE7" i="11"/>
  <c r="CD87" i="11"/>
  <c r="CD89" i="11"/>
  <c r="CD105" i="11" s="1"/>
  <c r="CE9" i="11"/>
  <c r="CE10" i="11"/>
  <c r="V10" i="11" s="1"/>
  <c r="CD90" i="11"/>
  <c r="CD106" i="11" s="1"/>
  <c r="CD94" i="11"/>
  <c r="CD110" i="11" s="1"/>
  <c r="CE14" i="11"/>
  <c r="CC110" i="11"/>
  <c r="CD113" i="11"/>
  <c r="CE99" i="11"/>
  <c r="CE115" i="11" s="1"/>
  <c r="R17" i="11"/>
  <c r="W49" i="11" s="1"/>
  <c r="CE97" i="11"/>
  <c r="CE113" i="11" s="1"/>
  <c r="R145" i="11"/>
  <c r="S148" i="11"/>
  <c r="S150" i="11" s="1"/>
  <c r="S151" i="11" s="1"/>
  <c r="S152" i="11" s="1"/>
  <c r="S145" i="11"/>
  <c r="T145" i="11"/>
  <c r="T148" i="11"/>
  <c r="T150" i="11" s="1"/>
  <c r="T151" i="11" s="1"/>
  <c r="U145" i="11"/>
  <c r="U148" i="11"/>
  <c r="U150" i="11" s="1"/>
  <c r="U151" i="11" s="1"/>
  <c r="CE20" i="11"/>
  <c r="CD100" i="11"/>
  <c r="CD116" i="11" s="1"/>
  <c r="CD115" i="11"/>
  <c r="CE107" i="11"/>
  <c r="R91" i="11"/>
  <c r="S91" i="11"/>
  <c r="T91" i="11"/>
  <c r="U91" i="11"/>
  <c r="V91" i="11"/>
  <c r="CE96" i="11"/>
  <c r="R16" i="11"/>
  <c r="S16" i="11"/>
  <c r="T16" i="11"/>
  <c r="U16" i="11"/>
  <c r="V16" i="11"/>
  <c r="S100" i="11"/>
  <c r="T100" i="11"/>
  <c r="U100" i="11"/>
  <c r="CE98" i="11"/>
  <c r="R18" i="11"/>
  <c r="S18" i="11"/>
  <c r="T18" i="11"/>
  <c r="U18" i="11"/>
  <c r="V18" i="11"/>
  <c r="CE93" i="11"/>
  <c r="S13" i="11"/>
  <c r="T13" i="11"/>
  <c r="U13" i="11"/>
  <c r="V13" i="11"/>
  <c r="S127" i="11"/>
  <c r="S111" i="11"/>
  <c r="T127" i="11"/>
  <c r="U111" i="11"/>
  <c r="U127" i="11"/>
  <c r="AG43" i="11"/>
  <c r="AG27" i="11" s="1"/>
  <c r="AE43" i="11"/>
  <c r="AE27" i="11" s="1"/>
  <c r="S89" i="11"/>
  <c r="T89" i="11"/>
  <c r="U89" i="11"/>
  <c r="U36" i="4"/>
  <c r="X36" i="4" s="1"/>
  <c r="W36" i="4"/>
  <c r="CC102" i="11"/>
  <c r="CD5" i="11"/>
  <c r="CD86" i="11"/>
  <c r="CE6" i="11"/>
  <c r="CA134" i="11"/>
  <c r="CA158" i="11"/>
  <c r="CA117" i="11"/>
  <c r="CC85" i="11" l="1"/>
  <c r="AF43" i="11"/>
  <c r="AF27" i="11" s="1"/>
  <c r="AH43" i="11"/>
  <c r="AH27" i="11" s="1"/>
  <c r="X43" i="11"/>
  <c r="X27" i="11" s="1"/>
  <c r="V15" i="11"/>
  <c r="W47" i="11" s="1"/>
  <c r="AA47" i="11" s="1"/>
  <c r="AA31" i="11" s="1"/>
  <c r="Y43" i="11"/>
  <c r="Y27" i="11" s="1"/>
  <c r="AC43" i="11"/>
  <c r="AC27" i="11" s="1"/>
  <c r="AA43" i="11"/>
  <c r="AA27" i="11" s="1"/>
  <c r="CD88" i="11"/>
  <c r="CD104" i="11" s="1"/>
  <c r="CE8" i="11"/>
  <c r="CB158" i="11"/>
  <c r="CB117" i="11"/>
  <c r="AI43" i="11"/>
  <c r="AQ43" i="11" s="1"/>
  <c r="AQ27" i="11" s="1"/>
  <c r="AD43" i="11"/>
  <c r="AD27" i="11" s="1"/>
  <c r="Z43" i="11"/>
  <c r="Z27" i="11" s="1"/>
  <c r="S77" i="4"/>
  <c r="T76" i="4"/>
  <c r="U76" i="4"/>
  <c r="E37" i="4"/>
  <c r="B77" i="4"/>
  <c r="C76" i="4"/>
  <c r="D76" i="4"/>
  <c r="W50" i="11"/>
  <c r="AI50" i="11" s="1"/>
  <c r="W45" i="11"/>
  <c r="X45" i="11" s="1"/>
  <c r="X29" i="11" s="1"/>
  <c r="AR44" i="11"/>
  <c r="AR28" i="11" s="1"/>
  <c r="AN44" i="11"/>
  <c r="AN28" i="11" s="1"/>
  <c r="AP44" i="11"/>
  <c r="AP28" i="11" s="1"/>
  <c r="AM44" i="11"/>
  <c r="AM28" i="11" s="1"/>
  <c r="AS44" i="11"/>
  <c r="AS28" i="11" s="1"/>
  <c r="AL44" i="11"/>
  <c r="AL28" i="11" s="1"/>
  <c r="AT44" i="11"/>
  <c r="AT28" i="11" s="1"/>
  <c r="AO44" i="11"/>
  <c r="AO28" i="11" s="1"/>
  <c r="AK44" i="11"/>
  <c r="AK28" i="11" s="1"/>
  <c r="AQ44" i="11"/>
  <c r="AQ28" i="11" s="1"/>
  <c r="AI28" i="11"/>
  <c r="R44" i="11" s="1"/>
  <c r="AJ44" i="11"/>
  <c r="AJ28" i="11" s="1"/>
  <c r="AU44" i="11"/>
  <c r="AB47" i="11"/>
  <c r="AB31" i="11" s="1"/>
  <c r="X47" i="11"/>
  <c r="X31" i="11" s="1"/>
  <c r="AF47" i="11"/>
  <c r="AF31" i="11" s="1"/>
  <c r="W48" i="11"/>
  <c r="AE48" i="11" s="1"/>
  <c r="AE32" i="11" s="1"/>
  <c r="AI35" i="11"/>
  <c r="R35" i="11" s="1"/>
  <c r="AN51" i="11"/>
  <c r="AN35" i="11" s="1"/>
  <c r="AJ51" i="11"/>
  <c r="AJ35" i="11" s="1"/>
  <c r="AU51" i="11"/>
  <c r="AT51" i="11"/>
  <c r="AT35" i="11" s="1"/>
  <c r="AR51" i="11"/>
  <c r="AR35" i="11" s="1"/>
  <c r="AM51" i="11"/>
  <c r="AM35" i="11" s="1"/>
  <c r="AL51" i="11"/>
  <c r="AL35" i="11" s="1"/>
  <c r="AK51" i="11"/>
  <c r="AK35" i="11" s="1"/>
  <c r="AO51" i="11"/>
  <c r="AO35" i="11" s="1"/>
  <c r="AQ51" i="11"/>
  <c r="AQ35" i="11" s="1"/>
  <c r="AS51" i="11"/>
  <c r="AS35" i="11" s="1"/>
  <c r="AP51" i="11"/>
  <c r="AP35" i="11" s="1"/>
  <c r="CC101" i="11"/>
  <c r="CC158" i="11" s="1"/>
  <c r="CE148" i="11"/>
  <c r="CE144" i="11"/>
  <c r="CD147" i="11"/>
  <c r="CD111" i="11"/>
  <c r="V95" i="11"/>
  <c r="U152" i="11"/>
  <c r="V97" i="11"/>
  <c r="V9" i="11"/>
  <c r="W41" i="11" s="1"/>
  <c r="CE89" i="11"/>
  <c r="CD103" i="11"/>
  <c r="CE87" i="11"/>
  <c r="CE103" i="11" s="1"/>
  <c r="V7" i="11"/>
  <c r="W39" i="11" s="1"/>
  <c r="CE100" i="11"/>
  <c r="V20" i="11"/>
  <c r="W52" i="11" s="1"/>
  <c r="V113" i="11"/>
  <c r="V129" i="11"/>
  <c r="S147" i="11"/>
  <c r="T147" i="11"/>
  <c r="U147" i="11"/>
  <c r="CE94" i="11"/>
  <c r="V14" i="11"/>
  <c r="W46" i="11" s="1"/>
  <c r="V99" i="11"/>
  <c r="V131" i="11"/>
  <c r="V115" i="11"/>
  <c r="T152" i="11"/>
  <c r="AE49" i="11"/>
  <c r="AE33" i="11" s="1"/>
  <c r="AC49" i="11"/>
  <c r="AC33" i="11" s="1"/>
  <c r="AI49" i="11"/>
  <c r="Y49" i="11"/>
  <c r="Y33" i="11" s="1"/>
  <c r="AH49" i="11"/>
  <c r="AH33" i="11" s="1"/>
  <c r="AF49" i="11"/>
  <c r="AF33" i="11" s="1"/>
  <c r="Z49" i="11"/>
  <c r="Z33" i="11" s="1"/>
  <c r="AD49" i="11"/>
  <c r="AD33" i="11" s="1"/>
  <c r="AA49" i="11"/>
  <c r="AA33" i="11" s="1"/>
  <c r="AB49" i="11"/>
  <c r="AB33" i="11" s="1"/>
  <c r="X49" i="11"/>
  <c r="X33" i="11" s="1"/>
  <c r="AG49" i="11"/>
  <c r="AG33" i="11" s="1"/>
  <c r="R10" i="11"/>
  <c r="W42" i="11" s="1"/>
  <c r="CE90" i="11"/>
  <c r="CE114" i="11"/>
  <c r="R98" i="11"/>
  <c r="S98" i="11"/>
  <c r="T98" i="11"/>
  <c r="U98" i="11"/>
  <c r="V98" i="11"/>
  <c r="R107" i="11"/>
  <c r="R123" i="11"/>
  <c r="S107" i="11"/>
  <c r="S123" i="11"/>
  <c r="T123" i="11"/>
  <c r="U123" i="11"/>
  <c r="U107" i="11"/>
  <c r="V107" i="11"/>
  <c r="V123" i="11"/>
  <c r="S121" i="11"/>
  <c r="S105" i="11"/>
  <c r="T105" i="11"/>
  <c r="T121" i="11"/>
  <c r="U121" i="11"/>
  <c r="U105" i="11"/>
  <c r="CE109" i="11"/>
  <c r="R93" i="11"/>
  <c r="S93" i="11"/>
  <c r="T93" i="11"/>
  <c r="U93" i="11"/>
  <c r="V93" i="11"/>
  <c r="S132" i="11"/>
  <c r="T132" i="11"/>
  <c r="T116" i="11"/>
  <c r="U116" i="11"/>
  <c r="U132" i="11"/>
  <c r="CE112" i="11"/>
  <c r="R96" i="11"/>
  <c r="S96" i="11"/>
  <c r="T96" i="11"/>
  <c r="U96" i="11"/>
  <c r="V96" i="11"/>
  <c r="CE86" i="11"/>
  <c r="R6" i="11"/>
  <c r="S6" i="11"/>
  <c r="S5" i="11" s="1"/>
  <c r="T6" i="11"/>
  <c r="T5" i="11" s="1"/>
  <c r="U6" i="11"/>
  <c r="U5" i="11" s="1"/>
  <c r="BT70" i="11" a="1"/>
  <c r="V6" i="11"/>
  <c r="CD102" i="11"/>
  <c r="Y36" i="4"/>
  <c r="Z36" i="4"/>
  <c r="AM43" i="11" l="1"/>
  <c r="AM27" i="11" s="1"/>
  <c r="AR43" i="11"/>
  <c r="AR27" i="11" s="1"/>
  <c r="AK43" i="11"/>
  <c r="AK27" i="11" s="1"/>
  <c r="AE47" i="11"/>
  <c r="AE31" i="11" s="1"/>
  <c r="AP43" i="11"/>
  <c r="AP27" i="11" s="1"/>
  <c r="AG47" i="11"/>
  <c r="AG31" i="11" s="1"/>
  <c r="AL43" i="11"/>
  <c r="AL27" i="11" s="1"/>
  <c r="AE50" i="11"/>
  <c r="AE34" i="11" s="1"/>
  <c r="AH47" i="11"/>
  <c r="AH31" i="11" s="1"/>
  <c r="AO43" i="11"/>
  <c r="AO27" i="11" s="1"/>
  <c r="Y47" i="11"/>
  <c r="Y31" i="11" s="1"/>
  <c r="AF45" i="11"/>
  <c r="AF29" i="11" s="1"/>
  <c r="R51" i="11"/>
  <c r="Z47" i="11"/>
  <c r="Z31" i="11" s="1"/>
  <c r="AD47" i="11"/>
  <c r="AD31" i="11" s="1"/>
  <c r="AI27" i="11"/>
  <c r="R43" i="11" s="1"/>
  <c r="AC47" i="11"/>
  <c r="AC31" i="11" s="1"/>
  <c r="AI47" i="11"/>
  <c r="AU47" i="11" s="1"/>
  <c r="AN43" i="11"/>
  <c r="AN27" i="11" s="1"/>
  <c r="Z45" i="11"/>
  <c r="Z29" i="11" s="1"/>
  <c r="AE45" i="11"/>
  <c r="AE29" i="11" s="1"/>
  <c r="AC45" i="11"/>
  <c r="AC29" i="11" s="1"/>
  <c r="V8" i="11"/>
  <c r="W40" i="11" s="1"/>
  <c r="AG40" i="11" s="1"/>
  <c r="AG24" i="11" s="1"/>
  <c r="CE88" i="11"/>
  <c r="CE104" i="11" s="1"/>
  <c r="V120" i="11" s="1"/>
  <c r="AI45" i="11"/>
  <c r="AI29" i="11" s="1"/>
  <c r="CD85" i="11"/>
  <c r="CE5" i="11"/>
  <c r="Y45" i="11"/>
  <c r="Y29" i="11" s="1"/>
  <c r="AD45" i="11"/>
  <c r="AD29" i="11" s="1"/>
  <c r="AG45" i="11"/>
  <c r="AG29" i="11" s="1"/>
  <c r="AB45" i="11"/>
  <c r="AB29" i="11" s="1"/>
  <c r="AA45" i="11"/>
  <c r="AA29" i="11" s="1"/>
  <c r="AH45" i="11"/>
  <c r="AH29" i="11" s="1"/>
  <c r="AT43" i="11"/>
  <c r="AT27" i="11" s="1"/>
  <c r="AU43" i="11"/>
  <c r="BF43" i="11" s="1"/>
  <c r="BF27" i="11" s="1"/>
  <c r="AJ43" i="11"/>
  <c r="AJ27" i="11" s="1"/>
  <c r="AS43" i="11"/>
  <c r="AS27" i="11" s="1"/>
  <c r="AG48" i="11"/>
  <c r="AG32" i="11" s="1"/>
  <c r="AF50" i="11"/>
  <c r="AF34" i="11" s="1"/>
  <c r="Y48" i="11"/>
  <c r="Y32" i="11" s="1"/>
  <c r="AA50" i="11"/>
  <c r="AA34" i="11" s="1"/>
  <c r="AI48" i="11"/>
  <c r="AT48" i="11" s="1"/>
  <c r="AT32" i="11" s="1"/>
  <c r="AC50" i="11"/>
  <c r="AC34" i="11" s="1"/>
  <c r="AF48" i="11"/>
  <c r="AF32" i="11" s="1"/>
  <c r="AG50" i="11"/>
  <c r="AG34" i="11" s="1"/>
  <c r="AC48" i="11"/>
  <c r="AC32" i="11" s="1"/>
  <c r="AB48" i="11"/>
  <c r="AB32" i="11" s="1"/>
  <c r="AB50" i="11"/>
  <c r="AB34" i="11" s="1"/>
  <c r="X48" i="11"/>
  <c r="X32" i="11" s="1"/>
  <c r="AH48" i="11"/>
  <c r="AH32" i="11" s="1"/>
  <c r="Y50" i="11"/>
  <c r="Y34" i="11" s="1"/>
  <c r="Z50" i="11"/>
  <c r="Z34" i="11" s="1"/>
  <c r="AD48" i="11"/>
  <c r="AD32" i="11" s="1"/>
  <c r="Z48" i="11"/>
  <c r="Z32" i="11" s="1"/>
  <c r="AH50" i="11"/>
  <c r="AH34" i="11" s="1"/>
  <c r="AD50" i="11"/>
  <c r="AD34" i="11" s="1"/>
  <c r="AA48" i="11"/>
  <c r="AA32" i="11" s="1"/>
  <c r="X50" i="11"/>
  <c r="X34" i="11" s="1"/>
  <c r="B78" i="4"/>
  <c r="D77" i="4"/>
  <c r="C77" i="4"/>
  <c r="W38" i="11"/>
  <c r="X38" i="11" s="1"/>
  <c r="D37" i="4"/>
  <c r="G37" i="4" s="1"/>
  <c r="F37" i="4"/>
  <c r="S78" i="4"/>
  <c r="T77" i="4"/>
  <c r="U77" i="4"/>
  <c r="CC117" i="11"/>
  <c r="CC134" i="11"/>
  <c r="AI38" i="11"/>
  <c r="R28" i="11"/>
  <c r="X41" i="11"/>
  <c r="X25" i="11" s="1"/>
  <c r="AD41" i="11"/>
  <c r="AD25" i="11" s="1"/>
  <c r="AG41" i="11"/>
  <c r="AG25" i="11" s="1"/>
  <c r="AH41" i="11"/>
  <c r="AH25" i="11" s="1"/>
  <c r="AC41" i="11"/>
  <c r="AC25" i="11" s="1"/>
  <c r="AI41" i="11"/>
  <c r="AB41" i="11"/>
  <c r="AB25" i="11" s="1"/>
  <c r="AF41" i="11"/>
  <c r="AF25" i="11" s="1"/>
  <c r="AA41" i="11"/>
  <c r="AA25" i="11" s="1"/>
  <c r="Z41" i="11"/>
  <c r="Z25" i="11" s="1"/>
  <c r="Y41" i="11"/>
  <c r="Y25" i="11" s="1"/>
  <c r="AE41" i="11"/>
  <c r="AE25" i="11" s="1"/>
  <c r="BE51" i="11"/>
  <c r="BE35" i="11" s="1"/>
  <c r="AZ51" i="11"/>
  <c r="AZ35" i="11" s="1"/>
  <c r="BA51" i="11"/>
  <c r="BA35" i="11" s="1"/>
  <c r="AY51" i="11"/>
  <c r="AY35" i="11" s="1"/>
  <c r="BG51" i="11"/>
  <c r="BB51" i="11"/>
  <c r="BB35" i="11" s="1"/>
  <c r="BF51" i="11"/>
  <c r="BF35" i="11" s="1"/>
  <c r="AX51" i="11"/>
  <c r="AX35" i="11" s="1"/>
  <c r="BC51" i="11"/>
  <c r="BC35" i="11" s="1"/>
  <c r="AW51" i="11"/>
  <c r="AW35" i="11" s="1"/>
  <c r="BD51" i="11"/>
  <c r="BD35" i="11" s="1"/>
  <c r="AV51" i="11"/>
  <c r="AV35" i="11" s="1"/>
  <c r="AU35" i="11"/>
  <c r="S35" i="11" s="1"/>
  <c r="X52" i="11"/>
  <c r="X36" i="11" s="1"/>
  <c r="AB52" i="11"/>
  <c r="AB36" i="11" s="1"/>
  <c r="AA52" i="11"/>
  <c r="AA36" i="11" s="1"/>
  <c r="AI52" i="11"/>
  <c r="AH52" i="11"/>
  <c r="AH36" i="11" s="1"/>
  <c r="Y52" i="11"/>
  <c r="Y36" i="11" s="1"/>
  <c r="Z52" i="11"/>
  <c r="Z36" i="11" s="1"/>
  <c r="AF52" i="11"/>
  <c r="AF36" i="11" s="1"/>
  <c r="AC52" i="11"/>
  <c r="AC36" i="11" s="1"/>
  <c r="AE52" i="11"/>
  <c r="AE36" i="11" s="1"/>
  <c r="AD52" i="11"/>
  <c r="AD36" i="11" s="1"/>
  <c r="AG52" i="11"/>
  <c r="AG36" i="11" s="1"/>
  <c r="BF44" i="11"/>
  <c r="BF28" i="11" s="1"/>
  <c r="BE44" i="11"/>
  <c r="BE28" i="11" s="1"/>
  <c r="AW44" i="11"/>
  <c r="AW28" i="11" s="1"/>
  <c r="BA44" i="11"/>
  <c r="BA28" i="11" s="1"/>
  <c r="AZ44" i="11"/>
  <c r="AZ28" i="11" s="1"/>
  <c r="BG44" i="11"/>
  <c r="BC44" i="11"/>
  <c r="BC28" i="11" s="1"/>
  <c r="BD44" i="11"/>
  <c r="BD28" i="11" s="1"/>
  <c r="AV44" i="11"/>
  <c r="AV28" i="11" s="1"/>
  <c r="AX44" i="11"/>
  <c r="AX28" i="11" s="1"/>
  <c r="AY44" i="11"/>
  <c r="AY28" i="11" s="1"/>
  <c r="BB44" i="11"/>
  <c r="BB28" i="11" s="1"/>
  <c r="AU28" i="11"/>
  <c r="S44" i="11" s="1"/>
  <c r="AA39" i="11"/>
  <c r="AA23" i="11" s="1"/>
  <c r="AB39" i="11"/>
  <c r="AB23" i="11" s="1"/>
  <c r="AH39" i="11"/>
  <c r="AH23" i="11" s="1"/>
  <c r="X39" i="11"/>
  <c r="X23" i="11" s="1"/>
  <c r="AI39" i="11"/>
  <c r="Z39" i="11"/>
  <c r="Z23" i="11" s="1"/>
  <c r="AC39" i="11"/>
  <c r="AC23" i="11" s="1"/>
  <c r="AG39" i="11"/>
  <c r="AG23" i="11" s="1"/>
  <c r="Y39" i="11"/>
  <c r="Y23" i="11" s="1"/>
  <c r="AD39" i="11"/>
  <c r="AD23" i="11" s="1"/>
  <c r="AF39" i="11"/>
  <c r="AF23" i="11" s="1"/>
  <c r="AE39" i="11"/>
  <c r="AE23" i="11" s="1"/>
  <c r="AH46" i="11"/>
  <c r="AH30" i="11" s="1"/>
  <c r="AB46" i="11"/>
  <c r="AB30" i="11" s="1"/>
  <c r="AG46" i="11"/>
  <c r="AG30" i="11" s="1"/>
  <c r="Z46" i="11"/>
  <c r="Z30" i="11" s="1"/>
  <c r="AA46" i="11"/>
  <c r="AA30" i="11" s="1"/>
  <c r="Y46" i="11"/>
  <c r="Y30" i="11" s="1"/>
  <c r="AC46" i="11"/>
  <c r="AC30" i="11" s="1"/>
  <c r="AD46" i="11"/>
  <c r="AD30" i="11" s="1"/>
  <c r="AE46" i="11"/>
  <c r="AE30" i="11" s="1"/>
  <c r="AF46" i="11"/>
  <c r="AF30" i="11" s="1"/>
  <c r="X46" i="11"/>
  <c r="X30" i="11" s="1"/>
  <c r="AI46" i="11"/>
  <c r="CD101" i="11"/>
  <c r="CD134" i="11" s="1"/>
  <c r="CE150" i="11"/>
  <c r="V148" i="11"/>
  <c r="V150" i="11" s="1"/>
  <c r="V151" i="11" s="1"/>
  <c r="V152" i="11" s="1"/>
  <c r="V145" i="11"/>
  <c r="V87" i="11"/>
  <c r="V111" i="11"/>
  <c r="V127" i="11"/>
  <c r="V119" i="11"/>
  <c r="V103" i="11"/>
  <c r="CE105" i="11"/>
  <c r="V89" i="11"/>
  <c r="R153" i="11"/>
  <c r="R154" i="11" s="1"/>
  <c r="S153" i="11"/>
  <c r="T153" i="11"/>
  <c r="U153" i="11"/>
  <c r="AD42" i="11"/>
  <c r="AD26" i="11" s="1"/>
  <c r="Y42" i="11"/>
  <c r="Y26" i="11" s="1"/>
  <c r="X42" i="11"/>
  <c r="X26" i="11" s="1"/>
  <c r="AB42" i="11"/>
  <c r="AB26" i="11" s="1"/>
  <c r="AA42" i="11"/>
  <c r="AA26" i="11" s="1"/>
  <c r="AH42" i="11"/>
  <c r="AH26" i="11" s="1"/>
  <c r="AE42" i="11"/>
  <c r="AE26" i="11" s="1"/>
  <c r="AI42" i="11"/>
  <c r="AC42" i="11"/>
  <c r="AC26" i="11" s="1"/>
  <c r="AF42" i="11"/>
  <c r="AF26" i="11" s="1"/>
  <c r="AG42" i="11"/>
  <c r="AG26" i="11" s="1"/>
  <c r="Z42" i="11"/>
  <c r="Z26" i="11" s="1"/>
  <c r="CE110" i="11"/>
  <c r="V94" i="11"/>
  <c r="CE106" i="11"/>
  <c r="V90" i="11"/>
  <c r="AK49" i="11"/>
  <c r="AK33" i="11" s="1"/>
  <c r="AP49" i="11"/>
  <c r="AP33" i="11" s="1"/>
  <c r="AO49" i="11"/>
  <c r="AO33" i="11" s="1"/>
  <c r="AR49" i="11"/>
  <c r="AR33" i="11" s="1"/>
  <c r="AM49" i="11"/>
  <c r="AM33" i="11" s="1"/>
  <c r="AT49" i="11"/>
  <c r="AT33" i="11" s="1"/>
  <c r="AU49" i="11"/>
  <c r="AJ49" i="11"/>
  <c r="AJ33" i="11" s="1"/>
  <c r="AL49" i="11"/>
  <c r="AL33" i="11" s="1"/>
  <c r="AN49" i="11"/>
  <c r="AN33" i="11" s="1"/>
  <c r="AQ49" i="11"/>
  <c r="AQ33" i="11" s="1"/>
  <c r="AS49" i="11"/>
  <c r="AS33" i="11" s="1"/>
  <c r="AI33" i="11"/>
  <c r="R33" i="11" s="1"/>
  <c r="CE116" i="11"/>
  <c r="V100" i="11"/>
  <c r="BD43" i="11"/>
  <c r="BD27" i="11" s="1"/>
  <c r="R112" i="11"/>
  <c r="S128" i="11"/>
  <c r="T112" i="11"/>
  <c r="T128" i="11"/>
  <c r="U112" i="11"/>
  <c r="U128" i="11"/>
  <c r="V128" i="11"/>
  <c r="V112" i="11"/>
  <c r="R130" i="11"/>
  <c r="R114" i="11"/>
  <c r="S114" i="11"/>
  <c r="U130" i="11"/>
  <c r="U114" i="11"/>
  <c r="V114" i="11"/>
  <c r="V130" i="11"/>
  <c r="AP48" i="11"/>
  <c r="AP32" i="11" s="1"/>
  <c r="AO50" i="11"/>
  <c r="AO34" i="11" s="1"/>
  <c r="AQ50" i="11"/>
  <c r="AQ34" i="11" s="1"/>
  <c r="AN50" i="11"/>
  <c r="AN34" i="11" s="1"/>
  <c r="AK50" i="11"/>
  <c r="AK34" i="11" s="1"/>
  <c r="AS50" i="11"/>
  <c r="AS34" i="11" s="1"/>
  <c r="AP50" i="11"/>
  <c r="AP34" i="11" s="1"/>
  <c r="AR50" i="11"/>
  <c r="AR34" i="11" s="1"/>
  <c r="AL50" i="11"/>
  <c r="AL34" i="11" s="1"/>
  <c r="AM50" i="11"/>
  <c r="AM34" i="11" s="1"/>
  <c r="AT50" i="11"/>
  <c r="AT34" i="11" s="1"/>
  <c r="AJ50" i="11"/>
  <c r="AJ34" i="11" s="1"/>
  <c r="AU50" i="11"/>
  <c r="AI34" i="11"/>
  <c r="R125" i="11"/>
  <c r="R109" i="11"/>
  <c r="S109" i="11"/>
  <c r="S125" i="11"/>
  <c r="T125" i="11"/>
  <c r="T109" i="11"/>
  <c r="U125" i="11"/>
  <c r="U109" i="11"/>
  <c r="V125" i="11"/>
  <c r="V109" i="11"/>
  <c r="R5" i="11"/>
  <c r="M18" i="1" s="1"/>
  <c r="CE102" i="11"/>
  <c r="R86" i="11"/>
  <c r="R85" i="11" s="1"/>
  <c r="M50" i="1" s="1"/>
  <c r="S86" i="11"/>
  <c r="S85" i="11" s="1"/>
  <c r="N50" i="1" s="1"/>
  <c r="T86" i="11"/>
  <c r="T85" i="11" s="1"/>
  <c r="O50" i="1" s="1"/>
  <c r="U86" i="11"/>
  <c r="U85" i="11" s="1"/>
  <c r="V86" i="11"/>
  <c r="O49" i="1"/>
  <c r="P49" i="1" s="1"/>
  <c r="N18" i="1"/>
  <c r="BY81" i="11"/>
  <c r="BW84" i="11"/>
  <c r="CA84" i="11"/>
  <c r="CD81" i="11"/>
  <c r="CA79" i="11"/>
  <c r="BU82" i="11"/>
  <c r="CC72" i="11"/>
  <c r="CB76" i="11"/>
  <c r="BW78" i="11"/>
  <c r="BZ79" i="11"/>
  <c r="BY83" i="11"/>
  <c r="CE77" i="11"/>
  <c r="BV76" i="11"/>
  <c r="BV81" i="11"/>
  <c r="CD83" i="11"/>
  <c r="BX80" i="11"/>
  <c r="CC76" i="11"/>
  <c r="BU74" i="11"/>
  <c r="BW73" i="11"/>
  <c r="CB70" i="11"/>
  <c r="CD71" i="11"/>
  <c r="BZ81" i="11"/>
  <c r="CA75" i="11"/>
  <c r="BU73" i="11"/>
  <c r="BW79" i="11"/>
  <c r="BZ76" i="11"/>
  <c r="BW74" i="11"/>
  <c r="CB71" i="11"/>
  <c r="BX81" i="11"/>
  <c r="CE84" i="11"/>
  <c r="CA78" i="11"/>
  <c r="CB78" i="11"/>
  <c r="BX83" i="11"/>
  <c r="BY82" i="11"/>
  <c r="CC82" i="11"/>
  <c r="BV73" i="11"/>
  <c r="BZ70" i="11"/>
  <c r="BZ78" i="11"/>
  <c r="BX79" i="11"/>
  <c r="CB77" i="11"/>
  <c r="CB83" i="11"/>
  <c r="BT81" i="11"/>
  <c r="CE83" i="11"/>
  <c r="BT75" i="11"/>
  <c r="BX74" i="11"/>
  <c r="CA82" i="11"/>
  <c r="BU71" i="11"/>
  <c r="CC71" i="11"/>
  <c r="BV71" i="11"/>
  <c r="CE81" i="11"/>
  <c r="CC84" i="11"/>
  <c r="BW71" i="11"/>
  <c r="BT79" i="11"/>
  <c r="CC83" i="11"/>
  <c r="CD82" i="11"/>
  <c r="BZ71" i="11"/>
  <c r="BX76" i="11"/>
  <c r="BW72" i="11"/>
  <c r="CA71" i="11"/>
  <c r="BW77" i="11"/>
  <c r="CB82" i="11"/>
  <c r="BX73" i="11"/>
  <c r="CD70" i="11"/>
  <c r="CA72" i="11"/>
  <c r="BZ80" i="11"/>
  <c r="BT78" i="11"/>
  <c r="BV80" i="11"/>
  <c r="CC70" i="11"/>
  <c r="CD72" i="11"/>
  <c r="BX72" i="11"/>
  <c r="BY79" i="11"/>
  <c r="BT83" i="11"/>
  <c r="CD74" i="11"/>
  <c r="CA76" i="11"/>
  <c r="BY74" i="11"/>
  <c r="BU70" i="11"/>
  <c r="CE82" i="11"/>
  <c r="BY77" i="11"/>
  <c r="BY70" i="11"/>
  <c r="BZ82" i="11"/>
  <c r="CC75" i="11"/>
  <c r="CA77" i="11"/>
  <c r="BU79" i="11"/>
  <c r="BT80" i="11"/>
  <c r="CE76" i="11"/>
  <c r="CE78" i="11"/>
  <c r="BV75" i="11"/>
  <c r="BV83" i="11"/>
  <c r="BZ84" i="11"/>
  <c r="CD73" i="11"/>
  <c r="BY73" i="11"/>
  <c r="CC74" i="11"/>
  <c r="CE75" i="11"/>
  <c r="CD79" i="11"/>
  <c r="BX78" i="11"/>
  <c r="BX84" i="11"/>
  <c r="BW82" i="11"/>
  <c r="BV78" i="11"/>
  <c r="BW80" i="11"/>
  <c r="BZ74" i="11"/>
  <c r="BX82" i="11"/>
  <c r="BT84" i="11"/>
  <c r="CC81" i="11"/>
  <c r="BU83" i="11"/>
  <c r="BT70" i="11"/>
  <c r="CB80" i="11"/>
  <c r="CD77" i="11"/>
  <c r="BV79" i="11"/>
  <c r="BW83" i="11"/>
  <c r="BX75" i="11"/>
  <c r="BX77" i="11"/>
  <c r="CD78" i="11"/>
  <c r="CC79" i="11"/>
  <c r="BX70" i="11"/>
  <c r="BU78" i="11"/>
  <c r="BY76" i="11"/>
  <c r="CE70" i="11"/>
  <c r="CB72" i="11"/>
  <c r="BU76" i="11"/>
  <c r="BU84" i="11"/>
  <c r="BT74" i="11"/>
  <c r="BT82" i="11"/>
  <c r="BV77" i="11"/>
  <c r="CC77" i="11"/>
  <c r="BV70" i="11"/>
  <c r="BT72" i="11"/>
  <c r="BV72" i="11"/>
  <c r="BV74" i="11"/>
  <c r="BZ83" i="11"/>
  <c r="CB79" i="11"/>
  <c r="BV82" i="11"/>
  <c r="BT71" i="11"/>
  <c r="CB81" i="11"/>
  <c r="BT73" i="11"/>
  <c r="BW81" i="11"/>
  <c r="CE74" i="11"/>
  <c r="BU75" i="11"/>
  <c r="CA73" i="11"/>
  <c r="CD76" i="11"/>
  <c r="BY84" i="11"/>
  <c r="CC78" i="11"/>
  <c r="BU80" i="11"/>
  <c r="CB74" i="11"/>
  <c r="BY71" i="11"/>
  <c r="BX71" i="11"/>
  <c r="BZ75" i="11"/>
  <c r="CC73" i="11"/>
  <c r="BU77" i="11"/>
  <c r="BW76" i="11"/>
  <c r="CD84" i="11"/>
  <c r="CB84" i="11"/>
  <c r="BW75" i="11"/>
  <c r="CE71" i="11"/>
  <c r="CE80" i="11"/>
  <c r="CA81" i="11"/>
  <c r="BY72" i="11"/>
  <c r="BV84" i="11"/>
  <c r="CE73" i="11"/>
  <c r="CB73" i="11"/>
  <c r="BZ73" i="11"/>
  <c r="CA83" i="11"/>
  <c r="CA80" i="11"/>
  <c r="BY75" i="11"/>
  <c r="BU81" i="11"/>
  <c r="BW70" i="11"/>
  <c r="CC80" i="11"/>
  <c r="BZ72" i="11"/>
  <c r="CA74" i="11"/>
  <c r="CD75" i="11"/>
  <c r="BZ77" i="11"/>
  <c r="BT76" i="11"/>
  <c r="BY80" i="11"/>
  <c r="BY78" i="11"/>
  <c r="BU72" i="11"/>
  <c r="BT77" i="11"/>
  <c r="CD80" i="11"/>
  <c r="CE79" i="11"/>
  <c r="CA70" i="11"/>
  <c r="CE72" i="11"/>
  <c r="CB75" i="11"/>
  <c r="V37" i="4"/>
  <c r="N49" i="1"/>
  <c r="R27" i="11" l="1"/>
  <c r="CE85" i="11"/>
  <c r="AI31" i="11"/>
  <c r="R47" i="11" s="1"/>
  <c r="AR45" i="11"/>
  <c r="AR29" i="11" s="1"/>
  <c r="AN45" i="11"/>
  <c r="AN29" i="11" s="1"/>
  <c r="AT47" i="11"/>
  <c r="AT31" i="11" s="1"/>
  <c r="AM45" i="11"/>
  <c r="AM29" i="11" s="1"/>
  <c r="AO47" i="11"/>
  <c r="AO31" i="11" s="1"/>
  <c r="AU45" i="11"/>
  <c r="BB45" i="11" s="1"/>
  <c r="BB29" i="11" s="1"/>
  <c r="AJ47" i="11"/>
  <c r="AJ31" i="11" s="1"/>
  <c r="AS47" i="11"/>
  <c r="AS31" i="11" s="1"/>
  <c r="V104" i="11"/>
  <c r="AQ45" i="11"/>
  <c r="AQ29" i="11" s="1"/>
  <c r="AL47" i="11"/>
  <c r="AL31" i="11" s="1"/>
  <c r="AT45" i="11"/>
  <c r="AT29" i="11" s="1"/>
  <c r="AL48" i="11"/>
  <c r="AL32" i="11" s="1"/>
  <c r="AK47" i="11"/>
  <c r="AK31" i="11" s="1"/>
  <c r="AP47" i="11"/>
  <c r="AP31" i="11" s="1"/>
  <c r="AM47" i="11"/>
  <c r="AM31" i="11" s="1"/>
  <c r="AQ47" i="11"/>
  <c r="AQ31" i="11" s="1"/>
  <c r="AR48" i="11"/>
  <c r="AR32" i="11" s="1"/>
  <c r="AQ48" i="11"/>
  <c r="AQ32" i="11" s="1"/>
  <c r="AK48" i="11"/>
  <c r="AK32" i="11" s="1"/>
  <c r="AN47" i="11"/>
  <c r="AN31" i="11" s="1"/>
  <c r="AR47" i="11"/>
  <c r="AR31" i="11" s="1"/>
  <c r="V88" i="11"/>
  <c r="V85" i="11" s="1"/>
  <c r="AM48" i="11"/>
  <c r="AM32" i="11" s="1"/>
  <c r="AA40" i="11"/>
  <c r="AA24" i="11" s="1"/>
  <c r="AH40" i="11"/>
  <c r="AH24" i="11" s="1"/>
  <c r="AC40" i="11"/>
  <c r="AC24" i="11" s="1"/>
  <c r="Z40" i="11"/>
  <c r="Z24" i="11" s="1"/>
  <c r="AI40" i="11"/>
  <c r="AQ40" i="11" s="1"/>
  <c r="AQ24" i="11" s="1"/>
  <c r="AE40" i="11"/>
  <c r="AE24" i="11" s="1"/>
  <c r="AF40" i="11"/>
  <c r="AF24" i="11" s="1"/>
  <c r="AP45" i="11"/>
  <c r="AP29" i="11" s="1"/>
  <c r="V5" i="11"/>
  <c r="AJ45" i="11"/>
  <c r="AJ29" i="11" s="1"/>
  <c r="AO45" i="11"/>
  <c r="AO29" i="11" s="1"/>
  <c r="AK45" i="11"/>
  <c r="AK29" i="11" s="1"/>
  <c r="AL45" i="11"/>
  <c r="AL29" i="11" s="1"/>
  <c r="X40" i="11"/>
  <c r="X24" i="11" s="1"/>
  <c r="CD117" i="11"/>
  <c r="AS45" i="11"/>
  <c r="AS29" i="11" s="1"/>
  <c r="AD40" i="11"/>
  <c r="AD24" i="11" s="1"/>
  <c r="AB40" i="11"/>
  <c r="AB24" i="11" s="1"/>
  <c r="Y40" i="11"/>
  <c r="Y24" i="11" s="1"/>
  <c r="R45" i="11"/>
  <c r="AS48" i="11"/>
  <c r="AS32" i="11" s="1"/>
  <c r="BE43" i="11"/>
  <c r="BE27" i="11" s="1"/>
  <c r="AN48" i="11"/>
  <c r="AN32" i="11" s="1"/>
  <c r="AJ48" i="11"/>
  <c r="AJ32" i="11" s="1"/>
  <c r="BC43" i="11"/>
  <c r="BC27" i="11" s="1"/>
  <c r="AO48" i="11"/>
  <c r="AO32" i="11" s="1"/>
  <c r="AY43" i="11"/>
  <c r="AY27" i="11" s="1"/>
  <c r="AU48" i="11"/>
  <c r="AW48" i="11" s="1"/>
  <c r="AW32" i="11" s="1"/>
  <c r="AZ43" i="11"/>
  <c r="AZ27" i="11" s="1"/>
  <c r="AI32" i="11"/>
  <c r="R48" i="11" s="1"/>
  <c r="BG43" i="11"/>
  <c r="BQ43" i="11" s="1"/>
  <c r="BQ27" i="11" s="1"/>
  <c r="AX43" i="11"/>
  <c r="AX27" i="11" s="1"/>
  <c r="BA43" i="11"/>
  <c r="BA27" i="11" s="1"/>
  <c r="AW43" i="11"/>
  <c r="AW27" i="11" s="1"/>
  <c r="AU27" i="11"/>
  <c r="S43" i="11" s="1"/>
  <c r="BB43" i="11"/>
  <c r="BB27" i="11" s="1"/>
  <c r="AV43" i="11"/>
  <c r="AV27" i="11" s="1"/>
  <c r="R34" i="11"/>
  <c r="S51" i="11"/>
  <c r="S79" i="4"/>
  <c r="T78" i="4"/>
  <c r="U78" i="4"/>
  <c r="H37" i="4"/>
  <c r="I37" i="4"/>
  <c r="B79" i="4"/>
  <c r="C78" i="4"/>
  <c r="D78" i="4"/>
  <c r="CD158" i="11"/>
  <c r="BC47" i="11"/>
  <c r="BC31" i="11" s="1"/>
  <c r="AZ47" i="11"/>
  <c r="AZ31" i="11" s="1"/>
  <c r="BE47" i="11"/>
  <c r="BE31" i="11" s="1"/>
  <c r="BF47" i="11"/>
  <c r="BF31" i="11" s="1"/>
  <c r="AW47" i="11"/>
  <c r="AW31" i="11" s="1"/>
  <c r="AU31" i="11"/>
  <c r="BG47" i="11"/>
  <c r="AY47" i="11"/>
  <c r="AY31" i="11" s="1"/>
  <c r="AV47" i="11"/>
  <c r="AV31" i="11" s="1"/>
  <c r="AX47" i="11"/>
  <c r="AX31" i="11" s="1"/>
  <c r="BD47" i="11"/>
  <c r="BD31" i="11" s="1"/>
  <c r="BA47" i="11"/>
  <c r="BA31" i="11" s="1"/>
  <c r="BB47" i="11"/>
  <c r="BB31" i="11" s="1"/>
  <c r="AS41" i="11"/>
  <c r="AS25" i="11" s="1"/>
  <c r="AK41" i="11"/>
  <c r="AK25" i="11" s="1"/>
  <c r="AN41" i="11"/>
  <c r="AN25" i="11" s="1"/>
  <c r="AR41" i="11"/>
  <c r="AR25" i="11" s="1"/>
  <c r="AQ41" i="11"/>
  <c r="AQ25" i="11" s="1"/>
  <c r="AL41" i="11"/>
  <c r="AL25" i="11" s="1"/>
  <c r="AM41" i="11"/>
  <c r="AM25" i="11" s="1"/>
  <c r="AU41" i="11"/>
  <c r="AI25" i="11"/>
  <c r="AJ41" i="11"/>
  <c r="AJ25" i="11" s="1"/>
  <c r="AP41" i="11"/>
  <c r="AP25" i="11" s="1"/>
  <c r="AO41" i="11"/>
  <c r="AO25" i="11" s="1"/>
  <c r="AT41" i="11"/>
  <c r="AT25" i="11" s="1"/>
  <c r="S28" i="11"/>
  <c r="BD45" i="11"/>
  <c r="BD29" i="11" s="1"/>
  <c r="AV45" i="11"/>
  <c r="AV29" i="11" s="1"/>
  <c r="BK51" i="11"/>
  <c r="BK35" i="11" s="1"/>
  <c r="BP51" i="11"/>
  <c r="BP35" i="11" s="1"/>
  <c r="BS51" i="11"/>
  <c r="BM51" i="11"/>
  <c r="BM35" i="11" s="1"/>
  <c r="BH51" i="11"/>
  <c r="BH35" i="11" s="1"/>
  <c r="BL51" i="11"/>
  <c r="BL35" i="11" s="1"/>
  <c r="BO51" i="11"/>
  <c r="BO35" i="11" s="1"/>
  <c r="BR51" i="11"/>
  <c r="BR35" i="11" s="1"/>
  <c r="BI51" i="11"/>
  <c r="BI35" i="11" s="1"/>
  <c r="BQ51" i="11"/>
  <c r="BQ35" i="11" s="1"/>
  <c r="BN51" i="11"/>
  <c r="BN35" i="11" s="1"/>
  <c r="BJ51" i="11"/>
  <c r="BJ35" i="11" s="1"/>
  <c r="BG35" i="11"/>
  <c r="T51" i="11" s="1"/>
  <c r="R29" i="11"/>
  <c r="AT46" i="11"/>
  <c r="AT30" i="11" s="1"/>
  <c r="AU46" i="11"/>
  <c r="AK46" i="11"/>
  <c r="AK30" i="11" s="1"/>
  <c r="AI30" i="11"/>
  <c r="R30" i="11" s="1"/>
  <c r="AQ46" i="11"/>
  <c r="AQ30" i="11" s="1"/>
  <c r="AR46" i="11"/>
  <c r="AR30" i="11" s="1"/>
  <c r="AL46" i="11"/>
  <c r="AL30" i="11" s="1"/>
  <c r="AO46" i="11"/>
  <c r="AO30" i="11" s="1"/>
  <c r="AM46" i="11"/>
  <c r="AM30" i="11" s="1"/>
  <c r="AJ46" i="11"/>
  <c r="AJ30" i="11" s="1"/>
  <c r="AP46" i="11"/>
  <c r="AP30" i="11" s="1"/>
  <c r="AS46" i="11"/>
  <c r="AS30" i="11" s="1"/>
  <c r="AN46" i="11"/>
  <c r="AN30" i="11" s="1"/>
  <c r="AS39" i="11"/>
  <c r="AS23" i="11" s="1"/>
  <c r="AN39" i="11"/>
  <c r="AN23" i="11" s="1"/>
  <c r="AM39" i="11"/>
  <c r="AM23" i="11" s="1"/>
  <c r="AP39" i="11"/>
  <c r="AP23" i="11" s="1"/>
  <c r="AR39" i="11"/>
  <c r="AR23" i="11" s="1"/>
  <c r="AJ39" i="11"/>
  <c r="AJ23" i="11" s="1"/>
  <c r="AO39" i="11"/>
  <c r="AO23" i="11" s="1"/>
  <c r="AL39" i="11"/>
  <c r="AL23" i="11" s="1"/>
  <c r="AK39" i="11"/>
  <c r="AK23" i="11" s="1"/>
  <c r="AT39" i="11"/>
  <c r="AT23" i="11" s="1"/>
  <c r="AQ39" i="11"/>
  <c r="AQ23" i="11" s="1"/>
  <c r="AI23" i="11"/>
  <c r="R39" i="11" s="1"/>
  <c r="AU39" i="11"/>
  <c r="BI44" i="11"/>
  <c r="BI28" i="11" s="1"/>
  <c r="BH44" i="11"/>
  <c r="BH28" i="11" s="1"/>
  <c r="BN44" i="11"/>
  <c r="BN28" i="11" s="1"/>
  <c r="BS44" i="11"/>
  <c r="BR44" i="11"/>
  <c r="BR28" i="11" s="1"/>
  <c r="BP44" i="11"/>
  <c r="BP28" i="11" s="1"/>
  <c r="BJ44" i="11"/>
  <c r="BJ28" i="11" s="1"/>
  <c r="BO44" i="11"/>
  <c r="BO28" i="11" s="1"/>
  <c r="BM44" i="11"/>
  <c r="BM28" i="11" s="1"/>
  <c r="BK44" i="11"/>
  <c r="BK28" i="11" s="1"/>
  <c r="BQ44" i="11"/>
  <c r="BQ28" i="11" s="1"/>
  <c r="BL44" i="11"/>
  <c r="BL28" i="11" s="1"/>
  <c r="BG28" i="11"/>
  <c r="T28" i="11" s="1"/>
  <c r="AL52" i="11"/>
  <c r="AL36" i="11" s="1"/>
  <c r="AP52" i="11"/>
  <c r="AP36" i="11" s="1"/>
  <c r="AR52" i="11"/>
  <c r="AR36" i="11" s="1"/>
  <c r="AN52" i="11"/>
  <c r="AN36" i="11" s="1"/>
  <c r="AT52" i="11"/>
  <c r="AT36" i="11" s="1"/>
  <c r="AS52" i="11"/>
  <c r="AS36" i="11" s="1"/>
  <c r="AJ52" i="11"/>
  <c r="AJ36" i="11" s="1"/>
  <c r="AU52" i="11"/>
  <c r="AM52" i="11"/>
  <c r="AM36" i="11" s="1"/>
  <c r="AI36" i="11"/>
  <c r="R36" i="11" s="1"/>
  <c r="AK52" i="11"/>
  <c r="AK36" i="11" s="1"/>
  <c r="AO52" i="11"/>
  <c r="AO36" i="11" s="1"/>
  <c r="AQ52" i="11"/>
  <c r="AQ36" i="11" s="1"/>
  <c r="R31" i="11"/>
  <c r="U154" i="11"/>
  <c r="CE147" i="11"/>
  <c r="V153" i="11" s="1"/>
  <c r="V154" i="11" s="1"/>
  <c r="V147" i="11"/>
  <c r="T154" i="11"/>
  <c r="V105" i="11"/>
  <c r="V121" i="11"/>
  <c r="S154" i="11"/>
  <c r="R122" i="11"/>
  <c r="V106" i="11"/>
  <c r="V122" i="11"/>
  <c r="AP42" i="11"/>
  <c r="AP26" i="11" s="1"/>
  <c r="AU42" i="11"/>
  <c r="AQ42" i="11"/>
  <c r="AQ26" i="11" s="1"/>
  <c r="AR42" i="11"/>
  <c r="AR26" i="11" s="1"/>
  <c r="AO42" i="11"/>
  <c r="AO26" i="11" s="1"/>
  <c r="AK42" i="11"/>
  <c r="AK26" i="11" s="1"/>
  <c r="AT42" i="11"/>
  <c r="AT26" i="11" s="1"/>
  <c r="AS42" i="11"/>
  <c r="AS26" i="11" s="1"/>
  <c r="AL42" i="11"/>
  <c r="AL26" i="11" s="1"/>
  <c r="AM42" i="11"/>
  <c r="AM26" i="11" s="1"/>
  <c r="AJ42" i="11"/>
  <c r="AJ26" i="11" s="1"/>
  <c r="AN42" i="11"/>
  <c r="AN26" i="11" s="1"/>
  <c r="AI26" i="11"/>
  <c r="R26" i="11" s="1"/>
  <c r="V110" i="11"/>
  <c r="V126" i="11"/>
  <c r="R49" i="11"/>
  <c r="AV49" i="11"/>
  <c r="AV33" i="11" s="1"/>
  <c r="AZ49" i="11"/>
  <c r="AZ33" i="11" s="1"/>
  <c r="BG49" i="11"/>
  <c r="BC49" i="11"/>
  <c r="BC33" i="11" s="1"/>
  <c r="AW49" i="11"/>
  <c r="AW33" i="11" s="1"/>
  <c r="BB49" i="11"/>
  <c r="BB33" i="11" s="1"/>
  <c r="BD49" i="11"/>
  <c r="BD33" i="11" s="1"/>
  <c r="BA49" i="11"/>
  <c r="BA33" i="11" s="1"/>
  <c r="AX49" i="11"/>
  <c r="AX33" i="11" s="1"/>
  <c r="BE49" i="11"/>
  <c r="BE33" i="11" s="1"/>
  <c r="BF49" i="11"/>
  <c r="BF33" i="11" s="1"/>
  <c r="AY49" i="11"/>
  <c r="AY33" i="11" s="1"/>
  <c r="AU33" i="11"/>
  <c r="S33" i="11" s="1"/>
  <c r="V132" i="11"/>
  <c r="V116" i="11"/>
  <c r="AY50" i="11"/>
  <c r="AY34" i="11" s="1"/>
  <c r="AW50" i="11"/>
  <c r="AW34" i="11" s="1"/>
  <c r="BB50" i="11"/>
  <c r="BB34" i="11" s="1"/>
  <c r="BD50" i="11"/>
  <c r="BD34" i="11" s="1"/>
  <c r="BG50" i="11"/>
  <c r="BF50" i="11"/>
  <c r="BF34" i="11" s="1"/>
  <c r="BE50" i="11"/>
  <c r="BE34" i="11" s="1"/>
  <c r="BA50" i="11"/>
  <c r="BA34" i="11" s="1"/>
  <c r="BC50" i="11"/>
  <c r="BC34" i="11" s="1"/>
  <c r="AX50" i="11"/>
  <c r="AX34" i="11" s="1"/>
  <c r="AV50" i="11"/>
  <c r="AV34" i="11" s="1"/>
  <c r="AZ50" i="11"/>
  <c r="AZ34" i="11" s="1"/>
  <c r="AU34" i="11"/>
  <c r="S50" i="11" s="1"/>
  <c r="BX69" i="11"/>
  <c r="V71" i="11"/>
  <c r="V78" i="11"/>
  <c r="V82" i="11"/>
  <c r="R50" i="11"/>
  <c r="BR43" i="11"/>
  <c r="BR27" i="11" s="1"/>
  <c r="BN43" i="11"/>
  <c r="BN27" i="11" s="1"/>
  <c r="BL43" i="11"/>
  <c r="BL27" i="11" s="1"/>
  <c r="CA69" i="11"/>
  <c r="V73" i="11"/>
  <c r="V81" i="11"/>
  <c r="V74" i="11"/>
  <c r="BT69" i="11"/>
  <c r="V70" i="11"/>
  <c r="V83" i="11"/>
  <c r="CE101" i="11"/>
  <c r="R102" i="11"/>
  <c r="R101" i="11" s="1"/>
  <c r="R118" i="11"/>
  <c r="S102" i="11"/>
  <c r="S101" i="11" s="1"/>
  <c r="S118" i="11"/>
  <c r="T102" i="11"/>
  <c r="T101" i="11" s="1"/>
  <c r="T118" i="11"/>
  <c r="U102" i="11"/>
  <c r="U101" i="11" s="1"/>
  <c r="U118" i="11"/>
  <c r="V118" i="11"/>
  <c r="V102" i="11"/>
  <c r="V77" i="11"/>
  <c r="BY69" i="11"/>
  <c r="CD69" i="11"/>
  <c r="P50" i="1"/>
  <c r="Q49" i="1"/>
  <c r="U37" i="4"/>
  <c r="X37" i="4" s="1"/>
  <c r="W37" i="4"/>
  <c r="V72" i="11"/>
  <c r="V84" i="11"/>
  <c r="BW69" i="11"/>
  <c r="BV69" i="11"/>
  <c r="CE69" i="11"/>
  <c r="V79" i="11"/>
  <c r="BZ69" i="11"/>
  <c r="V80" i="11"/>
  <c r="BU69" i="11"/>
  <c r="CC69" i="11"/>
  <c r="V75" i="11"/>
  <c r="CB69" i="11"/>
  <c r="L18" i="1"/>
  <c r="O18" i="1" s="1"/>
  <c r="M49" i="1"/>
  <c r="V76" i="11"/>
  <c r="AC38" i="11"/>
  <c r="AC22" i="11" s="1"/>
  <c r="AH38" i="11"/>
  <c r="AH22" i="11" s="1"/>
  <c r="AF38" i="11"/>
  <c r="AF22" i="11" s="1"/>
  <c r="Y38" i="11"/>
  <c r="Y22" i="11" s="1"/>
  <c r="Z38" i="11"/>
  <c r="Z22" i="11" s="1"/>
  <c r="AD38" i="11"/>
  <c r="AD22" i="11" s="1"/>
  <c r="AB38" i="11"/>
  <c r="AB22" i="11" s="1"/>
  <c r="AA38" i="11"/>
  <c r="AA22" i="11" s="1"/>
  <c r="X22" i="11"/>
  <c r="AE38" i="11"/>
  <c r="AE22" i="11" s="1"/>
  <c r="AG38" i="11"/>
  <c r="AG22" i="11" s="1"/>
  <c r="AG21" i="11" s="1"/>
  <c r="AW45" i="11" l="1"/>
  <c r="AW29" i="11" s="1"/>
  <c r="AV48" i="11"/>
  <c r="AV32" i="11" s="1"/>
  <c r="BA45" i="11"/>
  <c r="BA29" i="11" s="1"/>
  <c r="AK40" i="11"/>
  <c r="AK24" i="11" s="1"/>
  <c r="AE21" i="11"/>
  <c r="AE37" i="11" s="1"/>
  <c r="AX45" i="11"/>
  <c r="AX29" i="11" s="1"/>
  <c r="BC45" i="11"/>
  <c r="BC29" i="11" s="1"/>
  <c r="AU29" i="11"/>
  <c r="S45" i="11" s="1"/>
  <c r="AZ45" i="11"/>
  <c r="AZ29" i="11" s="1"/>
  <c r="BE45" i="11"/>
  <c r="BE29" i="11" s="1"/>
  <c r="BF45" i="11"/>
  <c r="BF29" i="11" s="1"/>
  <c r="AY45" i="11"/>
  <c r="AY29" i="11" s="1"/>
  <c r="BG45" i="11"/>
  <c r="BN45" i="11" s="1"/>
  <c r="BN29" i="11" s="1"/>
  <c r="BE48" i="11"/>
  <c r="BE32" i="11" s="1"/>
  <c r="AN40" i="11"/>
  <c r="AN24" i="11" s="1"/>
  <c r="AL40" i="11"/>
  <c r="AL24" i="11" s="1"/>
  <c r="AA21" i="11"/>
  <c r="BG27" i="11"/>
  <c r="BS43" i="11"/>
  <c r="BZ43" i="11" s="1"/>
  <c r="BZ27" i="11" s="1"/>
  <c r="BO43" i="11"/>
  <c r="BO27" i="11" s="1"/>
  <c r="BM43" i="11"/>
  <c r="BM27" i="11" s="1"/>
  <c r="BI43" i="11"/>
  <c r="BI27" i="11" s="1"/>
  <c r="BK43" i="11"/>
  <c r="BK27" i="11" s="1"/>
  <c r="AH21" i="11"/>
  <c r="AH37" i="11" s="1"/>
  <c r="BH43" i="11"/>
  <c r="BH27" i="11" s="1"/>
  <c r="AJ40" i="11"/>
  <c r="AJ24" i="11" s="1"/>
  <c r="AO40" i="11"/>
  <c r="AO24" i="11" s="1"/>
  <c r="R32" i="11"/>
  <c r="AR40" i="11"/>
  <c r="AR24" i="11" s="1"/>
  <c r="AP40" i="11"/>
  <c r="AP24" i="11" s="1"/>
  <c r="AU40" i="11"/>
  <c r="AZ40" i="11" s="1"/>
  <c r="AZ24" i="11" s="1"/>
  <c r="Z21" i="11"/>
  <c r="Z37" i="11" s="1"/>
  <c r="BP43" i="11"/>
  <c r="BP27" i="11" s="1"/>
  <c r="BJ43" i="11"/>
  <c r="BJ27" i="11" s="1"/>
  <c r="AI24" i="11"/>
  <c r="R24" i="11" s="1"/>
  <c r="AT40" i="11"/>
  <c r="AT24" i="11" s="1"/>
  <c r="AM40" i="11"/>
  <c r="AM24" i="11" s="1"/>
  <c r="AS40" i="11"/>
  <c r="AS24" i="11" s="1"/>
  <c r="AC21" i="11"/>
  <c r="AC133" i="11" s="1"/>
  <c r="AC135" i="11" s="1"/>
  <c r="AC136" i="11" s="1"/>
  <c r="S29" i="11"/>
  <c r="AF21" i="11"/>
  <c r="AB21" i="11"/>
  <c r="AB133" i="11" s="1"/>
  <c r="AB135" i="11" s="1"/>
  <c r="AB136" i="11" s="1"/>
  <c r="AD21" i="11"/>
  <c r="AD37" i="11" s="1"/>
  <c r="AU32" i="11"/>
  <c r="S48" i="11" s="1"/>
  <c r="BG48" i="11"/>
  <c r="BL48" i="11" s="1"/>
  <c r="BL32" i="11" s="1"/>
  <c r="BC48" i="11"/>
  <c r="BC32" i="11" s="1"/>
  <c r="BD48" i="11"/>
  <c r="BD32" i="11" s="1"/>
  <c r="BB48" i="11"/>
  <c r="BB32" i="11" s="1"/>
  <c r="BF48" i="11"/>
  <c r="BF32" i="11" s="1"/>
  <c r="BA48" i="11"/>
  <c r="BA32" i="11" s="1"/>
  <c r="Y21" i="11"/>
  <c r="Y37" i="11" s="1"/>
  <c r="AX48" i="11"/>
  <c r="AX32" i="11" s="1"/>
  <c r="AZ48" i="11"/>
  <c r="AZ32" i="11" s="1"/>
  <c r="AY48" i="11"/>
  <c r="AY32" i="11" s="1"/>
  <c r="S27" i="11"/>
  <c r="T43" i="11"/>
  <c r="R23" i="11"/>
  <c r="B80" i="4"/>
  <c r="D79" i="4"/>
  <c r="C79" i="4"/>
  <c r="E38" i="4"/>
  <c r="S80" i="4"/>
  <c r="T79" i="4"/>
  <c r="U79" i="4"/>
  <c r="T35" i="11"/>
  <c r="BP47" i="11"/>
  <c r="BP31" i="11" s="1"/>
  <c r="BG31" i="11"/>
  <c r="BK47" i="11"/>
  <c r="BK31" i="11" s="1"/>
  <c r="BJ47" i="11"/>
  <c r="BJ31" i="11" s="1"/>
  <c r="BS47" i="11"/>
  <c r="BM47" i="11"/>
  <c r="BM31" i="11" s="1"/>
  <c r="BH47" i="11"/>
  <c r="BH31" i="11" s="1"/>
  <c r="BR47" i="11"/>
  <c r="BR31" i="11" s="1"/>
  <c r="BN47" i="11"/>
  <c r="BN31" i="11" s="1"/>
  <c r="BO47" i="11"/>
  <c r="BO31" i="11" s="1"/>
  <c r="BQ47" i="11"/>
  <c r="BQ31" i="11" s="1"/>
  <c r="BL47" i="11"/>
  <c r="BL31" i="11" s="1"/>
  <c r="BI47" i="11"/>
  <c r="BI31" i="11" s="1"/>
  <c r="R46" i="11"/>
  <c r="CB51" i="11"/>
  <c r="CB35" i="11" s="1"/>
  <c r="CD51" i="11"/>
  <c r="CD35" i="11" s="1"/>
  <c r="BY51" i="11"/>
  <c r="BY35" i="11" s="1"/>
  <c r="BU51" i="11"/>
  <c r="BU35" i="11" s="1"/>
  <c r="BV51" i="11"/>
  <c r="BV35" i="11" s="1"/>
  <c r="BT51" i="11"/>
  <c r="BT35" i="11" s="1"/>
  <c r="CA51" i="11"/>
  <c r="CA35" i="11" s="1"/>
  <c r="CE51" i="11"/>
  <c r="CE35" i="11" s="1"/>
  <c r="BX51" i="11"/>
  <c r="BX35" i="11" s="1"/>
  <c r="BW51" i="11"/>
  <c r="BW35" i="11" s="1"/>
  <c r="BZ51" i="11"/>
  <c r="BZ35" i="11" s="1"/>
  <c r="CC51" i="11"/>
  <c r="CC35" i="11" s="1"/>
  <c r="BS35" i="11"/>
  <c r="U51" i="11" s="1"/>
  <c r="S47" i="11"/>
  <c r="S31" i="11"/>
  <c r="BC41" i="11"/>
  <c r="BC25" i="11" s="1"/>
  <c r="BA41" i="11"/>
  <c r="BA25" i="11" s="1"/>
  <c r="AZ41" i="11"/>
  <c r="AZ25" i="11" s="1"/>
  <c r="BD41" i="11"/>
  <c r="BD25" i="11" s="1"/>
  <c r="BF41" i="11"/>
  <c r="BF25" i="11" s="1"/>
  <c r="BB41" i="11"/>
  <c r="BB25" i="11" s="1"/>
  <c r="AV41" i="11"/>
  <c r="AV25" i="11" s="1"/>
  <c r="BG41" i="11"/>
  <c r="AX41" i="11"/>
  <c r="AX25" i="11" s="1"/>
  <c r="AW41" i="11"/>
  <c r="AW25" i="11" s="1"/>
  <c r="AY41" i="11"/>
  <c r="AY25" i="11" s="1"/>
  <c r="AU25" i="11"/>
  <c r="BE41" i="11"/>
  <c r="BE25" i="11" s="1"/>
  <c r="BF39" i="11"/>
  <c r="BF23" i="11" s="1"/>
  <c r="BG39" i="11"/>
  <c r="AX39" i="11"/>
  <c r="AX23" i="11" s="1"/>
  <c r="BD39" i="11"/>
  <c r="BD23" i="11" s="1"/>
  <c r="AZ39" i="11"/>
  <c r="AZ23" i="11" s="1"/>
  <c r="AW39" i="11"/>
  <c r="AW23" i="11" s="1"/>
  <c r="BA39" i="11"/>
  <c r="BA23" i="11" s="1"/>
  <c r="BE39" i="11"/>
  <c r="BE23" i="11" s="1"/>
  <c r="AV39" i="11"/>
  <c r="AV23" i="11" s="1"/>
  <c r="AU23" i="11"/>
  <c r="S39" i="11" s="1"/>
  <c r="BC39" i="11"/>
  <c r="BC23" i="11" s="1"/>
  <c r="BB39" i="11"/>
  <c r="BB23" i="11" s="1"/>
  <c r="AY39" i="11"/>
  <c r="AY23" i="11" s="1"/>
  <c r="BD46" i="11"/>
  <c r="BD30" i="11" s="1"/>
  <c r="BE46" i="11"/>
  <c r="BE30" i="11" s="1"/>
  <c r="AW46" i="11"/>
  <c r="AW30" i="11" s="1"/>
  <c r="BB46" i="11"/>
  <c r="BB30" i="11" s="1"/>
  <c r="AZ46" i="11"/>
  <c r="AZ30" i="11" s="1"/>
  <c r="BF46" i="11"/>
  <c r="BF30" i="11" s="1"/>
  <c r="BG46" i="11"/>
  <c r="AV46" i="11"/>
  <c r="AV30" i="11" s="1"/>
  <c r="AX46" i="11"/>
  <c r="AX30" i="11" s="1"/>
  <c r="AY46" i="11"/>
  <c r="AY30" i="11" s="1"/>
  <c r="BA46" i="11"/>
  <c r="BA30" i="11" s="1"/>
  <c r="BC46" i="11"/>
  <c r="BC30" i="11" s="1"/>
  <c r="AU30" i="11"/>
  <c r="S30" i="11" s="1"/>
  <c r="AX52" i="11"/>
  <c r="AX36" i="11" s="1"/>
  <c r="AW52" i="11"/>
  <c r="AW36" i="11" s="1"/>
  <c r="AV52" i="11"/>
  <c r="AV36" i="11" s="1"/>
  <c r="BB52" i="11"/>
  <c r="BB36" i="11" s="1"/>
  <c r="BC52" i="11"/>
  <c r="BC36" i="11" s="1"/>
  <c r="AZ52" i="11"/>
  <c r="AZ36" i="11" s="1"/>
  <c r="BE52" i="11"/>
  <c r="BE36" i="11" s="1"/>
  <c r="BD52" i="11"/>
  <c r="BD36" i="11" s="1"/>
  <c r="BF52" i="11"/>
  <c r="BF36" i="11" s="1"/>
  <c r="BG52" i="11"/>
  <c r="AY52" i="11"/>
  <c r="AY36" i="11" s="1"/>
  <c r="AU36" i="11"/>
  <c r="S52" i="11" s="1"/>
  <c r="BA52" i="11"/>
  <c r="BA36" i="11" s="1"/>
  <c r="CD44" i="11"/>
  <c r="CD28" i="11" s="1"/>
  <c r="BT44" i="11"/>
  <c r="BT28" i="11" s="1"/>
  <c r="BU44" i="11"/>
  <c r="BU28" i="11" s="1"/>
  <c r="BZ44" i="11"/>
  <c r="BZ28" i="11" s="1"/>
  <c r="BW44" i="11"/>
  <c r="BW28" i="11" s="1"/>
  <c r="CE44" i="11"/>
  <c r="CE28" i="11" s="1"/>
  <c r="CC44" i="11"/>
  <c r="CC28" i="11" s="1"/>
  <c r="CB44" i="11"/>
  <c r="CB28" i="11" s="1"/>
  <c r="CA44" i="11"/>
  <c r="CA28" i="11" s="1"/>
  <c r="BV44" i="11"/>
  <c r="BV28" i="11" s="1"/>
  <c r="BX44" i="11"/>
  <c r="BX28" i="11" s="1"/>
  <c r="BY44" i="11"/>
  <c r="BY28" i="11" s="1"/>
  <c r="BS28" i="11"/>
  <c r="U28" i="11" s="1"/>
  <c r="T44" i="11"/>
  <c r="R25" i="11"/>
  <c r="R41" i="11"/>
  <c r="R52" i="11"/>
  <c r="R42" i="11"/>
  <c r="AL38" i="11"/>
  <c r="AL22" i="11" s="1"/>
  <c r="AM38" i="11"/>
  <c r="AM22" i="11" s="1"/>
  <c r="V101" i="11"/>
  <c r="BG42" i="11"/>
  <c r="BB42" i="11"/>
  <c r="BB26" i="11" s="1"/>
  <c r="BA42" i="11"/>
  <c r="BA26" i="11" s="1"/>
  <c r="BC42" i="11"/>
  <c r="BC26" i="11" s="1"/>
  <c r="BF42" i="11"/>
  <c r="BF26" i="11" s="1"/>
  <c r="AV42" i="11"/>
  <c r="AV26" i="11" s="1"/>
  <c r="AX42" i="11"/>
  <c r="AX26" i="11" s="1"/>
  <c r="AW42" i="11"/>
  <c r="AW26" i="11" s="1"/>
  <c r="BE42" i="11"/>
  <c r="BE26" i="11" s="1"/>
  <c r="BD42" i="11"/>
  <c r="BD26" i="11" s="1"/>
  <c r="AZ42" i="11"/>
  <c r="AZ26" i="11" s="1"/>
  <c r="AY42" i="11"/>
  <c r="AY26" i="11" s="1"/>
  <c r="AU26" i="11"/>
  <c r="S42" i="11" s="1"/>
  <c r="S34" i="11"/>
  <c r="S49" i="11"/>
  <c r="BN49" i="11"/>
  <c r="BN33" i="11" s="1"/>
  <c r="BS49" i="11"/>
  <c r="BL49" i="11"/>
  <c r="BL33" i="11" s="1"/>
  <c r="BI49" i="11"/>
  <c r="BI33" i="11" s="1"/>
  <c r="BK49" i="11"/>
  <c r="BK33" i="11" s="1"/>
  <c r="BP49" i="11"/>
  <c r="BP33" i="11" s="1"/>
  <c r="BO49" i="11"/>
  <c r="BO33" i="11" s="1"/>
  <c r="BJ49" i="11"/>
  <c r="BJ33" i="11" s="1"/>
  <c r="BM49" i="11"/>
  <c r="BM33" i="11" s="1"/>
  <c r="BR49" i="11"/>
  <c r="BR33" i="11" s="1"/>
  <c r="BQ49" i="11"/>
  <c r="BQ33" i="11" s="1"/>
  <c r="BH49" i="11"/>
  <c r="BH33" i="11" s="1"/>
  <c r="BG33" i="11"/>
  <c r="T33" i="11" s="1"/>
  <c r="T27" i="11"/>
  <c r="BM50" i="11"/>
  <c r="BM34" i="11" s="1"/>
  <c r="BP50" i="11"/>
  <c r="BP34" i="11" s="1"/>
  <c r="BQ50" i="11"/>
  <c r="BQ34" i="11" s="1"/>
  <c r="BJ50" i="11"/>
  <c r="BJ34" i="11" s="1"/>
  <c r="BN50" i="11"/>
  <c r="BN34" i="11" s="1"/>
  <c r="BH50" i="11"/>
  <c r="BH34" i="11" s="1"/>
  <c r="BS50" i="11"/>
  <c r="BL50" i="11"/>
  <c r="BL34" i="11" s="1"/>
  <c r="BI50" i="11"/>
  <c r="BI34" i="11" s="1"/>
  <c r="BO50" i="11"/>
  <c r="BO34" i="11" s="1"/>
  <c r="BK50" i="11"/>
  <c r="BK34" i="11" s="1"/>
  <c r="BR50" i="11"/>
  <c r="BR34" i="11" s="1"/>
  <c r="BG34" i="11"/>
  <c r="T50" i="11" s="1"/>
  <c r="CB43" i="11"/>
  <c r="CB27" i="11" s="1"/>
  <c r="BX43" i="11"/>
  <c r="BX27" i="11" s="1"/>
  <c r="CD43" i="11"/>
  <c r="CD27" i="11" s="1"/>
  <c r="CE43" i="11"/>
  <c r="CE27" i="11" s="1"/>
  <c r="X21" i="11"/>
  <c r="AA37" i="11"/>
  <c r="AA133" i="11"/>
  <c r="AA135" i="11" s="1"/>
  <c r="AA136" i="11" s="1"/>
  <c r="Y37" i="4"/>
  <c r="Z37" i="4"/>
  <c r="CE117" i="11"/>
  <c r="CE158" i="11"/>
  <c r="CE134" i="11"/>
  <c r="R117" i="11"/>
  <c r="L52" i="1" s="1"/>
  <c r="S117" i="11"/>
  <c r="N52" i="1" s="1"/>
  <c r="T117" i="11"/>
  <c r="O52" i="1" s="1"/>
  <c r="P52" i="1" s="1"/>
  <c r="Q52" i="1" s="1"/>
  <c r="R52" i="1" s="1"/>
  <c r="S52" i="1" s="1"/>
  <c r="T52" i="1" s="1"/>
  <c r="U52" i="1" s="1"/>
  <c r="V52" i="1" s="1"/>
  <c r="U117" i="11"/>
  <c r="V117" i="11"/>
  <c r="R49" i="1"/>
  <c r="Q50" i="1"/>
  <c r="V69" i="11"/>
  <c r="AG133" i="11"/>
  <c r="AG135" i="11" s="1"/>
  <c r="AG136" i="11" s="1"/>
  <c r="AG37" i="11"/>
  <c r="AO38" i="11"/>
  <c r="AO22" i="11" s="1"/>
  <c r="AP38" i="11"/>
  <c r="AP22" i="11" s="1"/>
  <c r="AJ38" i="11"/>
  <c r="AJ22" i="11" s="1"/>
  <c r="AU38" i="11"/>
  <c r="AR38" i="11"/>
  <c r="AR22" i="11" s="1"/>
  <c r="AN38" i="11"/>
  <c r="AN22" i="11" s="1"/>
  <c r="AT38" i="11"/>
  <c r="AT22" i="11" s="1"/>
  <c r="AT21" i="11" s="1"/>
  <c r="AK38" i="11"/>
  <c r="AK22" i="11" s="1"/>
  <c r="AS38" i="11"/>
  <c r="AS22" i="11" s="1"/>
  <c r="AQ38" i="11"/>
  <c r="AQ22" i="11" s="1"/>
  <c r="AQ21" i="11" s="1"/>
  <c r="AI22" i="11"/>
  <c r="AI21" i="11" s="1"/>
  <c r="AF37" i="11"/>
  <c r="AF133" i="11"/>
  <c r="AF135" i="11" s="1"/>
  <c r="AF136" i="11" s="1"/>
  <c r="CA43" i="11" l="1"/>
  <c r="CA27" i="11" s="1"/>
  <c r="AO21" i="11"/>
  <c r="BU43" i="11"/>
  <c r="BU27" i="11" s="1"/>
  <c r="AK21" i="11"/>
  <c r="AE133" i="11"/>
  <c r="AE135" i="11" s="1"/>
  <c r="AE136" i="11" s="1"/>
  <c r="AR21" i="11"/>
  <c r="BG29" i="11"/>
  <c r="T45" i="11" s="1"/>
  <c r="BH45" i="11"/>
  <c r="BH29" i="11" s="1"/>
  <c r="BJ45" i="11"/>
  <c r="BJ29" i="11" s="1"/>
  <c r="BP45" i="11"/>
  <c r="BP29" i="11" s="1"/>
  <c r="BK45" i="11"/>
  <c r="BK29" i="11" s="1"/>
  <c r="BM45" i="11"/>
  <c r="BM29" i="11" s="1"/>
  <c r="BR45" i="11"/>
  <c r="BR29" i="11" s="1"/>
  <c r="BO45" i="11"/>
  <c r="BO29" i="11" s="1"/>
  <c r="BL45" i="11"/>
  <c r="BL29" i="11" s="1"/>
  <c r="BS45" i="11"/>
  <c r="BZ45" i="11" s="1"/>
  <c r="BZ29" i="11" s="1"/>
  <c r="BQ45" i="11"/>
  <c r="BQ29" i="11" s="1"/>
  <c r="AS21" i="11"/>
  <c r="AS133" i="11" s="1"/>
  <c r="AS135" i="11" s="1"/>
  <c r="AS136" i="11" s="1"/>
  <c r="BI45" i="11"/>
  <c r="BI29" i="11" s="1"/>
  <c r="AN21" i="11"/>
  <c r="AD133" i="11"/>
  <c r="AD135" i="11" s="1"/>
  <c r="AD136" i="11" s="1"/>
  <c r="BT43" i="11"/>
  <c r="BT27" i="11" s="1"/>
  <c r="AH133" i="11"/>
  <c r="AH135" i="11" s="1"/>
  <c r="AH136" i="11" s="1"/>
  <c r="AL21" i="11"/>
  <c r="AL37" i="11" s="1"/>
  <c r="AP21" i="11"/>
  <c r="AP37" i="11" s="1"/>
  <c r="AB37" i="11"/>
  <c r="BY43" i="11"/>
  <c r="BY27" i="11" s="1"/>
  <c r="BF40" i="11"/>
  <c r="BF24" i="11" s="1"/>
  <c r="BM48" i="11"/>
  <c r="BM32" i="11" s="1"/>
  <c r="CC43" i="11"/>
  <c r="CC27" i="11" s="1"/>
  <c r="BW43" i="11"/>
  <c r="BW27" i="11" s="1"/>
  <c r="BC40" i="11"/>
  <c r="BC24" i="11" s="1"/>
  <c r="Y133" i="11"/>
  <c r="Y135" i="11" s="1"/>
  <c r="Y136" i="11" s="1"/>
  <c r="BV43" i="11"/>
  <c r="BV27" i="11" s="1"/>
  <c r="BS27" i="11"/>
  <c r="U43" i="11" s="1"/>
  <c r="AW40" i="11"/>
  <c r="AW24" i="11" s="1"/>
  <c r="BG40" i="11"/>
  <c r="BP40" i="11" s="1"/>
  <c r="BP24" i="11" s="1"/>
  <c r="Z133" i="11"/>
  <c r="Z135" i="11" s="1"/>
  <c r="Z136" i="11" s="1"/>
  <c r="AX40" i="11"/>
  <c r="AX24" i="11" s="1"/>
  <c r="AY40" i="11"/>
  <c r="AY24" i="11" s="1"/>
  <c r="BB40" i="11"/>
  <c r="BB24" i="11" s="1"/>
  <c r="AV40" i="11"/>
  <c r="AV24" i="11" s="1"/>
  <c r="BD40" i="11"/>
  <c r="BD24" i="11" s="1"/>
  <c r="AC37" i="11"/>
  <c r="R40" i="11"/>
  <c r="BE40" i="11"/>
  <c r="BE24" i="11" s="1"/>
  <c r="AU24" i="11"/>
  <c r="S24" i="11" s="1"/>
  <c r="BA40" i="11"/>
  <c r="BA24" i="11" s="1"/>
  <c r="AM21" i="11"/>
  <c r="AM133" i="11" s="1"/>
  <c r="AM135" i="11" s="1"/>
  <c r="AM136" i="11" s="1"/>
  <c r="BI48" i="11"/>
  <c r="BI32" i="11" s="1"/>
  <c r="S32" i="11"/>
  <c r="BR48" i="11"/>
  <c r="BR32" i="11" s="1"/>
  <c r="BK48" i="11"/>
  <c r="BK32" i="11" s="1"/>
  <c r="BO48" i="11"/>
  <c r="BO32" i="11" s="1"/>
  <c r="BJ48" i="11"/>
  <c r="BJ32" i="11" s="1"/>
  <c r="BH48" i="11"/>
  <c r="BH32" i="11" s="1"/>
  <c r="BS48" i="11"/>
  <c r="CB48" i="11" s="1"/>
  <c r="CB32" i="11" s="1"/>
  <c r="BQ48" i="11"/>
  <c r="BQ32" i="11" s="1"/>
  <c r="BG32" i="11"/>
  <c r="T32" i="11" s="1"/>
  <c r="BN48" i="11"/>
  <c r="BN32" i="11" s="1"/>
  <c r="BP48" i="11"/>
  <c r="BP32" i="11" s="1"/>
  <c r="U35" i="11"/>
  <c r="S81" i="4"/>
  <c r="T80" i="4"/>
  <c r="U80" i="4"/>
  <c r="D38" i="4"/>
  <c r="G38" i="4" s="1"/>
  <c r="F38" i="4"/>
  <c r="B81" i="4"/>
  <c r="D80" i="4"/>
  <c r="C80" i="4"/>
  <c r="T29" i="11"/>
  <c r="V28" i="11"/>
  <c r="U44" i="11"/>
  <c r="BJ39" i="11"/>
  <c r="BJ23" i="11" s="1"/>
  <c r="BO39" i="11"/>
  <c r="BO23" i="11" s="1"/>
  <c r="BH39" i="11"/>
  <c r="BH23" i="11" s="1"/>
  <c r="BM39" i="11"/>
  <c r="BM23" i="11" s="1"/>
  <c r="BI39" i="11"/>
  <c r="BI23" i="11" s="1"/>
  <c r="BS39" i="11"/>
  <c r="BN39" i="11"/>
  <c r="BN23" i="11" s="1"/>
  <c r="BL39" i="11"/>
  <c r="BL23" i="11" s="1"/>
  <c r="BK39" i="11"/>
  <c r="BK23" i="11" s="1"/>
  <c r="BR39" i="11"/>
  <c r="BR23" i="11" s="1"/>
  <c r="BG23" i="11"/>
  <c r="T23" i="11" s="1"/>
  <c r="BQ39" i="11"/>
  <c r="BQ23" i="11" s="1"/>
  <c r="BP39" i="11"/>
  <c r="BP23" i="11" s="1"/>
  <c r="V35" i="11"/>
  <c r="V51" i="11"/>
  <c r="CA47" i="11"/>
  <c r="CA31" i="11" s="1"/>
  <c r="BS31" i="11"/>
  <c r="U31" i="11" s="1"/>
  <c r="BV47" i="11"/>
  <c r="BV31" i="11" s="1"/>
  <c r="BT47" i="11"/>
  <c r="BT31" i="11" s="1"/>
  <c r="CC47" i="11"/>
  <c r="CC31" i="11" s="1"/>
  <c r="CB47" i="11"/>
  <c r="CB31" i="11" s="1"/>
  <c r="BW47" i="11"/>
  <c r="BW31" i="11" s="1"/>
  <c r="CE47" i="11"/>
  <c r="CE31" i="11" s="1"/>
  <c r="BU47" i="11"/>
  <c r="BU31" i="11" s="1"/>
  <c r="CD47" i="11"/>
  <c r="CD31" i="11" s="1"/>
  <c r="BY47" i="11"/>
  <c r="BY31" i="11" s="1"/>
  <c r="BZ47" i="11"/>
  <c r="BZ31" i="11" s="1"/>
  <c r="BX47" i="11"/>
  <c r="BX31" i="11" s="1"/>
  <c r="S41" i="11"/>
  <c r="S25" i="11"/>
  <c r="V44" i="11"/>
  <c r="S46" i="11"/>
  <c r="S23" i="11"/>
  <c r="BP52" i="11"/>
  <c r="BP36" i="11" s="1"/>
  <c r="BM52" i="11"/>
  <c r="BM36" i="11" s="1"/>
  <c r="BQ52" i="11"/>
  <c r="BQ36" i="11" s="1"/>
  <c r="BL52" i="11"/>
  <c r="BL36" i="11" s="1"/>
  <c r="BS52" i="11"/>
  <c r="BJ52" i="11"/>
  <c r="BJ36" i="11" s="1"/>
  <c r="BO52" i="11"/>
  <c r="BO36" i="11" s="1"/>
  <c r="BN52" i="11"/>
  <c r="BN36" i="11" s="1"/>
  <c r="BH52" i="11"/>
  <c r="BH36" i="11" s="1"/>
  <c r="BK52" i="11"/>
  <c r="BK36" i="11" s="1"/>
  <c r="BR52" i="11"/>
  <c r="BR36" i="11" s="1"/>
  <c r="BI52" i="11"/>
  <c r="BI36" i="11" s="1"/>
  <c r="BG36" i="11"/>
  <c r="T52" i="11" s="1"/>
  <c r="BH46" i="11"/>
  <c r="BH30" i="11" s="1"/>
  <c r="BS46" i="11"/>
  <c r="BP46" i="11"/>
  <c r="BP30" i="11" s="1"/>
  <c r="BN46" i="11"/>
  <c r="BN30" i="11" s="1"/>
  <c r="BR46" i="11"/>
  <c r="BR30" i="11" s="1"/>
  <c r="BO46" i="11"/>
  <c r="BO30" i="11" s="1"/>
  <c r="BL46" i="11"/>
  <c r="BL30" i="11" s="1"/>
  <c r="BJ46" i="11"/>
  <c r="BJ30" i="11" s="1"/>
  <c r="BQ46" i="11"/>
  <c r="BQ30" i="11" s="1"/>
  <c r="BI46" i="11"/>
  <c r="BI30" i="11" s="1"/>
  <c r="BM46" i="11"/>
  <c r="BM30" i="11" s="1"/>
  <c r="BK46" i="11"/>
  <c r="BK30" i="11" s="1"/>
  <c r="BG30" i="11"/>
  <c r="T30" i="11" s="1"/>
  <c r="T47" i="11"/>
  <c r="T31" i="11"/>
  <c r="BI41" i="11"/>
  <c r="BI25" i="11" s="1"/>
  <c r="BQ41" i="11"/>
  <c r="BQ25" i="11" s="1"/>
  <c r="BL41" i="11"/>
  <c r="BL25" i="11" s="1"/>
  <c r="BR41" i="11"/>
  <c r="BR25" i="11" s="1"/>
  <c r="BH41" i="11"/>
  <c r="BH25" i="11" s="1"/>
  <c r="BJ41" i="11"/>
  <c r="BJ25" i="11" s="1"/>
  <c r="BO41" i="11"/>
  <c r="BO25" i="11" s="1"/>
  <c r="BM41" i="11"/>
  <c r="BM25" i="11" s="1"/>
  <c r="BK41" i="11"/>
  <c r="BK25" i="11" s="1"/>
  <c r="BP41" i="11"/>
  <c r="BP25" i="11" s="1"/>
  <c r="BS41" i="11"/>
  <c r="BG25" i="11"/>
  <c r="T25" i="11" s="1"/>
  <c r="BN41" i="11"/>
  <c r="BN25" i="11" s="1"/>
  <c r="S36" i="11"/>
  <c r="T34" i="11"/>
  <c r="S26" i="11"/>
  <c r="CB49" i="11"/>
  <c r="CB33" i="11" s="1"/>
  <c r="CE49" i="11"/>
  <c r="CE33" i="11" s="1"/>
  <c r="BX49" i="11"/>
  <c r="BX33" i="11" s="1"/>
  <c r="BY49" i="11"/>
  <c r="BY33" i="11" s="1"/>
  <c r="CD49" i="11"/>
  <c r="CD33" i="11" s="1"/>
  <c r="BV49" i="11"/>
  <c r="BV33" i="11" s="1"/>
  <c r="BW49" i="11"/>
  <c r="BW33" i="11" s="1"/>
  <c r="CA49" i="11"/>
  <c r="CA33" i="11" s="1"/>
  <c r="BT49" i="11"/>
  <c r="BT33" i="11" s="1"/>
  <c r="CC49" i="11"/>
  <c r="CC33" i="11" s="1"/>
  <c r="BU49" i="11"/>
  <c r="BU33" i="11" s="1"/>
  <c r="BZ49" i="11"/>
  <c r="BZ33" i="11" s="1"/>
  <c r="BS33" i="11"/>
  <c r="U33" i="11" s="1"/>
  <c r="BR42" i="11"/>
  <c r="BR26" i="11" s="1"/>
  <c r="BO42" i="11"/>
  <c r="BO26" i="11" s="1"/>
  <c r="BQ42" i="11"/>
  <c r="BQ26" i="11" s="1"/>
  <c r="BL42" i="11"/>
  <c r="BL26" i="11" s="1"/>
  <c r="BN42" i="11"/>
  <c r="BN26" i="11" s="1"/>
  <c r="BP42" i="11"/>
  <c r="BP26" i="11" s="1"/>
  <c r="BM42" i="11"/>
  <c r="BM26" i="11" s="1"/>
  <c r="BJ42" i="11"/>
  <c r="BJ26" i="11" s="1"/>
  <c r="BS42" i="11"/>
  <c r="BI42" i="11"/>
  <c r="BI26" i="11" s="1"/>
  <c r="BK42" i="11"/>
  <c r="BK26" i="11" s="1"/>
  <c r="BH42" i="11"/>
  <c r="BH26" i="11" s="1"/>
  <c r="BG26" i="11"/>
  <c r="T26" i="11" s="1"/>
  <c r="T49" i="11"/>
  <c r="BZ50" i="11"/>
  <c r="BZ34" i="11" s="1"/>
  <c r="CD50" i="11"/>
  <c r="CD34" i="11" s="1"/>
  <c r="CA50" i="11"/>
  <c r="CA34" i="11" s="1"/>
  <c r="BU50" i="11"/>
  <c r="BU34" i="11" s="1"/>
  <c r="BY50" i="11"/>
  <c r="BY34" i="11" s="1"/>
  <c r="BT50" i="11"/>
  <c r="BT34" i="11" s="1"/>
  <c r="CE50" i="11"/>
  <c r="CE34" i="11" s="1"/>
  <c r="CB50" i="11"/>
  <c r="CB34" i="11" s="1"/>
  <c r="BW50" i="11"/>
  <c r="BW34" i="11" s="1"/>
  <c r="BX50" i="11"/>
  <c r="BX34" i="11" s="1"/>
  <c r="BV50" i="11"/>
  <c r="BV34" i="11" s="1"/>
  <c r="CC50" i="11"/>
  <c r="CC34" i="11" s="1"/>
  <c r="BS34" i="11"/>
  <c r="U50" i="11" s="1"/>
  <c r="AI133" i="11"/>
  <c r="AI135" i="11" s="1"/>
  <c r="AI136" i="11" s="1"/>
  <c r="AI37" i="11"/>
  <c r="AR133" i="11"/>
  <c r="AR135" i="11" s="1"/>
  <c r="AR136" i="11" s="1"/>
  <c r="AR37" i="11"/>
  <c r="S49" i="1"/>
  <c r="R50" i="1"/>
  <c r="R56" i="1"/>
  <c r="R134" i="11"/>
  <c r="M52" i="1" s="1"/>
  <c r="S134" i="11"/>
  <c r="T134" i="11"/>
  <c r="U134" i="11"/>
  <c r="V134" i="11"/>
  <c r="BD38" i="11"/>
  <c r="BD22" i="11" s="1"/>
  <c r="BC38" i="11"/>
  <c r="BC22" i="11" s="1"/>
  <c r="AZ38" i="11"/>
  <c r="AZ22" i="11" s="1"/>
  <c r="AZ21" i="11" s="1"/>
  <c r="BA38" i="11"/>
  <c r="BA22" i="11" s="1"/>
  <c r="BG38" i="11"/>
  <c r="BE38" i="11"/>
  <c r="BE22" i="11" s="1"/>
  <c r="AX38" i="11"/>
  <c r="AX22" i="11" s="1"/>
  <c r="BB38" i="11"/>
  <c r="BB22" i="11" s="1"/>
  <c r="BB21" i="11" s="1"/>
  <c r="AY38" i="11"/>
  <c r="AY22" i="11" s="1"/>
  <c r="BF38" i="11"/>
  <c r="BF22" i="11" s="1"/>
  <c r="AW38" i="11"/>
  <c r="AW22" i="11" s="1"/>
  <c r="AW21" i="11" s="1"/>
  <c r="AV38" i="11"/>
  <c r="AV22" i="11" s="1"/>
  <c r="AU22" i="11"/>
  <c r="X37" i="11"/>
  <c r="R37" i="11"/>
  <c r="L51" i="1" s="1"/>
  <c r="X133" i="11"/>
  <c r="AQ133" i="11"/>
  <c r="AQ135" i="11" s="1"/>
  <c r="AQ136" i="11" s="1"/>
  <c r="AQ37" i="11"/>
  <c r="AJ21" i="11"/>
  <c r="R38" i="11"/>
  <c r="V38" i="4"/>
  <c r="R22" i="11"/>
  <c r="R21" i="11" s="1"/>
  <c r="AK37" i="11"/>
  <c r="AK133" i="11"/>
  <c r="AK135" i="11" s="1"/>
  <c r="AK136" i="11" s="1"/>
  <c r="AO37" i="11"/>
  <c r="AO133" i="11"/>
  <c r="AO135" i="11" s="1"/>
  <c r="AO136" i="11" s="1"/>
  <c r="AT133" i="11"/>
  <c r="AT135" i="11" s="1"/>
  <c r="AT136" i="11" s="1"/>
  <c r="AT37" i="11"/>
  <c r="AN133" i="11"/>
  <c r="AN135" i="11" s="1"/>
  <c r="AN136" i="11" s="1"/>
  <c r="AN37" i="11"/>
  <c r="Q56" i="1"/>
  <c r="CB45" i="11" l="1"/>
  <c r="CB29" i="11" s="1"/>
  <c r="BT45" i="11"/>
  <c r="BT29" i="11" s="1"/>
  <c r="AY21" i="11"/>
  <c r="BY45" i="11"/>
  <c r="BY29" i="11" s="1"/>
  <c r="BW45" i="11"/>
  <c r="BW29" i="11" s="1"/>
  <c r="BF21" i="11"/>
  <c r="BK40" i="11"/>
  <c r="BK24" i="11" s="1"/>
  <c r="V43" i="11"/>
  <c r="CA45" i="11"/>
  <c r="CA29" i="11" s="1"/>
  <c r="BR40" i="11"/>
  <c r="BR24" i="11" s="1"/>
  <c r="AS37" i="11"/>
  <c r="CE45" i="11"/>
  <c r="CE29" i="11" s="1"/>
  <c r="V27" i="11"/>
  <c r="BX45" i="11"/>
  <c r="BX29" i="11" s="1"/>
  <c r="BS29" i="11"/>
  <c r="U45" i="11" s="1"/>
  <c r="BV45" i="11"/>
  <c r="BV29" i="11" s="1"/>
  <c r="AP133" i="11"/>
  <c r="AP135" i="11" s="1"/>
  <c r="AP136" i="11" s="1"/>
  <c r="AL133" i="11"/>
  <c r="AL135" i="11" s="1"/>
  <c r="AL136" i="11" s="1"/>
  <c r="CD45" i="11"/>
  <c r="CD29" i="11" s="1"/>
  <c r="CC45" i="11"/>
  <c r="CC29" i="11" s="1"/>
  <c r="BC21" i="11"/>
  <c r="BC37" i="11" s="1"/>
  <c r="BU45" i="11"/>
  <c r="BU29" i="11" s="1"/>
  <c r="AM37" i="11"/>
  <c r="AX21" i="11"/>
  <c r="AX133" i="11" s="1"/>
  <c r="AX135" i="11" s="1"/>
  <c r="AX136" i="11" s="1"/>
  <c r="U27" i="11"/>
  <c r="BE21" i="11"/>
  <c r="BE133" i="11" s="1"/>
  <c r="BE135" i="11" s="1"/>
  <c r="BE136" i="11" s="1"/>
  <c r="BI40" i="11"/>
  <c r="BI24" i="11" s="1"/>
  <c r="BM40" i="11"/>
  <c r="BM24" i="11" s="1"/>
  <c r="BG24" i="11"/>
  <c r="T40" i="11" s="1"/>
  <c r="AU21" i="11"/>
  <c r="AU133" i="11" s="1"/>
  <c r="AU135" i="11" s="1"/>
  <c r="AU136" i="11" s="1"/>
  <c r="CA48" i="11"/>
  <c r="CA32" i="11" s="1"/>
  <c r="S40" i="11"/>
  <c r="BA21" i="11"/>
  <c r="BA133" i="11" s="1"/>
  <c r="BA135" i="11" s="1"/>
  <c r="BA136" i="11" s="1"/>
  <c r="BN40" i="11"/>
  <c r="BN24" i="11" s="1"/>
  <c r="BL40" i="11"/>
  <c r="BL24" i="11" s="1"/>
  <c r="BJ40" i="11"/>
  <c r="BJ24" i="11" s="1"/>
  <c r="BS40" i="11"/>
  <c r="BO40" i="11"/>
  <c r="BO24" i="11" s="1"/>
  <c r="BH40" i="11"/>
  <c r="BH24" i="11" s="1"/>
  <c r="BQ40" i="11"/>
  <c r="BQ24" i="11" s="1"/>
  <c r="BD21" i="11"/>
  <c r="BD37" i="11" s="1"/>
  <c r="BZ48" i="11"/>
  <c r="BZ32" i="11" s="1"/>
  <c r="BW48" i="11"/>
  <c r="BW32" i="11" s="1"/>
  <c r="BY48" i="11"/>
  <c r="BY32" i="11" s="1"/>
  <c r="BS32" i="11"/>
  <c r="U48" i="11" s="1"/>
  <c r="CD48" i="11"/>
  <c r="CD32" i="11" s="1"/>
  <c r="BU48" i="11"/>
  <c r="BU32" i="11" s="1"/>
  <c r="BX48" i="11"/>
  <c r="BX32" i="11" s="1"/>
  <c r="BT48" i="11"/>
  <c r="BT32" i="11" s="1"/>
  <c r="BV48" i="11"/>
  <c r="BV32" i="11" s="1"/>
  <c r="CC48" i="11"/>
  <c r="CC32" i="11" s="1"/>
  <c r="CE48" i="11"/>
  <c r="CE32" i="11" s="1"/>
  <c r="T48" i="11"/>
  <c r="T42" i="11"/>
  <c r="H38" i="4"/>
  <c r="I38" i="4"/>
  <c r="B82" i="4"/>
  <c r="C81" i="4"/>
  <c r="D81" i="4"/>
  <c r="S82" i="4"/>
  <c r="T81" i="4"/>
  <c r="U81" i="4"/>
  <c r="T46" i="11"/>
  <c r="CD52" i="11"/>
  <c r="CD36" i="11" s="1"/>
  <c r="BS36" i="11"/>
  <c r="U52" i="11" s="1"/>
  <c r="BY52" i="11"/>
  <c r="BY36" i="11" s="1"/>
  <c r="BT52" i="11"/>
  <c r="BT36" i="11" s="1"/>
  <c r="CC52" i="11"/>
  <c r="CC36" i="11" s="1"/>
  <c r="BZ52" i="11"/>
  <c r="BZ36" i="11" s="1"/>
  <c r="CA52" i="11"/>
  <c r="CA36" i="11" s="1"/>
  <c r="BV52" i="11"/>
  <c r="BV36" i="11" s="1"/>
  <c r="CE52" i="11"/>
  <c r="CE36" i="11" s="1"/>
  <c r="BX52" i="11"/>
  <c r="BX36" i="11" s="1"/>
  <c r="BW52" i="11"/>
  <c r="BW36" i="11" s="1"/>
  <c r="CB52" i="11"/>
  <c r="CB36" i="11" s="1"/>
  <c r="BU52" i="11"/>
  <c r="BU36" i="11" s="1"/>
  <c r="CD41" i="11"/>
  <c r="CD25" i="11" s="1"/>
  <c r="BW41" i="11"/>
  <c r="BW25" i="11" s="1"/>
  <c r="CA41" i="11"/>
  <c r="CA25" i="11" s="1"/>
  <c r="BT41" i="11"/>
  <c r="BT25" i="11" s="1"/>
  <c r="CC41" i="11"/>
  <c r="CC25" i="11" s="1"/>
  <c r="BS25" i="11"/>
  <c r="U25" i="11" s="1"/>
  <c r="CB41" i="11"/>
  <c r="CB25" i="11" s="1"/>
  <c r="BU41" i="11"/>
  <c r="BU25" i="11" s="1"/>
  <c r="CE41" i="11"/>
  <c r="CE25" i="11" s="1"/>
  <c r="BZ41" i="11"/>
  <c r="BZ25" i="11" s="1"/>
  <c r="BX41" i="11"/>
  <c r="BX25" i="11" s="1"/>
  <c r="BY41" i="11"/>
  <c r="BY25" i="11" s="1"/>
  <c r="BV41" i="11"/>
  <c r="BV25" i="11" s="1"/>
  <c r="BZ46" i="11"/>
  <c r="BZ30" i="11" s="1"/>
  <c r="BV46" i="11"/>
  <c r="BV30" i="11" s="1"/>
  <c r="CE46" i="11"/>
  <c r="CE30" i="11" s="1"/>
  <c r="BU46" i="11"/>
  <c r="BU30" i="11" s="1"/>
  <c r="CB46" i="11"/>
  <c r="CB30" i="11" s="1"/>
  <c r="BY46" i="11"/>
  <c r="BY30" i="11" s="1"/>
  <c r="CD46" i="11"/>
  <c r="CD30" i="11" s="1"/>
  <c r="CA46" i="11"/>
  <c r="CA30" i="11" s="1"/>
  <c r="BX46" i="11"/>
  <c r="BX30" i="11" s="1"/>
  <c r="CC46" i="11"/>
  <c r="CC30" i="11" s="1"/>
  <c r="BT46" i="11"/>
  <c r="BT30" i="11" s="1"/>
  <c r="BW46" i="11"/>
  <c r="BW30" i="11" s="1"/>
  <c r="BS30" i="11"/>
  <c r="U30" i="11" s="1"/>
  <c r="T39" i="11"/>
  <c r="T41" i="11"/>
  <c r="U29" i="11"/>
  <c r="U47" i="11"/>
  <c r="V47" i="11"/>
  <c r="V31" i="11"/>
  <c r="BW39" i="11"/>
  <c r="BW23" i="11" s="1"/>
  <c r="BX39" i="11"/>
  <c r="BX23" i="11" s="1"/>
  <c r="BY39" i="11"/>
  <c r="BY23" i="11" s="1"/>
  <c r="BZ39" i="11"/>
  <c r="BZ23" i="11" s="1"/>
  <c r="CA39" i="11"/>
  <c r="CA23" i="11" s="1"/>
  <c r="CC39" i="11"/>
  <c r="CC23" i="11" s="1"/>
  <c r="BT39" i="11"/>
  <c r="BT23" i="11" s="1"/>
  <c r="CB39" i="11"/>
  <c r="CB23" i="11" s="1"/>
  <c r="BV39" i="11"/>
  <c r="BV23" i="11" s="1"/>
  <c r="BU39" i="11"/>
  <c r="BU23" i="11" s="1"/>
  <c r="CE39" i="11"/>
  <c r="CE23" i="11" s="1"/>
  <c r="CD39" i="11"/>
  <c r="CD23" i="11" s="1"/>
  <c r="BS23" i="11"/>
  <c r="U23" i="11" s="1"/>
  <c r="T36" i="11"/>
  <c r="S22" i="11"/>
  <c r="S21" i="11" s="1"/>
  <c r="S38" i="11"/>
  <c r="V33" i="11"/>
  <c r="V49" i="11"/>
  <c r="U34" i="11"/>
  <c r="U49" i="11"/>
  <c r="CB42" i="11"/>
  <c r="CB26" i="11" s="1"/>
  <c r="BT42" i="11"/>
  <c r="BT26" i="11" s="1"/>
  <c r="BU42" i="11"/>
  <c r="BU26" i="11" s="1"/>
  <c r="BZ42" i="11"/>
  <c r="BZ26" i="11" s="1"/>
  <c r="CC42" i="11"/>
  <c r="CC26" i="11" s="1"/>
  <c r="CD42" i="11"/>
  <c r="CD26" i="11" s="1"/>
  <c r="CE42" i="11"/>
  <c r="CE26" i="11" s="1"/>
  <c r="CA42" i="11"/>
  <c r="CA26" i="11" s="1"/>
  <c r="BW42" i="11"/>
  <c r="BW26" i="11" s="1"/>
  <c r="BX42" i="11"/>
  <c r="BX26" i="11" s="1"/>
  <c r="BV42" i="11"/>
  <c r="BV26" i="11" s="1"/>
  <c r="BY42" i="11"/>
  <c r="BY26" i="11" s="1"/>
  <c r="BS26" i="11"/>
  <c r="U26" i="11" s="1"/>
  <c r="V34" i="11"/>
  <c r="V50" i="11"/>
  <c r="BF133" i="11"/>
  <c r="BF135" i="11" s="1"/>
  <c r="BF136" i="11" s="1"/>
  <c r="BF37" i="11"/>
  <c r="AY133" i="11"/>
  <c r="AY135" i="11" s="1"/>
  <c r="AY136" i="11" s="1"/>
  <c r="AY37" i="11"/>
  <c r="R133" i="11"/>
  <c r="X135" i="11"/>
  <c r="X136" i="11" s="1"/>
  <c r="R138" i="11" s="1"/>
  <c r="R139" i="11" s="1"/>
  <c r="BB133" i="11"/>
  <c r="BB135" i="11" s="1"/>
  <c r="BB136" i="11" s="1"/>
  <c r="BB37" i="11"/>
  <c r="AX37" i="11"/>
  <c r="T49" i="1"/>
  <c r="S50" i="1"/>
  <c r="S56" i="1"/>
  <c r="BE37" i="11"/>
  <c r="BN38" i="11"/>
  <c r="BN22" i="11" s="1"/>
  <c r="BK38" i="11"/>
  <c r="BK22" i="11" s="1"/>
  <c r="BK21" i="11" s="1"/>
  <c r="BQ38" i="11"/>
  <c r="BQ22" i="11" s="1"/>
  <c r="BS38" i="11"/>
  <c r="BO38" i="11"/>
  <c r="BO22" i="11" s="1"/>
  <c r="BO21" i="11" s="1"/>
  <c r="BM38" i="11"/>
  <c r="BM22" i="11" s="1"/>
  <c r="BH38" i="11"/>
  <c r="BH22" i="11" s="1"/>
  <c r="BJ38" i="11"/>
  <c r="BJ22" i="11" s="1"/>
  <c r="BL38" i="11"/>
  <c r="BL22" i="11" s="1"/>
  <c r="BR38" i="11"/>
  <c r="BR22" i="11" s="1"/>
  <c r="BP38" i="11"/>
  <c r="BP22" i="11" s="1"/>
  <c r="BP21" i="11" s="1"/>
  <c r="BI38" i="11"/>
  <c r="BI22" i="11" s="1"/>
  <c r="BG22" i="11"/>
  <c r="U38" i="4"/>
  <c r="X38" i="4" s="1"/>
  <c r="W38" i="4"/>
  <c r="AV21" i="11"/>
  <c r="AJ37" i="11"/>
  <c r="AJ133" i="11"/>
  <c r="S37" i="11"/>
  <c r="N51" i="1" s="1"/>
  <c r="AW133" i="11"/>
  <c r="AW135" i="11" s="1"/>
  <c r="AW136" i="11" s="1"/>
  <c r="AW37" i="11"/>
  <c r="AZ37" i="11"/>
  <c r="AZ133" i="11"/>
  <c r="AZ135" i="11" s="1"/>
  <c r="AZ136" i="11" s="1"/>
  <c r="BQ21" i="11" l="1"/>
  <c r="BR21" i="11"/>
  <c r="BI21" i="11"/>
  <c r="V29" i="11"/>
  <c r="BC133" i="11"/>
  <c r="BC135" i="11" s="1"/>
  <c r="BC136" i="11" s="1"/>
  <c r="BM21" i="11"/>
  <c r="V45" i="11"/>
  <c r="BN21" i="11"/>
  <c r="BN37" i="11" s="1"/>
  <c r="BD133" i="11"/>
  <c r="BD135" i="11" s="1"/>
  <c r="BD136" i="11" s="1"/>
  <c r="AU37" i="11"/>
  <c r="BG21" i="11"/>
  <c r="BG37" i="11" s="1"/>
  <c r="T24" i="11"/>
  <c r="BA37" i="11"/>
  <c r="BL21" i="11"/>
  <c r="BL133" i="11" s="1"/>
  <c r="BL135" i="11" s="1"/>
  <c r="BL136" i="11" s="1"/>
  <c r="CE40" i="11"/>
  <c r="CE24" i="11" s="1"/>
  <c r="BT40" i="11"/>
  <c r="BT24" i="11" s="1"/>
  <c r="BX40" i="11"/>
  <c r="BX24" i="11" s="1"/>
  <c r="CB40" i="11"/>
  <c r="CB24" i="11" s="1"/>
  <c r="CC40" i="11"/>
  <c r="CC24" i="11" s="1"/>
  <c r="BZ40" i="11"/>
  <c r="BZ24" i="11" s="1"/>
  <c r="BV40" i="11"/>
  <c r="BV24" i="11" s="1"/>
  <c r="BY40" i="11"/>
  <c r="BY24" i="11" s="1"/>
  <c r="CA40" i="11"/>
  <c r="CA24" i="11" s="1"/>
  <c r="BW40" i="11"/>
  <c r="BW24" i="11" s="1"/>
  <c r="BU40" i="11"/>
  <c r="BU24" i="11" s="1"/>
  <c r="BS24" i="11"/>
  <c r="U24" i="11" s="1"/>
  <c r="CD40" i="11"/>
  <c r="CD24" i="11" s="1"/>
  <c r="BJ21" i="11"/>
  <c r="BJ133" i="11" s="1"/>
  <c r="BJ135" i="11" s="1"/>
  <c r="BJ136" i="11" s="1"/>
  <c r="U32" i="11"/>
  <c r="V32" i="11"/>
  <c r="V48" i="11"/>
  <c r="S83" i="4"/>
  <c r="T82" i="4"/>
  <c r="U82" i="4"/>
  <c r="B83" i="4"/>
  <c r="D82" i="4"/>
  <c r="C82" i="4"/>
  <c r="E39" i="4"/>
  <c r="V25" i="11"/>
  <c r="V41" i="11"/>
  <c r="U46" i="11"/>
  <c r="V30" i="11"/>
  <c r="V46" i="11"/>
  <c r="U39" i="11"/>
  <c r="V23" i="11"/>
  <c r="V39" i="11"/>
  <c r="V36" i="11"/>
  <c r="V52" i="11"/>
  <c r="U41" i="11"/>
  <c r="U36" i="11"/>
  <c r="V42" i="11"/>
  <c r="V26" i="11"/>
  <c r="U42" i="11"/>
  <c r="BH21" i="11"/>
  <c r="AJ135" i="11"/>
  <c r="AJ136" i="11" s="1"/>
  <c r="S138" i="11" s="1"/>
  <c r="S139" i="11" s="1"/>
  <c r="S133" i="11"/>
  <c r="S135" i="11" s="1"/>
  <c r="S136" i="11" s="1"/>
  <c r="Y38" i="4"/>
  <c r="Z38" i="4"/>
  <c r="BM37" i="11"/>
  <c r="BM133" i="11"/>
  <c r="BM135" i="11" s="1"/>
  <c r="BM136" i="11" s="1"/>
  <c r="BO37" i="11"/>
  <c r="BO133" i="11"/>
  <c r="BO135" i="11" s="1"/>
  <c r="BO136" i="11" s="1"/>
  <c r="BI37" i="11"/>
  <c r="BI133" i="11"/>
  <c r="BI135" i="11" s="1"/>
  <c r="BI136" i="11" s="1"/>
  <c r="CA38" i="11"/>
  <c r="CA22" i="11" s="1"/>
  <c r="BU38" i="11"/>
  <c r="BU22" i="11" s="1"/>
  <c r="CC38" i="11"/>
  <c r="CC22" i="11" s="1"/>
  <c r="CC21" i="11" s="1"/>
  <c r="BT38" i="11"/>
  <c r="BT22" i="11" s="1"/>
  <c r="CD38" i="11"/>
  <c r="CD22" i="11" s="1"/>
  <c r="CB38" i="11"/>
  <c r="CB22" i="11" s="1"/>
  <c r="BZ38" i="11"/>
  <c r="BZ22" i="11" s="1"/>
  <c r="CE38" i="11"/>
  <c r="CE22" i="11" s="1"/>
  <c r="CE21" i="11" s="1"/>
  <c r="BY38" i="11"/>
  <c r="BY22" i="11" s="1"/>
  <c r="BX38" i="11"/>
  <c r="BX22" i="11" s="1"/>
  <c r="BW38" i="11"/>
  <c r="BW22" i="11" s="1"/>
  <c r="BV38" i="11"/>
  <c r="BV22" i="11" s="1"/>
  <c r="BS22" i="11"/>
  <c r="M51" i="1"/>
  <c r="R135" i="11"/>
  <c r="R136" i="11" s="1"/>
  <c r="BP37" i="11"/>
  <c r="BP133" i="11"/>
  <c r="BP135" i="11" s="1"/>
  <c r="BP136" i="11" s="1"/>
  <c r="BQ37" i="11"/>
  <c r="BQ133" i="11"/>
  <c r="BQ135" i="11" s="1"/>
  <c r="BQ136" i="11" s="1"/>
  <c r="T38" i="11"/>
  <c r="BR133" i="11"/>
  <c r="BR135" i="11" s="1"/>
  <c r="BR136" i="11" s="1"/>
  <c r="BR37" i="11"/>
  <c r="BK37" i="11"/>
  <c r="BK133" i="11"/>
  <c r="BK135" i="11" s="1"/>
  <c r="BK136" i="11" s="1"/>
  <c r="T50" i="1"/>
  <c r="T56" i="1"/>
  <c r="U49" i="1"/>
  <c r="T22" i="11"/>
  <c r="BL37" i="11"/>
  <c r="AV37" i="11"/>
  <c r="AV133" i="11"/>
  <c r="T37" i="11"/>
  <c r="O51" i="1" s="1"/>
  <c r="P51" i="1" s="1"/>
  <c r="Q51" i="1" s="1"/>
  <c r="R51" i="1" s="1"/>
  <c r="S51" i="1" s="1"/>
  <c r="T51" i="1" s="1"/>
  <c r="U51" i="1" s="1"/>
  <c r="V51" i="1" s="1"/>
  <c r="BN133" i="11" l="1"/>
  <c r="BN135" i="11" s="1"/>
  <c r="BN136" i="11" s="1"/>
  <c r="BG133" i="11"/>
  <c r="BG135" i="11" s="1"/>
  <c r="BG136" i="11" s="1"/>
  <c r="T21" i="11"/>
  <c r="BX21" i="11"/>
  <c r="BX37" i="11" s="1"/>
  <c r="BU21" i="11"/>
  <c r="BU133" i="11" s="1"/>
  <c r="BU135" i="11" s="1"/>
  <c r="BU136" i="11" s="1"/>
  <c r="BV21" i="11"/>
  <c r="BV133" i="11" s="1"/>
  <c r="BV135" i="11" s="1"/>
  <c r="BV136" i="11" s="1"/>
  <c r="CB21" i="11"/>
  <c r="CB133" i="11" s="1"/>
  <c r="CB135" i="11" s="1"/>
  <c r="CB136" i="11" s="1"/>
  <c r="BW21" i="11"/>
  <c r="BW133" i="11" s="1"/>
  <c r="BW135" i="11" s="1"/>
  <c r="BW136" i="11" s="1"/>
  <c r="BS21" i="11"/>
  <c r="BS37" i="11" s="1"/>
  <c r="BY21" i="11"/>
  <c r="BY37" i="11" s="1"/>
  <c r="CA21" i="11"/>
  <c r="CA37" i="11" s="1"/>
  <c r="V40" i="11"/>
  <c r="V24" i="11"/>
  <c r="BJ37" i="11"/>
  <c r="BZ21" i="11"/>
  <c r="BZ37" i="11" s="1"/>
  <c r="U40" i="11"/>
  <c r="CD21" i="11"/>
  <c r="CD133" i="11" s="1"/>
  <c r="CD135" i="11" s="1"/>
  <c r="CD136" i="11" s="1"/>
  <c r="D39" i="4"/>
  <c r="G39" i="4" s="1"/>
  <c r="F39" i="4"/>
  <c r="B84" i="4"/>
  <c r="D83" i="4"/>
  <c r="C83" i="4"/>
  <c r="S84" i="4"/>
  <c r="T83" i="4"/>
  <c r="U83" i="4"/>
  <c r="CC133" i="11"/>
  <c r="CC135" i="11" s="1"/>
  <c r="CC136" i="11" s="1"/>
  <c r="CC37" i="11"/>
  <c r="V39" i="4"/>
  <c r="R137" i="11"/>
  <c r="CE133" i="11"/>
  <c r="CE135" i="11" s="1"/>
  <c r="CE136" i="11" s="1"/>
  <c r="CE37" i="11"/>
  <c r="S137" i="11"/>
  <c r="AV135" i="11"/>
  <c r="AV136" i="11" s="1"/>
  <c r="BH37" i="11"/>
  <c r="BH133" i="11"/>
  <c r="V49" i="1"/>
  <c r="U56" i="1"/>
  <c r="U50" i="1"/>
  <c r="U38" i="11"/>
  <c r="V38" i="11"/>
  <c r="BT21" i="11"/>
  <c r="V22" i="11"/>
  <c r="U22" i="11"/>
  <c r="U21" i="11" s="1"/>
  <c r="BW37" i="11" l="1"/>
  <c r="BV37" i="11"/>
  <c r="BY133" i="11"/>
  <c r="BY135" i="11" s="1"/>
  <c r="BY136" i="11" s="1"/>
  <c r="CB37" i="11"/>
  <c r="CD37" i="11"/>
  <c r="T133" i="11"/>
  <c r="T135" i="11" s="1"/>
  <c r="T136" i="11" s="1"/>
  <c r="T137" i="11" s="1"/>
  <c r="U37" i="11"/>
  <c r="BZ133" i="11"/>
  <c r="BZ135" i="11" s="1"/>
  <c r="BZ136" i="11" s="1"/>
  <c r="T138" i="11"/>
  <c r="T139" i="11" s="1"/>
  <c r="BU37" i="11"/>
  <c r="BX133" i="11"/>
  <c r="BX135" i="11" s="1"/>
  <c r="BX136" i="11" s="1"/>
  <c r="BS133" i="11"/>
  <c r="BS135" i="11" s="1"/>
  <c r="BS136" i="11" s="1"/>
  <c r="V21" i="11"/>
  <c r="CA133" i="11"/>
  <c r="CA135" i="11" s="1"/>
  <c r="CA136" i="11" s="1"/>
  <c r="S85" i="4"/>
  <c r="T84" i="4"/>
  <c r="U84" i="4"/>
  <c r="B85" i="4"/>
  <c r="C84" i="4"/>
  <c r="D84" i="4"/>
  <c r="H39" i="4"/>
  <c r="I39" i="4"/>
  <c r="BH135" i="11"/>
  <c r="BH136" i="11" s="1"/>
  <c r="U138" i="11" s="1"/>
  <c r="U133" i="11"/>
  <c r="U135" i="11" s="1"/>
  <c r="U136" i="11" s="1"/>
  <c r="BT37" i="11"/>
  <c r="V37" i="11"/>
  <c r="BT133" i="11"/>
  <c r="U39" i="4"/>
  <c r="X39" i="4" s="1"/>
  <c r="W39" i="4"/>
  <c r="V50" i="1"/>
  <c r="V56" i="1"/>
  <c r="U139" i="11" l="1"/>
  <c r="B86" i="4"/>
  <c r="D85" i="4"/>
  <c r="C85" i="4"/>
  <c r="S86" i="4"/>
  <c r="T85" i="4"/>
  <c r="U85" i="4"/>
  <c r="E40" i="4"/>
  <c r="V133" i="11"/>
  <c r="V135" i="11" s="1"/>
  <c r="V136" i="11" s="1"/>
  <c r="V137" i="11" s="1"/>
  <c r="BT135" i="11"/>
  <c r="BT136" i="11" s="1"/>
  <c r="V138" i="11" s="1"/>
  <c r="V139" i="11" s="1"/>
  <c r="U137" i="11"/>
  <c r="Y39" i="4"/>
  <c r="Z39" i="4"/>
  <c r="D40" i="4" l="1"/>
  <c r="G40" i="4" s="1"/>
  <c r="F40" i="4"/>
  <c r="S87" i="4"/>
  <c r="T86" i="4"/>
  <c r="U86" i="4"/>
  <c r="B87" i="4"/>
  <c r="C86" i="4"/>
  <c r="D86" i="4"/>
  <c r="V40" i="4"/>
  <c r="H40" i="4" l="1"/>
  <c r="I40" i="4"/>
  <c r="S88" i="4"/>
  <c r="T87" i="4"/>
  <c r="U87" i="4"/>
  <c r="B88" i="4"/>
  <c r="D87" i="4"/>
  <c r="C87" i="4"/>
  <c r="U40" i="4"/>
  <c r="X40" i="4" s="1"/>
  <c r="W40" i="4"/>
  <c r="S89" i="4" l="1"/>
  <c r="T88" i="4"/>
  <c r="U88" i="4"/>
  <c r="E41" i="4"/>
  <c r="B89" i="4"/>
  <c r="D88" i="4"/>
  <c r="C88" i="4"/>
  <c r="Y40" i="4"/>
  <c r="Z40" i="4"/>
  <c r="B90" i="4" l="1"/>
  <c r="C89" i="4"/>
  <c r="D89" i="4"/>
  <c r="D41" i="4"/>
  <c r="G41" i="4" s="1"/>
  <c r="F41" i="4"/>
  <c r="S90" i="4"/>
  <c r="T89" i="4"/>
  <c r="U89" i="4"/>
  <c r="V41" i="4"/>
  <c r="S91" i="4" l="1"/>
  <c r="T90" i="4"/>
  <c r="U90" i="4"/>
  <c r="B91" i="4"/>
  <c r="D90" i="4"/>
  <c r="C90" i="4"/>
  <c r="H41" i="4"/>
  <c r="I41" i="4"/>
  <c r="AJ35" i="13"/>
  <c r="A35" i="13" s="1"/>
  <c r="AJ36" i="13"/>
  <c r="U41" i="4"/>
  <c r="X41" i="4" s="1"/>
  <c r="W41" i="4"/>
  <c r="F35" i="13" l="1"/>
  <c r="E42" i="4"/>
  <c r="B92" i="4"/>
  <c r="D91" i="4"/>
  <c r="C91" i="4"/>
  <c r="S92" i="4"/>
  <c r="T91" i="4"/>
  <c r="U91" i="4"/>
  <c r="A36" i="13"/>
  <c r="F36" i="13"/>
  <c r="Y41" i="4"/>
  <c r="Z41" i="4"/>
  <c r="S93" i="4" l="1"/>
  <c r="T92" i="4"/>
  <c r="U92" i="4"/>
  <c r="B93" i="4"/>
  <c r="C92" i="4"/>
  <c r="D92" i="4"/>
  <c r="G42" i="4"/>
  <c r="F42" i="4"/>
  <c r="V42" i="4"/>
  <c r="B94" i="4" l="1"/>
  <c r="C93" i="4"/>
  <c r="D93" i="4"/>
  <c r="S94" i="4"/>
  <c r="T93" i="4"/>
  <c r="U93" i="4"/>
  <c r="H42" i="4"/>
  <c r="I42" i="4"/>
  <c r="X42" i="4"/>
  <c r="W42" i="4"/>
  <c r="S95" i="4" l="1"/>
  <c r="T94" i="4"/>
  <c r="U94" i="4"/>
  <c r="B95" i="4"/>
  <c r="D94" i="4"/>
  <c r="C94" i="4"/>
  <c r="E43" i="4"/>
  <c r="Y42" i="4"/>
  <c r="Z42" i="4"/>
  <c r="G43" i="4" l="1"/>
  <c r="F43" i="4"/>
  <c r="B96" i="4"/>
  <c r="D95" i="4"/>
  <c r="C95" i="4"/>
  <c r="S96" i="4"/>
  <c r="T95" i="4"/>
  <c r="U95" i="4"/>
  <c r="V43" i="4"/>
  <c r="S97" i="4" l="1"/>
  <c r="T96" i="4"/>
  <c r="U96" i="4"/>
  <c r="H43" i="4"/>
  <c r="I43" i="4"/>
  <c r="B97" i="4"/>
  <c r="C96" i="4"/>
  <c r="D96" i="4"/>
  <c r="X43" i="4"/>
  <c r="W43" i="4"/>
  <c r="E44" i="4" l="1"/>
  <c r="B98" i="4"/>
  <c r="D97" i="4"/>
  <c r="C97" i="4"/>
  <c r="S98" i="4"/>
  <c r="T97" i="4"/>
  <c r="U97" i="4"/>
  <c r="Y43" i="4"/>
  <c r="Z43" i="4"/>
  <c r="S99" i="4" l="1"/>
  <c r="T98" i="4"/>
  <c r="U98" i="4"/>
  <c r="B99" i="4"/>
  <c r="D98" i="4"/>
  <c r="C98" i="4"/>
  <c r="G44" i="4"/>
  <c r="F44" i="4"/>
  <c r="V44" i="4"/>
  <c r="H44" i="4" l="1"/>
  <c r="I44" i="4"/>
  <c r="B100" i="4"/>
  <c r="D99" i="4"/>
  <c r="C99" i="4"/>
  <c r="S100" i="4"/>
  <c r="T99" i="4"/>
  <c r="U99" i="4"/>
  <c r="X44" i="4"/>
  <c r="W44" i="4"/>
  <c r="B101" i="4" l="1"/>
  <c r="C100" i="4"/>
  <c r="D100" i="4"/>
  <c r="S101" i="4"/>
  <c r="T100" i="4"/>
  <c r="U100" i="4"/>
  <c r="E45" i="4"/>
  <c r="Y44" i="4"/>
  <c r="Z44" i="4"/>
  <c r="G45" i="4" l="1"/>
  <c r="F45" i="4"/>
  <c r="S102" i="4"/>
  <c r="T101" i="4"/>
  <c r="U101" i="4"/>
  <c r="B102" i="4"/>
  <c r="D101" i="4"/>
  <c r="C101" i="4"/>
  <c r="V45" i="4"/>
  <c r="B103" i="4" l="1"/>
  <c r="D102" i="4"/>
  <c r="C102" i="4"/>
  <c r="H45" i="4"/>
  <c r="I45" i="4"/>
  <c r="S103" i="4"/>
  <c r="T102" i="4"/>
  <c r="U102" i="4"/>
  <c r="X45" i="4"/>
  <c r="W45" i="4"/>
  <c r="E46" i="4" l="1"/>
  <c r="S104" i="4"/>
  <c r="T103" i="4"/>
  <c r="U103" i="4"/>
  <c r="B104" i="4"/>
  <c r="D103" i="4"/>
  <c r="C103" i="4"/>
  <c r="Y45" i="4"/>
  <c r="Z45" i="4"/>
  <c r="B105" i="4" l="1"/>
  <c r="C104" i="4"/>
  <c r="D104" i="4"/>
  <c r="S105" i="4"/>
  <c r="T104" i="4"/>
  <c r="U104" i="4"/>
  <c r="G46" i="4"/>
  <c r="F46" i="4"/>
  <c r="V46" i="4"/>
  <c r="H46" i="4" l="1"/>
  <c r="I46" i="4"/>
  <c r="B106" i="4"/>
  <c r="C105" i="4"/>
  <c r="D105" i="4"/>
  <c r="S106" i="4"/>
  <c r="T105" i="4"/>
  <c r="U105" i="4"/>
  <c r="X46" i="4"/>
  <c r="W46" i="4"/>
  <c r="B107" i="4" l="1"/>
  <c r="D106" i="4"/>
  <c r="C106" i="4"/>
  <c r="S107" i="4"/>
  <c r="T106" i="4"/>
  <c r="U106" i="4"/>
  <c r="E47" i="4"/>
  <c r="Y46" i="4"/>
  <c r="Z46" i="4"/>
  <c r="G47" i="4" l="1"/>
  <c r="F47" i="4"/>
  <c r="S108" i="4"/>
  <c r="T107" i="4"/>
  <c r="U107" i="4"/>
  <c r="B108" i="4"/>
  <c r="C107" i="4"/>
  <c r="D107" i="4"/>
  <c r="V47" i="4"/>
  <c r="S109" i="4" l="1"/>
  <c r="T108" i="4"/>
  <c r="U108" i="4"/>
  <c r="B109" i="4"/>
  <c r="C108" i="4"/>
  <c r="D108" i="4"/>
  <c r="H47" i="4"/>
  <c r="I47" i="4"/>
  <c r="X47" i="4"/>
  <c r="W47" i="4"/>
  <c r="B110" i="4" l="1"/>
  <c r="D109" i="4"/>
  <c r="C109" i="4"/>
  <c r="E48" i="4"/>
  <c r="S110" i="4"/>
  <c r="T109" i="4"/>
  <c r="U109" i="4"/>
  <c r="Y47" i="4"/>
  <c r="Z47" i="4"/>
  <c r="S111" i="4" l="1"/>
  <c r="T110" i="4"/>
  <c r="U110" i="4"/>
  <c r="G48" i="4"/>
  <c r="F48" i="4"/>
  <c r="B111" i="4"/>
  <c r="D110" i="4"/>
  <c r="C110" i="4"/>
  <c r="V48" i="4"/>
  <c r="B112" i="4" l="1"/>
  <c r="D111" i="4"/>
  <c r="C111" i="4"/>
  <c r="H48" i="4"/>
  <c r="I48" i="4"/>
  <c r="S112" i="4"/>
  <c r="T111" i="4"/>
  <c r="U111" i="4"/>
  <c r="X48" i="4"/>
  <c r="W48" i="4"/>
  <c r="E49" i="4" l="1"/>
  <c r="B113" i="4"/>
  <c r="D112" i="4"/>
  <c r="C112" i="4"/>
  <c r="S113" i="4"/>
  <c r="T112" i="4"/>
  <c r="U112" i="4"/>
  <c r="Y48" i="4"/>
  <c r="Z48" i="4"/>
  <c r="B114" i="4" l="1"/>
  <c r="D113" i="4"/>
  <c r="C113" i="4"/>
  <c r="S114" i="4"/>
  <c r="T113" i="4"/>
  <c r="U113" i="4"/>
  <c r="G49" i="4"/>
  <c r="F49" i="4"/>
  <c r="V49" i="4"/>
  <c r="H49" i="4" l="1"/>
  <c r="I49" i="4"/>
  <c r="S115" i="4"/>
  <c r="T114" i="4"/>
  <c r="U114" i="4"/>
  <c r="B115" i="4"/>
  <c r="D114" i="4"/>
  <c r="C114" i="4"/>
  <c r="X49" i="4"/>
  <c r="W49" i="4"/>
  <c r="S116" i="4" l="1"/>
  <c r="T115" i="4"/>
  <c r="U115" i="4"/>
  <c r="E50" i="4"/>
  <c r="B116" i="4"/>
  <c r="C115" i="4"/>
  <c r="D115" i="4"/>
  <c r="Y49" i="4"/>
  <c r="Z49" i="4"/>
  <c r="B117" i="4" l="1"/>
  <c r="D116" i="4"/>
  <c r="C116" i="4"/>
  <c r="G50" i="4"/>
  <c r="F50" i="4"/>
  <c r="S117" i="4"/>
  <c r="T116" i="4"/>
  <c r="U116" i="4"/>
  <c r="V50" i="4"/>
  <c r="S118" i="4" l="1"/>
  <c r="T117" i="4"/>
  <c r="U117" i="4"/>
  <c r="H50" i="4"/>
  <c r="I50" i="4"/>
  <c r="B118" i="4"/>
  <c r="C117" i="4"/>
  <c r="D117" i="4"/>
  <c r="X50" i="4"/>
  <c r="W50" i="4"/>
  <c r="E51" i="4" l="1"/>
  <c r="C118" i="4"/>
  <c r="B119" i="4"/>
  <c r="D118" i="4"/>
  <c r="S119" i="4"/>
  <c r="T118" i="4"/>
  <c r="U118" i="4"/>
  <c r="Y50" i="4"/>
  <c r="Z50" i="4"/>
  <c r="B120" i="4" l="1"/>
  <c r="D119" i="4"/>
  <c r="C119" i="4"/>
  <c r="S120" i="4"/>
  <c r="T119" i="4"/>
  <c r="U119" i="4"/>
  <c r="G51" i="4"/>
  <c r="F51" i="4"/>
  <c r="V51" i="4"/>
  <c r="H51" i="4" l="1"/>
  <c r="I51" i="4"/>
  <c r="S121" i="4"/>
  <c r="T120" i="4"/>
  <c r="U120" i="4"/>
  <c r="B121" i="4"/>
  <c r="C120" i="4"/>
  <c r="D120" i="4"/>
  <c r="X51" i="4"/>
  <c r="W51" i="4"/>
  <c r="E52" i="4" l="1"/>
  <c r="B122" i="4"/>
  <c r="D121" i="4"/>
  <c r="C121" i="4"/>
  <c r="S122" i="4"/>
  <c r="T121" i="4"/>
  <c r="U121" i="4"/>
  <c r="Y51" i="4"/>
  <c r="Z51" i="4"/>
  <c r="S123" i="4" l="1"/>
  <c r="T122" i="4"/>
  <c r="U122" i="4"/>
  <c r="D122" i="4"/>
  <c r="C122" i="4"/>
  <c r="B123" i="4"/>
  <c r="G52" i="4"/>
  <c r="F52" i="4"/>
  <c r="V52" i="4"/>
  <c r="H52" i="4" l="1"/>
  <c r="I52" i="4"/>
  <c r="B124" i="4"/>
  <c r="D123" i="4"/>
  <c r="C123" i="4"/>
  <c r="S124" i="4"/>
  <c r="T123" i="4"/>
  <c r="U123" i="4"/>
  <c r="X52" i="4"/>
  <c r="W52" i="4"/>
  <c r="B125" i="4" l="1"/>
  <c r="D124" i="4"/>
  <c r="C124" i="4"/>
  <c r="S125" i="4"/>
  <c r="T124" i="4"/>
  <c r="U124" i="4"/>
  <c r="E53" i="4"/>
  <c r="Y52" i="4"/>
  <c r="Z52" i="4"/>
  <c r="G53" i="4" l="1"/>
  <c r="F53" i="4"/>
  <c r="S126" i="4"/>
  <c r="T125" i="4"/>
  <c r="U125" i="4"/>
  <c r="C125" i="4"/>
  <c r="D125" i="4"/>
  <c r="B126" i="4"/>
  <c r="V53" i="4"/>
  <c r="S127" i="4" l="1"/>
  <c r="T126" i="4"/>
  <c r="U126" i="4"/>
  <c r="B127" i="4"/>
  <c r="D126" i="4"/>
  <c r="C126" i="4"/>
  <c r="H53" i="4"/>
  <c r="I53" i="4"/>
  <c r="X53" i="4"/>
  <c r="W53" i="4"/>
  <c r="E54" i="4" l="1"/>
  <c r="C127" i="4"/>
  <c r="D127" i="4"/>
  <c r="B128" i="4"/>
  <c r="S128" i="4"/>
  <c r="T127" i="4"/>
  <c r="U127" i="4"/>
  <c r="Y53" i="4"/>
  <c r="Z53" i="4"/>
  <c r="S129" i="4" l="1"/>
  <c r="T128" i="4"/>
  <c r="U128" i="4"/>
  <c r="C128" i="4"/>
  <c r="B129" i="4"/>
  <c r="D128" i="4"/>
  <c r="G54" i="4"/>
  <c r="F54" i="4"/>
  <c r="V54" i="4"/>
  <c r="C129" i="4" l="1"/>
  <c r="D129" i="4"/>
  <c r="B130" i="4"/>
  <c r="H54" i="4"/>
  <c r="I54" i="4"/>
  <c r="S130" i="4"/>
  <c r="T129" i="4"/>
  <c r="U129" i="4"/>
  <c r="X54" i="4"/>
  <c r="W54" i="4"/>
  <c r="E55" i="4" l="1"/>
  <c r="S131" i="4"/>
  <c r="T130" i="4"/>
  <c r="U130" i="4"/>
  <c r="D130" i="4"/>
  <c r="B131" i="4"/>
  <c r="C130" i="4"/>
  <c r="Y54" i="4"/>
  <c r="Z54" i="4"/>
  <c r="C131" i="4" l="1"/>
  <c r="D131" i="4"/>
  <c r="B132" i="4"/>
  <c r="S132" i="4"/>
  <c r="T131" i="4"/>
  <c r="U131" i="4"/>
  <c r="G55" i="4"/>
  <c r="F55" i="4"/>
  <c r="V55" i="4"/>
  <c r="H55" i="4" l="1"/>
  <c r="I55" i="4"/>
  <c r="C132" i="4"/>
  <c r="D132" i="4"/>
  <c r="B133" i="4"/>
  <c r="S133" i="4"/>
  <c r="T132" i="4"/>
  <c r="U132" i="4"/>
  <c r="X55" i="4"/>
  <c r="W55" i="4"/>
  <c r="E56" i="4" l="1"/>
  <c r="C133" i="4"/>
  <c r="D133" i="4"/>
  <c r="B134" i="4"/>
  <c r="S134" i="4"/>
  <c r="T133" i="4"/>
  <c r="U133" i="4"/>
  <c r="Y55" i="4"/>
  <c r="Z55" i="4"/>
  <c r="B135" i="4" l="1"/>
  <c r="C134" i="4"/>
  <c r="D134" i="4"/>
  <c r="S135" i="4"/>
  <c r="T134" i="4"/>
  <c r="U134" i="4"/>
  <c r="G56" i="4"/>
  <c r="F56" i="4"/>
  <c r="V56" i="4"/>
  <c r="C135" i="4" l="1"/>
  <c r="D135" i="4"/>
  <c r="B136" i="4"/>
  <c r="H56" i="4"/>
  <c r="I56" i="4"/>
  <c r="S136" i="4"/>
  <c r="T135" i="4"/>
  <c r="U135" i="4"/>
  <c r="X56" i="4"/>
  <c r="W56" i="4"/>
  <c r="S137" i="4" l="1"/>
  <c r="T136" i="4"/>
  <c r="U136" i="4"/>
  <c r="E57" i="4"/>
  <c r="B137" i="4"/>
  <c r="C136" i="4"/>
  <c r="D136" i="4"/>
  <c r="Y56" i="4"/>
  <c r="Z56" i="4"/>
  <c r="D137" i="4" l="1"/>
  <c r="C137" i="4"/>
  <c r="G57" i="4"/>
  <c r="F57" i="4"/>
  <c r="T137" i="4"/>
  <c r="U137" i="4"/>
  <c r="V57" i="4"/>
  <c r="X6" i="4" l="1"/>
  <c r="Y6" i="4"/>
  <c r="Z6" i="4"/>
  <c r="H57" i="4"/>
  <c r="I57" i="4"/>
  <c r="I5" i="4"/>
  <c r="H4" i="4"/>
  <c r="H5" i="4"/>
  <c r="I4" i="4"/>
  <c r="X57" i="4"/>
  <c r="W57" i="4"/>
  <c r="E58" i="4" l="1"/>
  <c r="Y57" i="4"/>
  <c r="Z57" i="4"/>
  <c r="G58" i="4" l="1"/>
  <c r="F58" i="4"/>
  <c r="V58" i="4"/>
  <c r="H58" i="4" l="1"/>
  <c r="I58" i="4"/>
  <c r="X58" i="4"/>
  <c r="W58" i="4"/>
  <c r="E59" i="4" l="1"/>
  <c r="Y58" i="4"/>
  <c r="Z58" i="4"/>
  <c r="G59" i="4" l="1"/>
  <c r="F59" i="4"/>
  <c r="V59" i="4"/>
  <c r="H59" i="4" l="1"/>
  <c r="I59" i="4"/>
  <c r="X59" i="4"/>
  <c r="W59" i="4"/>
  <c r="E60" i="4" l="1"/>
  <c r="Y59" i="4"/>
  <c r="Z59" i="4"/>
  <c r="G60" i="4" l="1"/>
  <c r="F60" i="4"/>
  <c r="V60" i="4"/>
  <c r="H60" i="4" l="1"/>
  <c r="I60" i="4"/>
  <c r="X60" i="4"/>
  <c r="W60" i="4"/>
  <c r="E61" i="4" l="1"/>
  <c r="Y60" i="4"/>
  <c r="Z60" i="4"/>
  <c r="G61" i="4" l="1"/>
  <c r="F61" i="4"/>
  <c r="V61" i="4"/>
  <c r="H61" i="4" l="1"/>
  <c r="I61" i="4"/>
  <c r="X61" i="4"/>
  <c r="W61" i="4"/>
  <c r="E62" i="4" l="1"/>
  <c r="Y61" i="4"/>
  <c r="Z61" i="4"/>
  <c r="G62" i="4" l="1"/>
  <c r="F62" i="4"/>
  <c r="V62" i="4"/>
  <c r="H62" i="4" l="1"/>
  <c r="I62" i="4"/>
  <c r="X62" i="4"/>
  <c r="W62" i="4"/>
  <c r="E63" i="4" l="1"/>
  <c r="Y62" i="4"/>
  <c r="Z62" i="4"/>
  <c r="G63" i="4" l="1"/>
  <c r="F63" i="4"/>
  <c r="V63" i="4"/>
  <c r="H63" i="4" l="1"/>
  <c r="I63" i="4"/>
  <c r="X63" i="4"/>
  <c r="W63" i="4"/>
  <c r="E64" i="4" l="1"/>
  <c r="Y63" i="4"/>
  <c r="Z63" i="4"/>
  <c r="G64" i="4" l="1"/>
  <c r="F64" i="4"/>
  <c r="V64" i="4"/>
  <c r="H64" i="4" l="1"/>
  <c r="I64" i="4"/>
  <c r="X64" i="4"/>
  <c r="W64" i="4"/>
  <c r="E65" i="4" l="1"/>
  <c r="Y64" i="4"/>
  <c r="Z64" i="4"/>
  <c r="G65" i="4" l="1"/>
  <c r="F65" i="4"/>
  <c r="V65" i="4"/>
  <c r="H65" i="4" l="1"/>
  <c r="I65" i="4"/>
  <c r="X65" i="4"/>
  <c r="W65" i="4"/>
  <c r="E66" i="4" l="1"/>
  <c r="Y65" i="4"/>
  <c r="Z65" i="4"/>
  <c r="G66" i="4" l="1"/>
  <c r="F66" i="4"/>
  <c r="AA6" i="4"/>
  <c r="V66" i="4"/>
  <c r="H66" i="4" l="1"/>
  <c r="I66" i="4"/>
  <c r="X66" i="4"/>
  <c r="W66" i="4"/>
  <c r="E67" i="4" l="1"/>
  <c r="Y66" i="4"/>
  <c r="Z66" i="4"/>
  <c r="G67" i="4" l="1"/>
  <c r="F67" i="4"/>
  <c r="V67" i="4"/>
  <c r="H67" i="4" l="1"/>
  <c r="I67" i="4"/>
  <c r="X67" i="4"/>
  <c r="W67" i="4"/>
  <c r="E68" i="4" l="1"/>
  <c r="Y67" i="4"/>
  <c r="Z67" i="4"/>
  <c r="G68" i="4" l="1"/>
  <c r="F68" i="4"/>
  <c r="V68" i="4"/>
  <c r="H68" i="4" l="1"/>
  <c r="I68" i="4"/>
  <c r="X68" i="4"/>
  <c r="W68" i="4"/>
  <c r="E69" i="4" l="1"/>
  <c r="Y68" i="4"/>
  <c r="Z68" i="4"/>
  <c r="G69" i="4" l="1"/>
  <c r="F69" i="4"/>
  <c r="V69" i="4"/>
  <c r="H69" i="4" l="1"/>
  <c r="I69" i="4"/>
  <c r="X69" i="4"/>
  <c r="W69" i="4"/>
  <c r="E70" i="4" l="1"/>
  <c r="Y69" i="4"/>
  <c r="Z69" i="4"/>
  <c r="G70" i="4" l="1"/>
  <c r="F70" i="4"/>
  <c r="V70" i="4"/>
  <c r="H70" i="4" l="1"/>
  <c r="I70" i="4"/>
  <c r="X70" i="4"/>
  <c r="W70" i="4"/>
  <c r="E71" i="4" l="1"/>
  <c r="Y70" i="4"/>
  <c r="Z70" i="4"/>
  <c r="G71" i="4" l="1"/>
  <c r="F71" i="4"/>
  <c r="V71" i="4"/>
  <c r="H71" i="4" l="1"/>
  <c r="I71" i="4"/>
  <c r="X71" i="4"/>
  <c r="W71" i="4"/>
  <c r="E72" i="4" l="1"/>
  <c r="Y71" i="4"/>
  <c r="Z71" i="4"/>
  <c r="G72" i="4" l="1"/>
  <c r="F72" i="4"/>
  <c r="V72" i="4"/>
  <c r="H72" i="4" l="1"/>
  <c r="I72" i="4"/>
  <c r="X72" i="4"/>
  <c r="W72" i="4"/>
  <c r="E73" i="4" l="1"/>
  <c r="Y72" i="4"/>
  <c r="Z72" i="4"/>
  <c r="G73" i="4" l="1"/>
  <c r="F73" i="4"/>
  <c r="V73" i="4"/>
  <c r="H73" i="4" l="1"/>
  <c r="I73" i="4"/>
  <c r="X73" i="4"/>
  <c r="W73" i="4"/>
  <c r="E74" i="4" l="1"/>
  <c r="Y73" i="4"/>
  <c r="Z73" i="4"/>
  <c r="G74" i="4" l="1"/>
  <c r="F74" i="4"/>
  <c r="V74" i="4"/>
  <c r="H74" i="4" l="1"/>
  <c r="I74" i="4"/>
  <c r="X74" i="4"/>
  <c r="W74" i="4"/>
  <c r="E75" i="4" l="1"/>
  <c r="Y74" i="4"/>
  <c r="Z74" i="4"/>
  <c r="G75" i="4" l="1"/>
  <c r="F75" i="4"/>
  <c r="V75" i="4"/>
  <c r="H75" i="4" l="1"/>
  <c r="I75" i="4"/>
  <c r="X75" i="4"/>
  <c r="W75" i="4"/>
  <c r="E76" i="4" l="1"/>
  <c r="Y75" i="4"/>
  <c r="Z75" i="4"/>
  <c r="G76" i="4" l="1"/>
  <c r="F76" i="4"/>
  <c r="V76" i="4"/>
  <c r="H76" i="4" l="1"/>
  <c r="I76" i="4"/>
  <c r="X76" i="4"/>
  <c r="W76" i="4"/>
  <c r="E77" i="4" l="1"/>
  <c r="Y76" i="4"/>
  <c r="Z76" i="4"/>
  <c r="G77" i="4" l="1"/>
  <c r="F77" i="4"/>
  <c r="V77" i="4"/>
  <c r="H77" i="4" l="1"/>
  <c r="I77" i="4"/>
  <c r="X77" i="4"/>
  <c r="W77" i="4"/>
  <c r="E78" i="4" l="1"/>
  <c r="Y77" i="4"/>
  <c r="Z77" i="4"/>
  <c r="G78" i="4" l="1"/>
  <c r="F78" i="4"/>
  <c r="AB6" i="4"/>
  <c r="V78" i="4"/>
  <c r="H78" i="4" l="1"/>
  <c r="I78" i="4"/>
  <c r="X78" i="4"/>
  <c r="W78" i="4"/>
  <c r="E79" i="4" l="1"/>
  <c r="Y78" i="4"/>
  <c r="Z78" i="4"/>
  <c r="G79" i="4" l="1"/>
  <c r="F79" i="4"/>
  <c r="V79" i="4"/>
  <c r="H79" i="4" l="1"/>
  <c r="I79" i="4"/>
  <c r="X79" i="4"/>
  <c r="W79" i="4"/>
  <c r="E80" i="4" l="1"/>
  <c r="Y79" i="4"/>
  <c r="Z79" i="4"/>
  <c r="G80" i="4" l="1"/>
  <c r="F80" i="4"/>
  <c r="V80" i="4"/>
  <c r="H80" i="4" l="1"/>
  <c r="I80" i="4"/>
  <c r="X80" i="4"/>
  <c r="W80" i="4"/>
  <c r="E81" i="4" l="1"/>
  <c r="Y80" i="4"/>
  <c r="Z80" i="4"/>
  <c r="G81" i="4" l="1"/>
  <c r="F81" i="4"/>
  <c r="V81" i="4"/>
  <c r="H81" i="4" l="1"/>
  <c r="I81" i="4"/>
  <c r="X81" i="4"/>
  <c r="W81" i="4"/>
  <c r="E82" i="4" l="1"/>
  <c r="Y81" i="4"/>
  <c r="Z81" i="4"/>
  <c r="G82" i="4" l="1"/>
  <c r="F82" i="4"/>
  <c r="V82" i="4"/>
  <c r="H82" i="4" l="1"/>
  <c r="I82" i="4"/>
  <c r="X82" i="4"/>
  <c r="W82" i="4"/>
  <c r="E83" i="4" l="1"/>
  <c r="Y82" i="4"/>
  <c r="Z82" i="4"/>
  <c r="G83" i="4" l="1"/>
  <c r="F83" i="4"/>
  <c r="V83" i="4"/>
  <c r="H83" i="4" l="1"/>
  <c r="I83" i="4"/>
  <c r="X83" i="4"/>
  <c r="W83" i="4"/>
  <c r="E84" i="4" l="1"/>
  <c r="Y83" i="4"/>
  <c r="Z83" i="4"/>
  <c r="G84" i="4" l="1"/>
  <c r="F84" i="4"/>
  <c r="V84" i="4"/>
  <c r="H84" i="4" l="1"/>
  <c r="I84" i="4"/>
  <c r="X84" i="4"/>
  <c r="W84" i="4"/>
  <c r="E85" i="4" l="1"/>
  <c r="Y84" i="4"/>
  <c r="Z84" i="4"/>
  <c r="G85" i="4" l="1"/>
  <c r="F85" i="4"/>
  <c r="V85" i="4"/>
  <c r="H85" i="4" l="1"/>
  <c r="I85" i="4"/>
  <c r="X85" i="4"/>
  <c r="W85" i="4"/>
  <c r="E86" i="4" l="1"/>
  <c r="Y85" i="4"/>
  <c r="Z85" i="4"/>
  <c r="G86" i="4" l="1"/>
  <c r="F86" i="4"/>
  <c r="V86" i="4"/>
  <c r="H86" i="4" l="1"/>
  <c r="I86" i="4"/>
  <c r="X86" i="4"/>
  <c r="W86" i="4"/>
  <c r="E87" i="4" l="1"/>
  <c r="Y86" i="4"/>
  <c r="Z86" i="4"/>
  <c r="G87" i="4" l="1"/>
  <c r="F87" i="4"/>
  <c r="V87" i="4"/>
  <c r="H87" i="4" l="1"/>
  <c r="I87" i="4"/>
  <c r="X87" i="4"/>
  <c r="W87" i="4"/>
  <c r="E88" i="4" l="1"/>
  <c r="Y87" i="4"/>
  <c r="Z87" i="4"/>
  <c r="G88" i="4" l="1"/>
  <c r="F88" i="4"/>
  <c r="V88" i="4"/>
  <c r="H88" i="4" l="1"/>
  <c r="I88" i="4"/>
  <c r="X88" i="4"/>
  <c r="W88" i="4"/>
  <c r="E89" i="4" l="1"/>
  <c r="Y88" i="4"/>
  <c r="Z88" i="4"/>
  <c r="G89" i="4" l="1"/>
  <c r="F89" i="4"/>
  <c r="V89" i="4"/>
  <c r="H89" i="4" l="1"/>
  <c r="I89" i="4"/>
  <c r="X89" i="4"/>
  <c r="W89" i="4"/>
  <c r="E90" i="4" l="1"/>
  <c r="Y89" i="4"/>
  <c r="Z89" i="4"/>
  <c r="G90" i="4" l="1"/>
  <c r="F90" i="4"/>
  <c r="AC6" i="4"/>
  <c r="V90" i="4"/>
  <c r="H90" i="4" l="1"/>
  <c r="I90" i="4"/>
  <c r="X90" i="4"/>
  <c r="W90" i="4"/>
  <c r="E91" i="4" l="1"/>
  <c r="Y90" i="4"/>
  <c r="Z90" i="4"/>
  <c r="G91" i="4" l="1"/>
  <c r="F91" i="4"/>
  <c r="V91" i="4"/>
  <c r="H91" i="4" l="1"/>
  <c r="I91" i="4"/>
  <c r="X91" i="4"/>
  <c r="W91" i="4"/>
  <c r="E92" i="4" l="1"/>
  <c r="Y91" i="4"/>
  <c r="Z91" i="4"/>
  <c r="G92" i="4" l="1"/>
  <c r="F92" i="4"/>
  <c r="V92" i="4"/>
  <c r="H92" i="4" l="1"/>
  <c r="I92" i="4"/>
  <c r="X92" i="4"/>
  <c r="W92" i="4"/>
  <c r="E93" i="4" l="1"/>
  <c r="Y92" i="4"/>
  <c r="Z92" i="4"/>
  <c r="G93" i="4" l="1"/>
  <c r="F93" i="4"/>
  <c r="V93" i="4"/>
  <c r="H93" i="4" l="1"/>
  <c r="I93" i="4"/>
  <c r="X93" i="4"/>
  <c r="W93" i="4"/>
  <c r="E94" i="4" l="1"/>
  <c r="Y93" i="4"/>
  <c r="Z93" i="4"/>
  <c r="G94" i="4" l="1"/>
  <c r="F94" i="4"/>
  <c r="V94" i="4"/>
  <c r="H94" i="4" l="1"/>
  <c r="I94" i="4"/>
  <c r="X94" i="4"/>
  <c r="W94" i="4"/>
  <c r="E95" i="4" l="1"/>
  <c r="Y94" i="4"/>
  <c r="Z94" i="4"/>
  <c r="G95" i="4" l="1"/>
  <c r="F95" i="4"/>
  <c r="V95" i="4"/>
  <c r="H95" i="4" l="1"/>
  <c r="I95" i="4"/>
  <c r="X95" i="4"/>
  <c r="W95" i="4"/>
  <c r="E96" i="4" l="1"/>
  <c r="Y95" i="4"/>
  <c r="Z95" i="4"/>
  <c r="G96" i="4" l="1"/>
  <c r="F96" i="4"/>
  <c r="V96" i="4"/>
  <c r="H96" i="4" l="1"/>
  <c r="I96" i="4"/>
  <c r="X96" i="4"/>
  <c r="W96" i="4"/>
  <c r="E97" i="4" l="1"/>
  <c r="Y96" i="4"/>
  <c r="Z96" i="4"/>
  <c r="G97" i="4" l="1"/>
  <c r="F97" i="4"/>
  <c r="V97" i="4"/>
  <c r="H97" i="4" l="1"/>
  <c r="I97" i="4"/>
  <c r="X97" i="4"/>
  <c r="W97" i="4"/>
  <c r="E98" i="4" l="1"/>
  <c r="Y97" i="4"/>
  <c r="Z97" i="4"/>
  <c r="G98" i="4" l="1"/>
  <c r="F98" i="4"/>
  <c r="V98" i="4"/>
  <c r="H98" i="4" l="1"/>
  <c r="I98" i="4"/>
  <c r="X98" i="4"/>
  <c r="W98" i="4"/>
  <c r="E99" i="4" l="1"/>
  <c r="Y98" i="4"/>
  <c r="Z98" i="4"/>
  <c r="G99" i="4" l="1"/>
  <c r="F99" i="4"/>
  <c r="V99" i="4"/>
  <c r="H99" i="4" l="1"/>
  <c r="I99" i="4"/>
  <c r="X99" i="4"/>
  <c r="W99" i="4"/>
  <c r="E100" i="4" l="1"/>
  <c r="Y99" i="4"/>
  <c r="Z99" i="4"/>
  <c r="G100" i="4" l="1"/>
  <c r="F100" i="4"/>
  <c r="V100" i="4"/>
  <c r="H100" i="4" l="1"/>
  <c r="I100" i="4"/>
  <c r="X100" i="4"/>
  <c r="W100" i="4"/>
  <c r="E101" i="4" l="1"/>
  <c r="Y100" i="4"/>
  <c r="Z100" i="4"/>
  <c r="G101" i="4" l="1"/>
  <c r="F101" i="4"/>
  <c r="V101" i="4"/>
  <c r="H101" i="4" l="1"/>
  <c r="I101" i="4"/>
  <c r="X101" i="4"/>
  <c r="W101" i="4"/>
  <c r="E102" i="4" l="1"/>
  <c r="Y101" i="4"/>
  <c r="Z101" i="4"/>
  <c r="G102" i="4" l="1"/>
  <c r="F102" i="4"/>
  <c r="V102" i="4"/>
  <c r="AD6" i="4"/>
  <c r="H102" i="4" l="1"/>
  <c r="I102" i="4"/>
  <c r="X102" i="4"/>
  <c r="W102" i="4"/>
  <c r="E103" i="4" l="1"/>
  <c r="Y102" i="4"/>
  <c r="Z102" i="4"/>
  <c r="G103" i="4" l="1"/>
  <c r="F103" i="4"/>
  <c r="V103" i="4"/>
  <c r="H103" i="4" l="1"/>
  <c r="I103" i="4"/>
  <c r="X103" i="4"/>
  <c r="W103" i="4"/>
  <c r="E104" i="4" l="1"/>
  <c r="Y103" i="4"/>
  <c r="Z103" i="4"/>
  <c r="G104" i="4" l="1"/>
  <c r="F104" i="4"/>
  <c r="V104" i="4"/>
  <c r="H104" i="4" l="1"/>
  <c r="I104" i="4"/>
  <c r="X104" i="4"/>
  <c r="W104" i="4"/>
  <c r="E105" i="4" l="1"/>
  <c r="Y104" i="4"/>
  <c r="Z104" i="4"/>
  <c r="G105" i="4" l="1"/>
  <c r="F105" i="4"/>
  <c r="V105" i="4"/>
  <c r="H105" i="4" l="1"/>
  <c r="I105" i="4"/>
  <c r="X105" i="4"/>
  <c r="W105" i="4"/>
  <c r="E106" i="4" l="1"/>
  <c r="Y105" i="4"/>
  <c r="Z105" i="4"/>
  <c r="G106" i="4" l="1"/>
  <c r="F106" i="4"/>
  <c r="V106" i="4"/>
  <c r="H106" i="4" l="1"/>
  <c r="I106" i="4"/>
  <c r="X106" i="4"/>
  <c r="W106" i="4"/>
  <c r="E107" i="4" l="1"/>
  <c r="Y106" i="4"/>
  <c r="Z106" i="4"/>
  <c r="G107" i="4" l="1"/>
  <c r="F107" i="4"/>
  <c r="V107" i="4"/>
  <c r="H107" i="4" l="1"/>
  <c r="I107" i="4"/>
  <c r="X107" i="4"/>
  <c r="W107" i="4"/>
  <c r="E108" i="4" l="1"/>
  <c r="Y107" i="4"/>
  <c r="Z107" i="4"/>
  <c r="G108" i="4" l="1"/>
  <c r="F108" i="4"/>
  <c r="V108" i="4"/>
  <c r="H108" i="4" l="1"/>
  <c r="I108" i="4"/>
  <c r="X108" i="4"/>
  <c r="W108" i="4"/>
  <c r="E109" i="4" l="1"/>
  <c r="Y108" i="4"/>
  <c r="Z108" i="4"/>
  <c r="G109" i="4" l="1"/>
  <c r="F109" i="4"/>
  <c r="V109" i="4"/>
  <c r="H109" i="4" l="1"/>
  <c r="I109" i="4"/>
  <c r="X109" i="4"/>
  <c r="W109" i="4"/>
  <c r="E110" i="4" l="1"/>
  <c r="Y109" i="4"/>
  <c r="Z109" i="4"/>
  <c r="G110" i="4" l="1"/>
  <c r="F110" i="4"/>
  <c r="V110" i="4"/>
  <c r="H110" i="4" l="1"/>
  <c r="I110" i="4"/>
  <c r="X110" i="4"/>
  <c r="W110" i="4"/>
  <c r="E111" i="4" l="1"/>
  <c r="Y110" i="4"/>
  <c r="Z110" i="4"/>
  <c r="G111" i="4" l="1"/>
  <c r="F111" i="4"/>
  <c r="V111" i="4"/>
  <c r="H111" i="4" l="1"/>
  <c r="I111" i="4"/>
  <c r="X111" i="4"/>
  <c r="W111" i="4"/>
  <c r="E112" i="4" l="1"/>
  <c r="Y111" i="4"/>
  <c r="Z111" i="4"/>
  <c r="G112" i="4" l="1"/>
  <c r="F112" i="4"/>
  <c r="V112" i="4"/>
  <c r="H112" i="4" l="1"/>
  <c r="I112" i="4"/>
  <c r="X112" i="4"/>
  <c r="W112" i="4"/>
  <c r="E113" i="4" l="1"/>
  <c r="Y112" i="4"/>
  <c r="Z112" i="4"/>
  <c r="G113" i="4" l="1"/>
  <c r="F113" i="4"/>
  <c r="V113" i="4"/>
  <c r="H113" i="4" l="1"/>
  <c r="I113" i="4"/>
  <c r="X113" i="4"/>
  <c r="W113" i="4"/>
  <c r="E114" i="4" l="1"/>
  <c r="Y113" i="4"/>
  <c r="Z113" i="4"/>
  <c r="G114" i="4" l="1"/>
  <c r="F114" i="4"/>
  <c r="AE6" i="4"/>
  <c r="V114" i="4"/>
  <c r="H114" i="4" l="1"/>
  <c r="I114" i="4"/>
  <c r="X114" i="4"/>
  <c r="W114" i="4"/>
  <c r="E115" i="4" l="1"/>
  <c r="Y114" i="4"/>
  <c r="Z114" i="4"/>
  <c r="G115" i="4" l="1"/>
  <c r="F115" i="4"/>
  <c r="V115" i="4"/>
  <c r="H115" i="4" l="1"/>
  <c r="I115" i="4"/>
  <c r="X115" i="4"/>
  <c r="W115" i="4"/>
  <c r="E116" i="4" l="1"/>
  <c r="Y115" i="4"/>
  <c r="Z115" i="4"/>
  <c r="G116" i="4" l="1"/>
  <c r="F116" i="4"/>
  <c r="V116" i="4"/>
  <c r="H116" i="4" l="1"/>
  <c r="I116" i="4"/>
  <c r="X116" i="4"/>
  <c r="W116" i="4"/>
  <c r="E117" i="4" l="1"/>
  <c r="Y116" i="4"/>
  <c r="Z116" i="4"/>
  <c r="G117" i="4" l="1"/>
  <c r="F117" i="4"/>
  <c r="V117" i="4"/>
  <c r="H117" i="4" l="1"/>
  <c r="I117" i="4"/>
  <c r="X117" i="4"/>
  <c r="W117" i="4"/>
  <c r="E118" i="4" l="1"/>
  <c r="Y117" i="4"/>
  <c r="Z117" i="4"/>
  <c r="G118" i="4" l="1"/>
  <c r="F118" i="4"/>
  <c r="V118" i="4"/>
  <c r="H118" i="4" l="1"/>
  <c r="I118" i="4"/>
  <c r="X118" i="4"/>
  <c r="W118" i="4"/>
  <c r="E119" i="4" l="1"/>
  <c r="Y118" i="4"/>
  <c r="Z118" i="4"/>
  <c r="G119" i="4" l="1"/>
  <c r="F119" i="4"/>
  <c r="V119" i="4"/>
  <c r="H119" i="4" l="1"/>
  <c r="I119" i="4"/>
  <c r="X119" i="4"/>
  <c r="W119" i="4"/>
  <c r="E120" i="4" l="1"/>
  <c r="Y119" i="4"/>
  <c r="Z119" i="4"/>
  <c r="G120" i="4" l="1"/>
  <c r="F120" i="4"/>
  <c r="V120" i="4"/>
  <c r="H120" i="4" l="1"/>
  <c r="I120" i="4"/>
  <c r="X120" i="4"/>
  <c r="W120" i="4"/>
  <c r="E121" i="4" l="1"/>
  <c r="Y120" i="4"/>
  <c r="Z120" i="4"/>
  <c r="G121" i="4" l="1"/>
  <c r="F121" i="4"/>
  <c r="V121" i="4"/>
  <c r="H121" i="4" l="1"/>
  <c r="I121" i="4"/>
  <c r="X121" i="4"/>
  <c r="W121" i="4"/>
  <c r="E122" i="4" l="1"/>
  <c r="Y121" i="4"/>
  <c r="Z121" i="4"/>
  <c r="G122" i="4" l="1"/>
  <c r="F122" i="4"/>
  <c r="V122" i="4"/>
  <c r="H122" i="4" l="1"/>
  <c r="I122" i="4"/>
  <c r="X122" i="4"/>
  <c r="W122" i="4"/>
  <c r="E123" i="4" l="1"/>
  <c r="Y122" i="4"/>
  <c r="Z122" i="4"/>
  <c r="G123" i="4" l="1"/>
  <c r="F123" i="4"/>
  <c r="V123" i="4"/>
  <c r="H123" i="4" l="1"/>
  <c r="I123" i="4"/>
  <c r="X123" i="4"/>
  <c r="W123" i="4"/>
  <c r="E124" i="4" l="1"/>
  <c r="Y123" i="4"/>
  <c r="Z123" i="4"/>
  <c r="G124" i="4" l="1"/>
  <c r="F124" i="4"/>
  <c r="V124" i="4"/>
  <c r="H124" i="4" l="1"/>
  <c r="I124" i="4"/>
  <c r="X124" i="4"/>
  <c r="W124" i="4"/>
  <c r="E125" i="4" l="1"/>
  <c r="Y124" i="4"/>
  <c r="Z124" i="4"/>
  <c r="G125" i="4" l="1"/>
  <c r="F125" i="4"/>
  <c r="V125" i="4"/>
  <c r="H125" i="4" l="1"/>
  <c r="I125" i="4"/>
  <c r="X125" i="4"/>
  <c r="W125" i="4"/>
  <c r="E126" i="4" l="1"/>
  <c r="Y125" i="4"/>
  <c r="Z125" i="4"/>
  <c r="G126" i="4" l="1"/>
  <c r="F126" i="4"/>
  <c r="AF6" i="4"/>
  <c r="V126" i="4"/>
  <c r="H126" i="4" l="1"/>
  <c r="I126" i="4"/>
  <c r="X126" i="4"/>
  <c r="W126" i="4"/>
  <c r="E127" i="4" l="1"/>
  <c r="Y126" i="4"/>
  <c r="Z126" i="4"/>
  <c r="G127" i="4" l="1"/>
  <c r="F127" i="4"/>
  <c r="V127" i="4"/>
  <c r="H127" i="4" l="1"/>
  <c r="I127" i="4"/>
  <c r="X127" i="4"/>
  <c r="W127" i="4"/>
  <c r="E128" i="4" l="1"/>
  <c r="Y127" i="4"/>
  <c r="Z127" i="4"/>
  <c r="G128" i="4" l="1"/>
  <c r="F128" i="4"/>
  <c r="V128" i="4"/>
  <c r="H128" i="4" l="1"/>
  <c r="I128" i="4"/>
  <c r="X128" i="4"/>
  <c r="W128" i="4"/>
  <c r="E129" i="4" l="1"/>
  <c r="Y128" i="4"/>
  <c r="Z128" i="4"/>
  <c r="G129" i="4" l="1"/>
  <c r="F129" i="4"/>
  <c r="V129" i="4"/>
  <c r="H129" i="4" l="1"/>
  <c r="I129" i="4"/>
  <c r="X129" i="4"/>
  <c r="W129" i="4"/>
  <c r="E130" i="4" l="1"/>
  <c r="Y129" i="4"/>
  <c r="Z129" i="4"/>
  <c r="G130" i="4" l="1"/>
  <c r="F130" i="4"/>
  <c r="V130" i="4"/>
  <c r="H130" i="4" l="1"/>
  <c r="I130" i="4"/>
  <c r="X130" i="4"/>
  <c r="W130" i="4"/>
  <c r="E131" i="4" l="1"/>
  <c r="Y130" i="4"/>
  <c r="Z130" i="4"/>
  <c r="G131" i="4" l="1"/>
  <c r="F131" i="4"/>
  <c r="V131" i="4"/>
  <c r="H131" i="4" l="1"/>
  <c r="I131" i="4"/>
  <c r="X131" i="4"/>
  <c r="W131" i="4"/>
  <c r="E132" i="4" l="1"/>
  <c r="Y131" i="4"/>
  <c r="Z131" i="4"/>
  <c r="G132" i="4" l="1"/>
  <c r="F132" i="4"/>
  <c r="V132" i="4"/>
  <c r="H132" i="4" l="1"/>
  <c r="I132" i="4"/>
  <c r="X132" i="4"/>
  <c r="W132" i="4"/>
  <c r="E133" i="4" l="1"/>
  <c r="Y132" i="4"/>
  <c r="Z132" i="4"/>
  <c r="G133" i="4" l="1"/>
  <c r="F133" i="4"/>
  <c r="V133" i="4"/>
  <c r="H133" i="4" l="1"/>
  <c r="I133" i="4"/>
  <c r="X133" i="4"/>
  <c r="W133" i="4"/>
  <c r="E134" i="4" l="1"/>
  <c r="Y133" i="4"/>
  <c r="Z133" i="4"/>
  <c r="G134" i="4" l="1"/>
  <c r="F134" i="4"/>
  <c r="V134" i="4"/>
  <c r="H134" i="4" l="1"/>
  <c r="I134" i="4"/>
  <c r="X134" i="4"/>
  <c r="W134" i="4"/>
  <c r="E135" i="4" l="1"/>
  <c r="Y134" i="4"/>
  <c r="Z134" i="4"/>
  <c r="G135" i="4" l="1"/>
  <c r="F135" i="4"/>
  <c r="V135" i="4"/>
  <c r="H135" i="4" l="1"/>
  <c r="I135" i="4"/>
  <c r="X135" i="4"/>
  <c r="W135" i="4"/>
  <c r="E136" i="4" l="1"/>
  <c r="Y135" i="4"/>
  <c r="Z135" i="4"/>
  <c r="G136" i="4" l="1"/>
  <c r="F136" i="4"/>
  <c r="V136" i="4"/>
  <c r="H136" i="4" l="1"/>
  <c r="I136" i="4"/>
  <c r="X136" i="4"/>
  <c r="W136" i="4"/>
  <c r="E137" i="4" l="1"/>
  <c r="Y136" i="4"/>
  <c r="Z136" i="4"/>
  <c r="G5" i="4" l="1"/>
  <c r="M126" i="1" s="1"/>
  <c r="G137" i="4"/>
  <c r="F137" i="4"/>
  <c r="J5" i="4"/>
  <c r="K5" i="4"/>
  <c r="L5" i="4"/>
  <c r="M5" i="4"/>
  <c r="N5" i="4"/>
  <c r="O5" i="4"/>
  <c r="P5" i="4"/>
  <c r="V137" i="4"/>
  <c r="G4" i="4" l="1"/>
  <c r="M127" i="1" s="1"/>
  <c r="M129" i="1" s="1"/>
  <c r="H137" i="4"/>
  <c r="J4" i="4"/>
  <c r="K4" i="4"/>
  <c r="L4" i="4"/>
  <c r="M4" i="4"/>
  <c r="N4" i="4"/>
  <c r="O4" i="4"/>
  <c r="P4" i="4"/>
  <c r="I137" i="4"/>
  <c r="X137" i="4"/>
  <c r="X5" i="4"/>
  <c r="M132" i="1" s="1"/>
  <c r="W137" i="4"/>
  <c r="Y5" i="4"/>
  <c r="Z5" i="4"/>
  <c r="AA5" i="4"/>
  <c r="P132" i="1" s="1"/>
  <c r="AB5" i="4"/>
  <c r="AC5" i="4"/>
  <c r="AD5" i="4"/>
  <c r="AE5" i="4"/>
  <c r="AF5" i="4"/>
  <c r="AG5" i="4"/>
  <c r="M128" i="1" l="1"/>
  <c r="O6" i="4"/>
  <c r="I6" i="4"/>
  <c r="K6" i="4"/>
  <c r="L6" i="4"/>
  <c r="M6" i="4"/>
  <c r="G6" i="4"/>
  <c r="J6" i="4"/>
  <c r="H6" i="4"/>
  <c r="N6" i="4"/>
  <c r="P6" i="4"/>
  <c r="J129" i="1"/>
  <c r="J141" i="1" s="1"/>
  <c r="N125" i="1"/>
  <c r="N130" i="1"/>
  <c r="M138" i="1"/>
  <c r="Y137" i="4"/>
  <c r="X4" i="4"/>
  <c r="M133" i="1" s="1"/>
  <c r="Y4" i="4"/>
  <c r="Z4" i="4"/>
  <c r="AA4" i="4"/>
  <c r="P133" i="1" s="1"/>
  <c r="P135" i="1" s="1"/>
  <c r="Q131" i="1" s="1"/>
  <c r="AB4" i="4"/>
  <c r="AC4" i="4"/>
  <c r="AD4" i="4"/>
  <c r="AE4" i="4"/>
  <c r="AF4" i="4"/>
  <c r="AG4" i="4"/>
  <c r="Z137" i="4"/>
  <c r="AG6" i="4" s="1"/>
  <c r="Q133" i="1" l="1"/>
  <c r="Q135" i="1" s="1"/>
  <c r="R131" i="1" s="1"/>
  <c r="Q132" i="1"/>
  <c r="P134" i="1"/>
  <c r="N126" i="1"/>
  <c r="N127" i="1"/>
  <c r="N139" i="1" s="1"/>
  <c r="N137" i="1"/>
  <c r="M135" i="1"/>
  <c r="M141" i="1" s="1"/>
  <c r="M139" i="1"/>
  <c r="M134" i="1"/>
  <c r="M140" i="1" s="1"/>
  <c r="Q134" i="1" l="1"/>
  <c r="R132" i="1"/>
  <c r="R133" i="1"/>
  <c r="R135" i="1" s="1"/>
  <c r="N129" i="1"/>
  <c r="N128" i="1"/>
  <c r="N140" i="1" s="1"/>
  <c r="N138" i="1"/>
  <c r="N53" i="1"/>
  <c r="N48" i="1" s="1"/>
  <c r="R134" i="1" l="1"/>
  <c r="O125" i="1"/>
  <c r="N141" i="1"/>
  <c r="O130" i="1"/>
  <c r="N57" i="1"/>
  <c r="N72" i="1" s="1"/>
  <c r="N105" i="1"/>
  <c r="N106" i="1"/>
  <c r="P53" i="1"/>
  <c r="P48" i="1" s="1"/>
  <c r="N60" i="1"/>
  <c r="N59" i="1"/>
  <c r="N58" i="1"/>
  <c r="N61" i="1" l="1"/>
  <c r="N68" i="1" s="1"/>
  <c r="O126" i="1"/>
  <c r="O127" i="1"/>
  <c r="O139" i="1" s="1"/>
  <c r="O137" i="1"/>
  <c r="P58" i="1"/>
  <c r="P106" i="1"/>
  <c r="P57" i="1"/>
  <c r="P60" i="1"/>
  <c r="P59" i="1"/>
  <c r="Q53" i="1"/>
  <c r="Q48" i="1" s="1"/>
  <c r="P105" i="1"/>
  <c r="N73" i="1" l="1"/>
  <c r="N111" i="1" s="1"/>
  <c r="N62" i="1"/>
  <c r="O129" i="1"/>
  <c r="O128" i="1"/>
  <c r="O140" i="1" s="1"/>
  <c r="O138" i="1"/>
  <c r="P125" i="1"/>
  <c r="O141" i="1"/>
  <c r="O156" i="1" s="1"/>
  <c r="O159" i="1" s="1"/>
  <c r="P130" i="1"/>
  <c r="P72" i="1"/>
  <c r="P61" i="1"/>
  <c r="Q60" i="1"/>
  <c r="Q106" i="1"/>
  <c r="Q57" i="1"/>
  <c r="Q72" i="1" s="1"/>
  <c r="Q59" i="1"/>
  <c r="Q58" i="1"/>
  <c r="N84" i="1"/>
  <c r="N88" i="1" s="1"/>
  <c r="N89" i="1" s="1"/>
  <c r="N71" i="1"/>
  <c r="N69" i="1"/>
  <c r="N70" i="1"/>
  <c r="R53" i="1"/>
  <c r="R48" i="1" s="1"/>
  <c r="Q105" i="1"/>
  <c r="Q55" i="1"/>
  <c r="J14" i="1" l="1"/>
  <c r="N94" i="1"/>
  <c r="N120" i="1" s="1"/>
  <c r="N142" i="1" s="1"/>
  <c r="N150" i="1" s="1"/>
  <c r="N99" i="1"/>
  <c r="P126" i="1"/>
  <c r="P127" i="1"/>
  <c r="P139" i="1" s="1"/>
  <c r="P137" i="1"/>
  <c r="R60" i="1"/>
  <c r="R58" i="1"/>
  <c r="R106" i="1"/>
  <c r="R57" i="1"/>
  <c r="R59" i="1"/>
  <c r="Q61" i="1"/>
  <c r="P62" i="1"/>
  <c r="P68" i="1"/>
  <c r="P73" i="1"/>
  <c r="P111" i="1" s="1"/>
  <c r="N91" i="1"/>
  <c r="N90" i="1"/>
  <c r="S53" i="1"/>
  <c r="S48" i="1" s="1"/>
  <c r="R55" i="1"/>
  <c r="R105" i="1"/>
  <c r="N143" i="1" l="1"/>
  <c r="N97" i="1"/>
  <c r="N98" i="1"/>
  <c r="N145" i="1"/>
  <c r="N96" i="1"/>
  <c r="N144" i="1" s="1"/>
  <c r="P129" i="1"/>
  <c r="Q130" i="1" s="1"/>
  <c r="P128" i="1"/>
  <c r="P140" i="1" s="1"/>
  <c r="P138" i="1"/>
  <c r="R72" i="1"/>
  <c r="R61" i="1"/>
  <c r="Q68" i="1"/>
  <c r="Q62" i="1"/>
  <c r="Q73" i="1"/>
  <c r="Q111" i="1" s="1"/>
  <c r="S59" i="1"/>
  <c r="S60" i="1"/>
  <c r="S58" i="1"/>
  <c r="S106" i="1"/>
  <c r="S57" i="1"/>
  <c r="P70" i="1"/>
  <c r="P69" i="1"/>
  <c r="P84" i="1"/>
  <c r="P71" i="1"/>
  <c r="N151" i="1"/>
  <c r="N152" i="1" s="1"/>
  <c r="T53" i="1"/>
  <c r="T48" i="1" s="1"/>
  <c r="S55" i="1"/>
  <c r="S105" i="1"/>
  <c r="Q125" i="1" l="1"/>
  <c r="P141" i="1"/>
  <c r="Q127" i="1"/>
  <c r="Q139" i="1" s="1"/>
  <c r="Q126" i="1"/>
  <c r="Q129" i="1"/>
  <c r="R125" i="1" s="1"/>
  <c r="Q137" i="1"/>
  <c r="Q69" i="1"/>
  <c r="Q71" i="1"/>
  <c r="Q84" i="1"/>
  <c r="Q70" i="1"/>
  <c r="Q74" i="1"/>
  <c r="S72" i="1"/>
  <c r="S61" i="1"/>
  <c r="R68" i="1"/>
  <c r="R62" i="1"/>
  <c r="R73" i="1"/>
  <c r="R111" i="1" s="1"/>
  <c r="T60" i="1"/>
  <c r="T58" i="1"/>
  <c r="T106" i="1"/>
  <c r="T59" i="1"/>
  <c r="T57" i="1"/>
  <c r="U53" i="1"/>
  <c r="U48" i="1" s="1"/>
  <c r="T55" i="1"/>
  <c r="T105" i="1"/>
  <c r="N216" i="1"/>
  <c r="R127" i="1" l="1"/>
  <c r="R139" i="1" s="1"/>
  <c r="R126" i="1"/>
  <c r="R137" i="1"/>
  <c r="Q128" i="1"/>
  <c r="Q140" i="1" s="1"/>
  <c r="Q138" i="1"/>
  <c r="R130" i="1"/>
  <c r="Q141" i="1"/>
  <c r="Q156" i="1" s="1"/>
  <c r="U58" i="1"/>
  <c r="U106" i="1"/>
  <c r="U59" i="1"/>
  <c r="U60" i="1"/>
  <c r="U57" i="1"/>
  <c r="R69" i="1"/>
  <c r="R71" i="1"/>
  <c r="R70" i="1"/>
  <c r="R74" i="1"/>
  <c r="R84" i="1"/>
  <c r="R88" i="1" s="1"/>
  <c r="T72" i="1"/>
  <c r="T61" i="1"/>
  <c r="S73" i="1"/>
  <c r="S111" i="1" s="1"/>
  <c r="S68" i="1"/>
  <c r="S62" i="1"/>
  <c r="V53" i="1"/>
  <c r="V48" i="1" s="1"/>
  <c r="U55" i="1"/>
  <c r="U105" i="1"/>
  <c r="R129" i="1" l="1"/>
  <c r="S130" i="1" s="1"/>
  <c r="R128" i="1"/>
  <c r="R140" i="1" s="1"/>
  <c r="R142" i="1" s="1"/>
  <c r="R150" i="1" s="1"/>
  <c r="R138" i="1"/>
  <c r="R141" i="1"/>
  <c r="T62" i="1"/>
  <c r="T68" i="1"/>
  <c r="T73" i="1"/>
  <c r="T111" i="1" s="1"/>
  <c r="V106" i="1"/>
  <c r="V57" i="1"/>
  <c r="V60" i="1"/>
  <c r="V58" i="1"/>
  <c r="V59" i="1"/>
  <c r="R90" i="1"/>
  <c r="R91" i="1"/>
  <c r="R89" i="1"/>
  <c r="U72" i="1"/>
  <c r="U61" i="1"/>
  <c r="S74" i="1"/>
  <c r="S71" i="1"/>
  <c r="S69" i="1"/>
  <c r="S70" i="1"/>
  <c r="S84" i="1"/>
  <c r="S88" i="1" s="1"/>
  <c r="R94" i="1"/>
  <c r="V55" i="1"/>
  <c r="V105" i="1"/>
  <c r="R99" i="1" l="1"/>
  <c r="R151" i="1"/>
  <c r="R216" i="1" s="1"/>
  <c r="R144" i="1"/>
  <c r="R145" i="1"/>
  <c r="R156" i="1"/>
  <c r="R159" i="1" s="1"/>
  <c r="U68" i="1"/>
  <c r="U62" i="1"/>
  <c r="U73" i="1"/>
  <c r="U111" i="1" s="1"/>
  <c r="R96" i="1"/>
  <c r="R98" i="1"/>
  <c r="R97" i="1"/>
  <c r="R120" i="1"/>
  <c r="R143" i="1"/>
  <c r="S90" i="1"/>
  <c r="S92" i="1"/>
  <c r="S91" i="1"/>
  <c r="S89" i="1"/>
  <c r="S99" i="1"/>
  <c r="T69" i="1"/>
  <c r="T74" i="1"/>
  <c r="T70" i="1"/>
  <c r="T84" i="1"/>
  <c r="T88" i="1" s="1"/>
  <c r="T94" i="1" s="1"/>
  <c r="T71" i="1"/>
  <c r="V72" i="1"/>
  <c r="V61" i="1"/>
  <c r="S94" i="1"/>
  <c r="R152" i="1" l="1"/>
  <c r="T96" i="1"/>
  <c r="T100" i="1"/>
  <c r="T98" i="1"/>
  <c r="T120" i="1"/>
  <c r="T143" i="1"/>
  <c r="T97" i="1"/>
  <c r="T90" i="1"/>
  <c r="T92" i="1"/>
  <c r="T91" i="1"/>
  <c r="T99" i="1"/>
  <c r="T89" i="1"/>
  <c r="V68" i="1"/>
  <c r="V62" i="1"/>
  <c r="V73" i="1"/>
  <c r="V111" i="1" s="1"/>
  <c r="S98" i="1"/>
  <c r="S120" i="1"/>
  <c r="S96" i="1"/>
  <c r="S97" i="1"/>
  <c r="S100" i="1"/>
  <c r="S143" i="1"/>
  <c r="U94" i="1"/>
  <c r="U70" i="1"/>
  <c r="U69" i="1"/>
  <c r="U71" i="1"/>
  <c r="U84" i="1"/>
  <c r="U88" i="1" s="1"/>
  <c r="U74" i="1"/>
  <c r="U120" i="1" l="1"/>
  <c r="U98" i="1"/>
  <c r="U97" i="1"/>
  <c r="U96" i="1"/>
  <c r="U143" i="1"/>
  <c r="U100" i="1"/>
  <c r="U90" i="1"/>
  <c r="U92" i="1"/>
  <c r="U91" i="1"/>
  <c r="U89" i="1"/>
  <c r="U99" i="1"/>
  <c r="V84" i="1"/>
  <c r="V88" i="1" s="1"/>
  <c r="V74" i="1"/>
  <c r="V69" i="1"/>
  <c r="V71" i="1"/>
  <c r="V70" i="1"/>
  <c r="V91" i="1" l="1"/>
  <c r="V90" i="1"/>
  <c r="V92" i="1"/>
  <c r="V89" i="1"/>
  <c r="V99" i="1"/>
  <c r="V94" i="1"/>
  <c r="V97" i="1" l="1"/>
  <c r="V98" i="1"/>
  <c r="V120" i="1"/>
  <c r="V100" i="1"/>
  <c r="V96" i="1"/>
  <c r="V143" i="1"/>
  <c r="M53" i="1" l="1"/>
  <c r="N55" i="1" s="1"/>
  <c r="AJ33" i="13"/>
  <c r="M55" i="1" l="1"/>
  <c r="F33" i="13"/>
  <c r="A33" i="13"/>
  <c r="AK32" i="13"/>
  <c r="M105" i="1"/>
  <c r="M48" i="1"/>
  <c r="AI18" i="13" l="1"/>
  <c r="AJ18" i="13" s="1"/>
  <c r="M57" i="1"/>
  <c r="M59" i="1"/>
  <c r="L59" i="1" s="1"/>
  <c r="K66" i="1"/>
  <c r="K56" i="1"/>
  <c r="M58" i="1"/>
  <c r="L58" i="1" s="1"/>
  <c r="K48" i="1"/>
  <c r="M60" i="1"/>
  <c r="L60" i="1" s="1"/>
  <c r="L48" i="1"/>
  <c r="K64" i="1"/>
  <c r="K65" i="1"/>
  <c r="AI19" i="13" l="1"/>
  <c r="AJ19" i="13" s="1"/>
  <c r="AK18" i="13" s="1"/>
  <c r="M106" i="1"/>
  <c r="M72" i="1"/>
  <c r="L57" i="1"/>
  <c r="M61" i="1"/>
  <c r="K61" i="1"/>
  <c r="F18" i="13"/>
  <c r="A18" i="13"/>
  <c r="M68" i="1" l="1"/>
  <c r="L61" i="1"/>
  <c r="L62" i="1"/>
  <c r="M73" i="1"/>
  <c r="F19" i="13"/>
  <c r="A19" i="13"/>
  <c r="M111" i="1" l="1"/>
  <c r="K82" i="1"/>
  <c r="K80" i="1"/>
  <c r="K68" i="1"/>
  <c r="M71" i="1"/>
  <c r="N74" i="1"/>
  <c r="L68" i="1"/>
  <c r="K79" i="1"/>
  <c r="K87" i="1"/>
  <c r="K85" i="1"/>
  <c r="K81" i="1"/>
  <c r="M69" i="1"/>
  <c r="K86" i="1"/>
  <c r="K78" i="1"/>
  <c r="M70" i="1"/>
  <c r="K119" i="1"/>
  <c r="M84" i="1"/>
  <c r="M113" i="1" s="1"/>
  <c r="K83" i="1"/>
  <c r="M88" i="1" l="1"/>
  <c r="L84" i="1"/>
  <c r="AI28" i="13"/>
  <c r="AJ28" i="13" s="1"/>
  <c r="A28" i="13" l="1"/>
  <c r="AK22" i="13"/>
  <c r="F28" i="13"/>
  <c r="L88" i="1"/>
  <c r="G17" i="1"/>
  <c r="M90" i="1"/>
  <c r="M92" i="1"/>
  <c r="M91" i="1"/>
  <c r="N92" i="1"/>
  <c r="M89" i="1"/>
  <c r="K88" i="1"/>
  <c r="M99" i="1"/>
  <c r="M94" i="1"/>
  <c r="M97" i="1" l="1"/>
  <c r="M120" i="1"/>
  <c r="M145" i="1"/>
  <c r="G15" i="1"/>
  <c r="M143" i="1"/>
  <c r="L94" i="1"/>
  <c r="M96" i="1"/>
  <c r="N100" i="1"/>
  <c r="M98" i="1"/>
  <c r="S21" i="1"/>
  <c r="Q157" i="1"/>
  <c r="F17" i="1"/>
  <c r="F22" i="1"/>
  <c r="AI5" i="13"/>
  <c r="AJ5" i="13" s="1"/>
  <c r="S23" i="1" l="1"/>
  <c r="R21" i="1" s="1"/>
  <c r="K120" i="1"/>
  <c r="L120" i="1"/>
  <c r="M142" i="1"/>
  <c r="M144" i="1"/>
  <c r="F5" i="13"/>
  <c r="A5" i="13"/>
  <c r="AK4" i="13"/>
  <c r="K13" i="1"/>
  <c r="M150" i="1" l="1"/>
  <c r="R19" i="1"/>
  <c r="R22" i="1"/>
  <c r="R20" i="1"/>
  <c r="R18" i="1"/>
  <c r="S15" i="1"/>
  <c r="S16" i="1" l="1"/>
  <c r="R14" i="1" s="1"/>
  <c r="J161" i="1"/>
  <c r="R23" i="1"/>
  <c r="M151" i="1"/>
  <c r="R15" i="1" l="1"/>
  <c r="R16" i="1" s="1"/>
  <c r="M216" i="1"/>
  <c r="M152" i="1"/>
  <c r="J185" i="1"/>
  <c r="J206" i="1"/>
  <c r="M162" i="1"/>
  <c r="M191" i="1" l="1"/>
  <c r="M192" i="1" s="1"/>
  <c r="M164" i="1"/>
  <c r="M170" i="1"/>
  <c r="M173" i="1" s="1"/>
  <c r="M165" i="1"/>
  <c r="M171" i="1" l="1"/>
  <c r="M174" i="1" s="1"/>
  <c r="J72" i="1"/>
  <c r="J61" i="1"/>
  <c r="M194" i="1"/>
  <c r="M212" i="1" s="1"/>
  <c r="N162" i="1"/>
  <c r="M193" i="1"/>
  <c r="M172" i="1" l="1"/>
  <c r="M180" i="1" s="1"/>
  <c r="M219" i="1"/>
  <c r="M221" i="1" s="1"/>
  <c r="M222" i="1" s="1"/>
  <c r="M220" i="1"/>
  <c r="N170" i="1"/>
  <c r="M201" i="1"/>
  <c r="N191" i="1" s="1"/>
  <c r="M195" i="1"/>
  <c r="M175" i="1"/>
  <c r="M182" i="1"/>
  <c r="M185" i="1" s="1"/>
  <c r="M186" i="1" s="1"/>
  <c r="J73" i="1"/>
  <c r="I62" i="1"/>
  <c r="I61" i="1"/>
  <c r="J68" i="1"/>
  <c r="N164" i="1"/>
  <c r="N165" i="1"/>
  <c r="M196" i="1" l="1"/>
  <c r="M203" i="1"/>
  <c r="M206" i="1" s="1"/>
  <c r="O162" i="1"/>
  <c r="O163" i="1" s="1"/>
  <c r="J94" i="1"/>
  <c r="I3" i="1" s="1"/>
  <c r="J89" i="1"/>
  <c r="I68" i="1"/>
  <c r="J70" i="1"/>
  <c r="H84" i="1"/>
  <c r="H78" i="1"/>
  <c r="H119" i="1"/>
  <c r="H79" i="1"/>
  <c r="H82" i="1"/>
  <c r="H83" i="1"/>
  <c r="J99" i="1"/>
  <c r="H86" i="1"/>
  <c r="H80" i="1"/>
  <c r="H81" i="1"/>
  <c r="J71" i="1"/>
  <c r="H85" i="1"/>
  <c r="H88" i="1"/>
  <c r="J69" i="1"/>
  <c r="H87" i="1"/>
  <c r="H68" i="1"/>
  <c r="M74" i="1"/>
  <c r="N173" i="1"/>
  <c r="N194" i="1" s="1"/>
  <c r="N212" i="1" s="1"/>
  <c r="N171" i="1"/>
  <c r="N172" i="1" s="1"/>
  <c r="N180" i="1" s="1"/>
  <c r="N201" i="1" s="1"/>
  <c r="N192" i="1"/>
  <c r="N193" i="1" s="1"/>
  <c r="N219" i="1" l="1"/>
  <c r="N221" i="1" s="1"/>
  <c r="N222" i="1" s="1"/>
  <c r="N220" i="1"/>
  <c r="O164" i="1"/>
  <c r="O165" i="1"/>
  <c r="K23" i="1" s="1"/>
  <c r="O170" i="1"/>
  <c r="O191" i="1"/>
  <c r="N195" i="1"/>
  <c r="N174" i="1"/>
  <c r="I94" i="1"/>
  <c r="J120" i="1"/>
  <c r="J145" i="1"/>
  <c r="J96" i="1"/>
  <c r="J144" i="1" s="1"/>
  <c r="J98" i="1"/>
  <c r="J97" i="1"/>
  <c r="J143" i="1"/>
  <c r="M100" i="1"/>
  <c r="J142" i="1" l="1"/>
  <c r="H120" i="1"/>
  <c r="I120" i="1"/>
  <c r="I13" i="1"/>
  <c r="P162" i="1"/>
  <c r="N175" i="1"/>
  <c r="N182" i="1"/>
  <c r="N185" i="1" s="1"/>
  <c r="N186" i="1" s="1"/>
  <c r="N203" i="1"/>
  <c r="N206" i="1" s="1"/>
  <c r="N196" i="1"/>
  <c r="P164" i="1" l="1"/>
  <c r="P165" i="1"/>
  <c r="Q162" i="1" l="1"/>
  <c r="O53" i="1" l="1"/>
  <c r="O48" i="1" s="1"/>
  <c r="O57" i="1" s="1"/>
  <c r="P88" i="1"/>
  <c r="P99" i="1" s="1"/>
  <c r="Q88" i="1"/>
  <c r="Q94" i="1" s="1"/>
  <c r="O55" i="1"/>
  <c r="O105" i="1"/>
  <c r="V43" i="1"/>
  <c r="V44" i="1" s="1"/>
  <c r="P55" i="1" l="1"/>
  <c r="O106" i="1"/>
  <c r="P91" i="1"/>
  <c r="P90" i="1"/>
  <c r="Q90" i="1"/>
  <c r="Q91" i="1"/>
  <c r="Q99" i="1"/>
  <c r="Q89" i="1"/>
  <c r="Q92" i="1"/>
  <c r="R92" i="1"/>
  <c r="O72" i="1"/>
  <c r="Q97" i="1"/>
  <c r="Q98" i="1"/>
  <c r="Q145" i="1"/>
  <c r="R100" i="1"/>
  <c r="Q96" i="1"/>
  <c r="Q120" i="1"/>
  <c r="Q142" i="1" s="1"/>
  <c r="Q150" i="1" s="1"/>
  <c r="Q151" i="1" s="1"/>
  <c r="Q152" i="1" s="1"/>
  <c r="Q143" i="1"/>
  <c r="Q154" i="1"/>
  <c r="Q158" i="1" s="1"/>
  <c r="Q218" i="1" s="1"/>
  <c r="I218" i="1" s="1"/>
  <c r="P94" i="1"/>
  <c r="Q100" i="1" s="1"/>
  <c r="P89" i="1"/>
  <c r="O60" i="1"/>
  <c r="T43" i="1"/>
  <c r="O59" i="1"/>
  <c r="O58" i="1"/>
  <c r="O61" i="1" l="1"/>
  <c r="Q155" i="1"/>
  <c r="F21" i="1" s="1"/>
  <c r="N12" i="1"/>
  <c r="O62" i="1"/>
  <c r="O68" i="1"/>
  <c r="O73" i="1"/>
  <c r="O111" i="1" s="1"/>
  <c r="P98" i="1"/>
  <c r="P143" i="1"/>
  <c r="I23" i="1" s="1"/>
  <c r="P96" i="1"/>
  <c r="P144" i="1" s="1"/>
  <c r="P97" i="1"/>
  <c r="P145" i="1"/>
  <c r="P120" i="1"/>
  <c r="P142" i="1" s="1"/>
  <c r="P150" i="1" s="1"/>
  <c r="Q144" i="1"/>
  <c r="A20" i="1"/>
  <c r="T44" i="1"/>
  <c r="U43" i="1"/>
  <c r="Q216" i="1"/>
  <c r="Q159" i="1" l="1"/>
  <c r="F20" i="1"/>
  <c r="O69" i="1"/>
  <c r="O74" i="1"/>
  <c r="O70" i="1"/>
  <c r="P74" i="1"/>
  <c r="O71" i="1"/>
  <c r="O84" i="1"/>
  <c r="O88" i="1" s="1"/>
  <c r="O94" i="1" s="1"/>
  <c r="P151" i="1"/>
  <c r="P216" i="1" s="1"/>
  <c r="Q163" i="1"/>
  <c r="P152" i="1" l="1"/>
  <c r="O145" i="1"/>
  <c r="O120" i="1"/>
  <c r="O142" i="1" s="1"/>
  <c r="O143" i="1"/>
  <c r="S10" i="1" s="1"/>
  <c r="O98" i="1"/>
  <c r="O100" i="1"/>
  <c r="O96" i="1"/>
  <c r="O144" i="1" s="1"/>
  <c r="O97" i="1"/>
  <c r="P100" i="1"/>
  <c r="O92" i="1"/>
  <c r="O89" i="1"/>
  <c r="O90" i="1"/>
  <c r="P92" i="1"/>
  <c r="O99" i="1"/>
  <c r="O91" i="1"/>
  <c r="Q165" i="1"/>
  <c r="Q164" i="1"/>
  <c r="S11" i="1" l="1"/>
  <c r="O150" i="1"/>
  <c r="O151" i="1" s="1"/>
  <c r="R162" i="1"/>
  <c r="R163" i="1" l="1"/>
  <c r="R164" i="1" s="1"/>
  <c r="O152" i="1"/>
  <c r="O216" i="1"/>
  <c r="I216" i="1" s="1"/>
  <c r="R165" i="1" l="1"/>
  <c r="N10" i="1"/>
  <c r="O171" i="1"/>
  <c r="O192" i="1"/>
  <c r="O173" i="1"/>
  <c r="S162" i="1"/>
  <c r="O193" i="1" l="1"/>
  <c r="O194" i="1"/>
  <c r="O212" i="1" s="1"/>
  <c r="O172" i="1"/>
  <c r="O174" i="1"/>
  <c r="S175" i="1"/>
  <c r="S165" i="1"/>
  <c r="S196" i="1"/>
  <c r="S164" i="1"/>
  <c r="O180" i="1" l="1"/>
  <c r="O195" i="1"/>
  <c r="O175" i="1"/>
  <c r="S180" i="1"/>
  <c r="T162" i="1"/>
  <c r="P170" i="1" l="1"/>
  <c r="P171" i="1" s="1"/>
  <c r="P172" i="1" s="1"/>
  <c r="O179" i="1"/>
  <c r="O196" i="1"/>
  <c r="O201" i="1"/>
  <c r="T165" i="1"/>
  <c r="T164" i="1"/>
  <c r="T175" i="1"/>
  <c r="T196" i="1"/>
  <c r="S201" i="1"/>
  <c r="S182" i="1"/>
  <c r="S185" i="1" s="1"/>
  <c r="S186" i="1" s="1"/>
  <c r="P173" i="1" l="1"/>
  <c r="P194" i="1" s="1"/>
  <c r="P212" i="1" s="1"/>
  <c r="O200" i="1"/>
  <c r="O203" i="1" s="1"/>
  <c r="O206" i="1" s="1"/>
  <c r="I179" i="1"/>
  <c r="O182" i="1"/>
  <c r="O185" i="1" s="1"/>
  <c r="O186" i="1" s="1"/>
  <c r="P191" i="1"/>
  <c r="P180" i="1"/>
  <c r="P201" i="1" s="1"/>
  <c r="S203" i="1"/>
  <c r="S206" i="1" s="1"/>
  <c r="U162" i="1"/>
  <c r="T180" i="1"/>
  <c r="P174" i="1" l="1"/>
  <c r="P182" i="1" s="1"/>
  <c r="P185" i="1" s="1"/>
  <c r="P186" i="1" s="1"/>
  <c r="O213" i="1"/>
  <c r="I200" i="1"/>
  <c r="P220" i="1"/>
  <c r="P219" i="1"/>
  <c r="P221" i="1" s="1"/>
  <c r="P222" i="1" s="1"/>
  <c r="P192" i="1"/>
  <c r="Q170" i="1"/>
  <c r="U196" i="1"/>
  <c r="U164" i="1"/>
  <c r="U175" i="1"/>
  <c r="U165" i="1"/>
  <c r="T201" i="1"/>
  <c r="T182" i="1"/>
  <c r="T185" i="1" s="1"/>
  <c r="T186" i="1" s="1"/>
  <c r="P175" i="1" l="1"/>
  <c r="I213" i="1"/>
  <c r="O219" i="1"/>
  <c r="O221" i="1" s="1"/>
  <c r="O222" i="1" s="1"/>
  <c r="O220" i="1"/>
  <c r="P193" i="1"/>
  <c r="Q191" i="1" s="1"/>
  <c r="P195" i="1"/>
  <c r="Q173" i="1"/>
  <c r="Q171" i="1"/>
  <c r="Q172" i="1" s="1"/>
  <c r="T203" i="1"/>
  <c r="T206" i="1" s="1"/>
  <c r="V162" i="1"/>
  <c r="U180" i="1"/>
  <c r="Q180" i="1" l="1"/>
  <c r="R170" i="1" s="1"/>
  <c r="Q194" i="1"/>
  <c r="Q212" i="1" s="1"/>
  <c r="Q174" i="1"/>
  <c r="P203" i="1"/>
  <c r="P206" i="1" s="1"/>
  <c r="P196" i="1"/>
  <c r="Q192" i="1"/>
  <c r="Q193" i="1" s="1"/>
  <c r="V175" i="1"/>
  <c r="V165" i="1"/>
  <c r="S12" i="1" s="1"/>
  <c r="V164" i="1"/>
  <c r="V180" i="1" s="1"/>
  <c r="V196" i="1"/>
  <c r="U182" i="1"/>
  <c r="U201" i="1"/>
  <c r="R171" i="1" l="1"/>
  <c r="R173" i="1"/>
  <c r="I170" i="1"/>
  <c r="Q175" i="1"/>
  <c r="Q195" i="1"/>
  <c r="Q201" i="1"/>
  <c r="Q181" i="1"/>
  <c r="Q182" i="1" s="1"/>
  <c r="V182" i="1"/>
  <c r="V185" i="1" s="1"/>
  <c r="V186" i="1" s="1"/>
  <c r="V201" i="1"/>
  <c r="U185" i="1"/>
  <c r="U203" i="1"/>
  <c r="R191" i="1" l="1"/>
  <c r="I191" i="1" s="1"/>
  <c r="R192" i="1"/>
  <c r="R194" i="1"/>
  <c r="R212" i="1" s="1"/>
  <c r="I173" i="1"/>
  <c r="R174" i="1"/>
  <c r="I171" i="1"/>
  <c r="R172" i="1"/>
  <c r="Q185" i="1"/>
  <c r="Q186" i="1" s="1"/>
  <c r="Q202" i="1"/>
  <c r="Q196" i="1"/>
  <c r="V203" i="1"/>
  <c r="V206" i="1" s="1"/>
  <c r="U206" i="1"/>
  <c r="U186" i="1"/>
  <c r="I176" i="1" l="1"/>
  <c r="R180" i="1"/>
  <c r="I172" i="1"/>
  <c r="R193" i="1"/>
  <c r="I193" i="1" s="1"/>
  <c r="I192" i="1"/>
  <c r="R175" i="1"/>
  <c r="I175" i="1" s="1"/>
  <c r="I174" i="1"/>
  <c r="I212" i="1"/>
  <c r="R195" i="1"/>
  <c r="I194" i="1"/>
  <c r="Q214" i="1"/>
  <c r="Q219" i="1" s="1"/>
  <c r="Q203" i="1"/>
  <c r="Q220" i="1" l="1"/>
  <c r="R196" i="1"/>
  <c r="I196" i="1" s="1"/>
  <c r="O3" i="1" s="1"/>
  <c r="I195" i="1"/>
  <c r="R181" i="1"/>
  <c r="R201" i="1"/>
  <c r="I197" i="1" s="1"/>
  <c r="I180" i="1"/>
  <c r="Q206" i="1"/>
  <c r="Q221" i="1"/>
  <c r="Q222" i="1" s="1"/>
  <c r="S7" i="1" l="1"/>
  <c r="I201" i="1"/>
  <c r="R202" i="1"/>
  <c r="R203" i="1" s="1"/>
  <c r="I181" i="1"/>
  <c r="R182" i="1"/>
  <c r="R185" i="1" l="1"/>
  <c r="I182" i="1"/>
  <c r="I183" i="1"/>
  <c r="R214" i="1"/>
  <c r="I202" i="1"/>
  <c r="R206" i="1"/>
  <c r="I203" i="1"/>
  <c r="I204" i="1"/>
  <c r="Q3" i="1" s="1"/>
  <c r="I208" i="1" l="1"/>
  <c r="I207" i="1"/>
  <c r="I206" i="1"/>
  <c r="R219" i="1"/>
  <c r="I214" i="1"/>
  <c r="R220" i="1"/>
  <c r="R186" i="1"/>
  <c r="I186" i="1"/>
  <c r="I187" i="1"/>
  <c r="I185" i="1"/>
  <c r="H168" i="1" l="1"/>
  <c r="R221" i="1"/>
  <c r="R222" i="1" s="1"/>
  <c r="I219" i="1"/>
  <c r="S3" i="1"/>
  <c r="S8" i="1" s="1"/>
  <c r="G4" i="5"/>
  <c r="H189" i="1"/>
  <c r="U3" i="1"/>
  <c r="S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Craig Drummond</author>
  </authors>
  <commentList>
    <comment ref="F3" authorId="0" shapeId="0" xr:uid="{24D2BD89-9173-42D9-A8B1-9683CF9E4854}">
      <text>
        <r>
          <rPr>
            <sz val="9"/>
            <color indexed="81"/>
            <rFont val="Calibri"/>
            <family val="2"/>
            <scheme val="minor"/>
          </rPr>
          <t xml:space="preserve">This column only checks whether data has been inupt and </t>
        </r>
        <r>
          <rPr>
            <b/>
            <u/>
            <sz val="9"/>
            <color indexed="81"/>
            <rFont val="Calibri"/>
            <family val="2"/>
            <scheme val="minor"/>
          </rPr>
          <t>does not</t>
        </r>
        <r>
          <rPr>
            <b/>
            <sz val="9"/>
            <color indexed="81"/>
            <rFont val="Calibri"/>
            <family val="2"/>
            <scheme val="minor"/>
          </rPr>
          <t xml:space="preserve"> </t>
        </r>
        <r>
          <rPr>
            <sz val="9"/>
            <color indexed="81"/>
            <rFont val="Calibri"/>
            <family val="2"/>
            <scheme val="minor"/>
          </rPr>
          <t>evaluate the quality of the data.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Craig Drummond</author>
    <author>Drummond, Craig A</author>
  </authors>
  <commentList>
    <comment ref="V6" authorId="0" shapeId="0" xr:uid="{2679B62A-A1C2-4ECA-9CA5-1BFDCCAAB2FB}">
      <text>
        <r>
          <rPr>
            <sz val="9"/>
            <color indexed="81"/>
            <rFont val="Calibri"/>
            <family val="2"/>
            <scheme val="minor"/>
          </rPr>
          <t>Use this space to capture your underwriting notes.</t>
        </r>
      </text>
    </comment>
    <comment ref="J8" authorId="0" shapeId="0" xr:uid="{FE967A92-EDF3-4FC6-A840-37EE14B09D0D}">
      <text>
        <r>
          <rPr>
            <sz val="9"/>
            <color indexed="81"/>
            <rFont val="Calibri"/>
            <family val="2"/>
            <scheme val="minor"/>
          </rPr>
          <t>LTV if Acquistion Loan Amount formula (cell K7) is manually overwritten</t>
        </r>
      </text>
    </comment>
    <comment ref="I13" authorId="0" shapeId="0" xr:uid="{8A7A0177-DF51-448A-8D3F-2FCF9F0D38B1}">
      <text>
        <r>
          <rPr>
            <sz val="9"/>
            <color indexed="81"/>
            <rFont val="Calibri"/>
            <family val="2"/>
            <scheme val="minor"/>
          </rPr>
          <t>DSCR (Debt Service Coverage Ratio) with in place Income &amp; Expenses. 
Assumes full debt obligation (principal &amp; interest) regardless of interest only period</t>
        </r>
      </text>
    </comment>
    <comment ref="J14" authorId="0" shapeId="0" xr:uid="{35DBD156-9634-442D-BCE0-F91BA1971846}">
      <text>
        <r>
          <rPr>
            <b/>
            <i/>
            <sz val="9"/>
            <color indexed="81"/>
            <rFont val="Calibri"/>
            <family val="2"/>
            <scheme val="minor"/>
          </rPr>
          <t>ERROR</t>
        </r>
        <r>
          <rPr>
            <sz val="9"/>
            <color indexed="81"/>
            <rFont val="Calibri"/>
            <family val="2"/>
            <scheme val="minor"/>
          </rPr>
          <t xml:space="preserve"> = Refi proceeds are not sufficient enough to pay off the acquisition loan amount. Refer to the "DEBT" section below.</t>
        </r>
      </text>
    </comment>
    <comment ref="G16" authorId="0" shapeId="0" xr:uid="{BDE49B8F-8004-4CEC-87F9-BDFE9F4DAD87}">
      <text>
        <r>
          <rPr>
            <sz val="9"/>
            <color indexed="81"/>
            <rFont val="Calibri"/>
            <family val="2"/>
            <scheme val="minor"/>
          </rPr>
          <t xml:space="preserve">Includes all costs to close the deal, </t>
        </r>
        <r>
          <rPr>
            <b/>
            <u/>
            <sz val="9"/>
            <color indexed="81"/>
            <rFont val="Calibri"/>
            <family val="2"/>
            <scheme val="minor"/>
          </rPr>
          <t>excluding the finance fee</t>
        </r>
        <r>
          <rPr>
            <sz val="9"/>
            <color indexed="81"/>
            <rFont val="Calibri"/>
            <family val="2"/>
            <scheme val="minor"/>
          </rPr>
          <t xml:space="preserve"> (cell H10). Attorney fees, insurance/tax escrows, title fees, etc. Typically between 2% - 5%</t>
        </r>
      </text>
    </comment>
    <comment ref="J16" authorId="0" shapeId="0" xr:uid="{475D66C2-6292-4D7E-A13C-7E25FFCBF8FD}">
      <text>
        <r>
          <rPr>
            <sz val="9"/>
            <color indexed="81"/>
            <rFont val="Calibri"/>
            <family val="2"/>
            <scheme val="minor"/>
          </rPr>
          <t>LTV if Refinance Loan Amount formula (cell I13) is manually overwritten</t>
        </r>
      </text>
    </comment>
    <comment ref="O16" authorId="0" shapeId="0" xr:uid="{DE753C51-1ACC-4F29-BA35-E6FD4497F61D}">
      <text>
        <r>
          <rPr>
            <sz val="9"/>
            <color indexed="81"/>
            <rFont val="Tahoma"/>
            <family val="2"/>
          </rPr>
          <t>Assumes 2 months downtime for renovation and lease up for each unit being renovated</t>
        </r>
      </text>
    </comment>
    <comment ref="F17" authorId="0" shapeId="0" xr:uid="{1B68EB14-7AE3-4BF3-BE9E-58B15CF2FB01}">
      <text>
        <r>
          <rPr>
            <sz val="9"/>
            <color indexed="81"/>
            <rFont val="Calibri"/>
            <family val="2"/>
            <scheme val="minor"/>
          </rPr>
          <t>Months of Yr 1 expenses covered by the Operating Reserves</t>
        </r>
      </text>
    </comment>
    <comment ref="G18" authorId="0" shapeId="0" xr:uid="{09E3CC2D-4BD9-4BB8-A911-D8BEF945F03D}">
      <text>
        <r>
          <rPr>
            <sz val="9"/>
            <color indexed="81"/>
            <rFont val="Calibri"/>
            <family val="2"/>
            <scheme val="minor"/>
          </rPr>
          <t xml:space="preserve">These are funds set aside by commercial lenders to cover anticipated or unforeseen capital expenses for a property.
The specific requirements for capex reserves can vary depending on the lender.  The general Rule of thumb is $250-$300 per unit per year. </t>
        </r>
      </text>
    </comment>
    <comment ref="O20" authorId="0" shapeId="0" xr:uid="{BE382F00-DF47-4086-8C0F-128EAB7E356F}">
      <text>
        <r>
          <rPr>
            <sz val="9"/>
            <color indexed="81"/>
            <rFont val="Tahoma"/>
            <family val="2"/>
          </rPr>
          <t>Interior renovation amount is generated by the Interior Renovation strategy section below</t>
        </r>
      </text>
    </comment>
    <comment ref="G22" authorId="0" shapeId="0" xr:uid="{5DC69DE5-7CBE-42FA-A471-0D207EE44943}">
      <text>
        <r>
          <rPr>
            <sz val="9"/>
            <color indexed="81"/>
            <rFont val="Calibri"/>
            <family val="2"/>
            <scheme val="minor"/>
          </rPr>
          <t>Percent of Operating Reserves returned at Sale</t>
        </r>
        <r>
          <rPr>
            <sz val="9"/>
            <color indexed="81"/>
            <rFont val="Tahoma"/>
            <family val="2"/>
          </rPr>
          <t xml:space="preserve">
</t>
        </r>
      </text>
    </comment>
    <comment ref="F23" authorId="0" shapeId="0" xr:uid="{12748E20-9EAD-4050-A390-98DD226869BD}">
      <text>
        <r>
          <rPr>
            <sz val="9"/>
            <color indexed="81"/>
            <rFont val="Calibri"/>
            <family val="2"/>
            <scheme val="minor"/>
          </rPr>
          <t>Annual cap rate escalator</t>
        </r>
      </text>
    </comment>
    <comment ref="I26" authorId="0" shapeId="0" xr:uid="{30E18D56-EA9E-40D2-AC36-1A1D3F71AD7D}">
      <text>
        <r>
          <rPr>
            <b/>
            <sz val="9"/>
            <color indexed="81"/>
            <rFont val="Calibri"/>
            <family val="2"/>
            <scheme val="minor"/>
          </rPr>
          <t>OPTIONAL - NOT USED IN THE UW MODEL</t>
        </r>
        <r>
          <rPr>
            <sz val="9"/>
            <color indexed="81"/>
            <rFont val="Calibri"/>
            <family val="2"/>
            <scheme val="minor"/>
          </rPr>
          <t xml:space="preserve">
In place rents are the actual rents currently being collected for each unit type.
This data is used as a reference to understand loss-to-lease based on the rent roll and is a helpful indicator of current asset performance &amp; potential operational opportunities
</t>
        </r>
      </text>
    </comment>
    <comment ref="L26" authorId="0" shapeId="0" xr:uid="{2382B5B5-8BA9-40F5-9721-D4ADC31287BA}">
      <text>
        <r>
          <rPr>
            <sz val="9"/>
            <color indexed="81"/>
            <rFont val="Calibri"/>
            <family val="2"/>
            <scheme val="minor"/>
          </rPr>
          <t xml:space="preserve">Market Rent is the rent that each unit type could receive today.
If a unit type is unrenovated then input the rent you could receive from the unrenovated unit today.
Make adjustments to your market rent where necessary to get the most accurate values for each unit type in today's rental market
</t>
        </r>
      </text>
    </comment>
    <comment ref="O26" authorId="0" shapeId="0" xr:uid="{D87DC356-EE56-411C-8DDB-7442F2889156}">
      <text>
        <r>
          <rPr>
            <sz val="9"/>
            <color indexed="81"/>
            <rFont val="Calibri"/>
            <family val="2"/>
            <scheme val="minor"/>
          </rPr>
          <t>The renovation plan assumes that each renovation will take 2 months for renovation &amp; lease up</t>
        </r>
      </text>
    </comment>
    <comment ref="O27" authorId="0" shapeId="0" xr:uid="{D8878D6E-F24E-4325-A187-78DE8FE86931}">
      <text>
        <r>
          <rPr>
            <b/>
            <sz val="9"/>
            <color indexed="81"/>
            <rFont val="Calibri"/>
            <family val="2"/>
            <scheme val="minor"/>
          </rPr>
          <t>ORANGE Cell Shading =</t>
        </r>
        <r>
          <rPr>
            <sz val="9"/>
            <color indexed="81"/>
            <rFont val="Calibri"/>
            <family val="2"/>
            <scheme val="minor"/>
          </rPr>
          <t xml:space="preserve"> Only FYI that you are renovating a unit that is already categorized as renovated (as inidcated by the checkbox) </t>
        </r>
      </text>
    </comment>
    <comment ref="D28" authorId="0" shapeId="0" xr:uid="{DCF07BDA-EE99-4EBA-94DD-DD8180152F27}">
      <text>
        <r>
          <rPr>
            <sz val="9"/>
            <color indexed="81"/>
            <rFont val="Calibri"/>
            <family val="2"/>
            <scheme val="minor"/>
          </rPr>
          <t xml:space="preserve">Is the unit type already renovated?
</t>
        </r>
        <r>
          <rPr>
            <b/>
            <sz val="9"/>
            <color indexed="81"/>
            <rFont val="Calibri"/>
            <family val="2"/>
            <scheme val="minor"/>
          </rPr>
          <t>Note:</t>
        </r>
        <r>
          <rPr>
            <sz val="9"/>
            <color indexed="81"/>
            <rFont val="Calibri"/>
            <family val="2"/>
            <scheme val="minor"/>
          </rPr>
          <t xml:space="preserve"> It's not required to select "N" for non-renovated unit types.</t>
        </r>
      </text>
    </comment>
    <comment ref="L44" authorId="0" shapeId="0" xr:uid="{CEF380FE-9694-49FD-A7E5-48BB242D5340}">
      <text>
        <r>
          <rPr>
            <sz val="9"/>
            <color indexed="81"/>
            <rFont val="Calibri"/>
            <family val="2"/>
            <scheme val="minor"/>
          </rPr>
          <t>Loss-to-lease
Market Rent - In Place Rent</t>
        </r>
      </text>
    </comment>
    <comment ref="R44" authorId="0" shapeId="0" xr:uid="{62AF3A8B-9D81-419B-AAAE-342A7BC7BCC2}">
      <text>
        <r>
          <rPr>
            <sz val="9"/>
            <color indexed="81"/>
            <rFont val="Tahoma"/>
            <family val="2"/>
          </rPr>
          <t xml:space="preserve">Rent increase achieved for </t>
        </r>
        <r>
          <rPr>
            <b/>
            <u/>
            <sz val="9"/>
            <color indexed="81"/>
            <rFont val="Tahoma"/>
            <family val="2"/>
          </rPr>
          <t>ONLY</t>
        </r>
        <r>
          <rPr>
            <sz val="9"/>
            <color indexed="81"/>
            <rFont val="Tahoma"/>
            <family val="2"/>
          </rPr>
          <t xml:space="preserve"> Renovated units </t>
        </r>
      </text>
    </comment>
    <comment ref="T44" authorId="0" shapeId="0" xr:uid="{FB17A10A-E38B-436C-A045-BDC0C9139211}">
      <text>
        <r>
          <rPr>
            <sz val="9"/>
            <color indexed="81"/>
            <rFont val="Tahoma"/>
            <family val="2"/>
          </rPr>
          <t xml:space="preserve">Rent increase achieved across </t>
        </r>
        <r>
          <rPr>
            <b/>
            <u/>
            <sz val="9"/>
            <color indexed="81"/>
            <rFont val="Tahoma"/>
            <family val="2"/>
          </rPr>
          <t>ALL</t>
        </r>
        <r>
          <rPr>
            <b/>
            <sz val="9"/>
            <color indexed="81"/>
            <rFont val="Tahoma"/>
            <family val="2"/>
          </rPr>
          <t xml:space="preserve"> </t>
        </r>
        <r>
          <rPr>
            <sz val="9"/>
            <color indexed="81"/>
            <rFont val="Tahoma"/>
            <family val="2"/>
          </rPr>
          <t>units as a result of the Renovation Plan</t>
        </r>
      </text>
    </comment>
    <comment ref="J47" authorId="0" shapeId="0" xr:uid="{35F9FF05-701A-4673-9A57-992FE233C916}">
      <text>
        <r>
          <rPr>
            <sz val="9"/>
            <color indexed="81"/>
            <rFont val="Calibri"/>
            <family val="2"/>
            <scheme val="minor"/>
          </rPr>
          <t>Toggle this to represent which set of T12 values you input for revenue below</t>
        </r>
      </text>
    </comment>
    <comment ref="M54" authorId="0" shapeId="0" xr:uid="{0D202126-3A14-4FF6-BCB9-382511F1728D}">
      <text>
        <r>
          <rPr>
            <sz val="9"/>
            <color indexed="81"/>
            <rFont val="Calibri"/>
            <family val="2"/>
            <scheme val="minor"/>
          </rPr>
          <t>Overwrite the GPR logic by placing your own Gross Rent values in this row.
To revert back to the MFA GPR logic simply delete any rent values from this row</t>
        </r>
      </text>
    </comment>
    <comment ref="F56" authorId="0" shapeId="0" xr:uid="{EB1A1BC0-1E72-4F6D-9483-16C1E2D211AE}">
      <text>
        <r>
          <rPr>
            <sz val="9"/>
            <color indexed="81"/>
            <rFont val="Tahoma"/>
            <family val="2"/>
          </rPr>
          <t>Downtime Vacancy is calculated based off the renovation by unit type and assumes each unit renovation will require 2 months for renovation &amp; lease up.</t>
        </r>
      </text>
    </comment>
    <comment ref="J63" authorId="0" shapeId="0" xr:uid="{19E0888B-664E-4C57-98FF-D4588ED43601}">
      <text>
        <r>
          <rPr>
            <sz val="9"/>
            <color indexed="81"/>
            <rFont val="Calibri"/>
            <family val="2"/>
            <scheme val="minor"/>
          </rPr>
          <t>Toggle this to represent which set of T12 values you input for other income below</t>
        </r>
      </text>
    </comment>
    <comment ref="K66" authorId="0" shapeId="0" xr:uid="{CF0C3E3F-3A99-4E49-9701-4972F0F44D7F}">
      <text>
        <r>
          <rPr>
            <sz val="9"/>
            <color indexed="81"/>
            <rFont val="Calibri"/>
            <family val="2"/>
            <scheme val="minor"/>
          </rPr>
          <t>Rule of Thumb: Should be &gt; 5% of rental revenue. Concerns if &gt;20%.</t>
        </r>
      </text>
    </comment>
    <comment ref="J77" authorId="0" shapeId="0" xr:uid="{71AEF1E5-8C73-4B4D-A1E8-6A3C840E8F13}">
      <text>
        <r>
          <rPr>
            <sz val="9"/>
            <color indexed="81"/>
            <rFont val="Calibri"/>
            <family val="2"/>
            <scheme val="minor"/>
          </rPr>
          <t>Toggle this to represent which set of T12 values you input for expenses below</t>
        </r>
      </text>
    </comment>
    <comment ref="L78" authorId="0" shapeId="0" xr:uid="{F48A69D9-DEC1-4000-9909-8E61DC25A8F1}">
      <text>
        <r>
          <rPr>
            <sz val="9"/>
            <color indexed="81"/>
            <rFont val="Calibri"/>
            <family val="2"/>
            <scheme val="minor"/>
          </rPr>
          <t>Rule of Thumb: $1500-1600/unit yr for under 300 units;  $1,000-$1,250 for 300+ units</t>
        </r>
      </text>
    </comment>
    <comment ref="L79" authorId="0" shapeId="0" xr:uid="{230D20E4-E2DE-4E74-B696-158D89E3CCB6}">
      <text>
        <r>
          <rPr>
            <sz val="9"/>
            <color indexed="81"/>
            <rFont val="Calibri"/>
            <family val="2"/>
            <scheme val="minor"/>
          </rPr>
          <t>Rule of Thumb: $50-100/unit yr</t>
        </r>
      </text>
    </comment>
    <comment ref="L80" authorId="0" shapeId="0" xr:uid="{0AA03DA9-0BFD-4372-B052-15897CC1EEA8}">
      <text>
        <r>
          <rPr>
            <sz val="9"/>
            <color indexed="81"/>
            <rFont val="Calibri"/>
            <family val="2"/>
            <scheme val="minor"/>
          </rPr>
          <t>Rule of Thumb: $50/unit yr; $100-300/unit yr for 100+ unit properties</t>
        </r>
      </text>
    </comment>
    <comment ref="L81" authorId="0" shapeId="0" xr:uid="{89D98B40-DE56-407C-981F-2BF8E26736FD}">
      <text>
        <r>
          <rPr>
            <sz val="9"/>
            <color indexed="81"/>
            <rFont val="Calibri"/>
            <family val="2"/>
            <scheme val="minor"/>
          </rPr>
          <t>Rule of Thumb: $635-1150/unit yr if tenant pays</t>
        </r>
      </text>
    </comment>
    <comment ref="L82" authorId="0" shapeId="0" xr:uid="{8A1B05BE-375E-4072-8D28-06A1EF20CF4D}">
      <text>
        <r>
          <rPr>
            <sz val="9"/>
            <color indexed="81"/>
            <rFont val="Calibri"/>
            <family val="2"/>
            <scheme val="minor"/>
          </rPr>
          <t>Rule of Thumb: $400-500/unit yr</t>
        </r>
      </text>
    </comment>
    <comment ref="L83" authorId="0" shapeId="0" xr:uid="{A1F6C3AA-F1E9-4E57-AEA3-95032D956C7F}">
      <text>
        <r>
          <rPr>
            <sz val="9"/>
            <color indexed="81"/>
            <rFont val="Calibri"/>
            <family val="2"/>
            <scheme val="minor"/>
          </rPr>
          <t xml:space="preserve">Rule of Thumb: $150-200/unit yr </t>
        </r>
      </text>
    </comment>
    <comment ref="K84" authorId="0" shapeId="0" xr:uid="{43079668-5460-41F2-865F-8EDED736417A}">
      <text>
        <r>
          <rPr>
            <sz val="9"/>
            <color indexed="81"/>
            <rFont val="Calibri"/>
            <family val="2"/>
            <scheme val="minor"/>
          </rPr>
          <t>Rule of Thumb: 3%-10% depending on unit count &amp; property manager</t>
        </r>
      </text>
    </comment>
    <comment ref="L85" authorId="0" shapeId="0" xr:uid="{195449C6-8A98-4B21-9FBE-A2420D7B233C}">
      <text>
        <r>
          <rPr>
            <sz val="9"/>
            <color indexed="81"/>
            <rFont val="Calibri"/>
            <family val="2"/>
            <scheme val="minor"/>
          </rPr>
          <t xml:space="preserve">Rule of Thumb: $200-250/unit yr </t>
        </r>
      </text>
    </comment>
    <comment ref="M86" authorId="0" shapeId="0" xr:uid="{65E19295-791D-4D83-AEF8-87C856EF217F}">
      <text>
        <r>
          <rPr>
            <sz val="9"/>
            <color indexed="81"/>
            <rFont val="Calibri"/>
            <family val="2"/>
            <scheme val="minor"/>
          </rPr>
          <t>Taxes vary by state and county. Consult with local tax assessment office.</t>
        </r>
      </text>
    </comment>
    <comment ref="L87" authorId="0" shapeId="0" xr:uid="{E6CA351F-43C2-483F-BE18-46191A70FD23}">
      <text>
        <r>
          <rPr>
            <sz val="9"/>
            <color indexed="81"/>
            <rFont val="Calibri"/>
            <family val="2"/>
            <scheme val="minor"/>
          </rPr>
          <t>Rule of Thumb: $275-400+/unit yr . Varies greatly per deal and market. Consult with an insruance broker</t>
        </r>
      </text>
    </comment>
    <comment ref="L90" authorId="0" shapeId="0" xr:uid="{DFABD8EE-FD55-48D3-B4AD-2585F7E88F5E}">
      <text>
        <r>
          <rPr>
            <sz val="9"/>
            <color indexed="81"/>
            <rFont val="Calibri"/>
            <family val="2"/>
            <scheme val="minor"/>
          </rPr>
          <t xml:space="preserve"> Expense per unit per year </t>
        </r>
        <r>
          <rPr>
            <i/>
            <sz val="9"/>
            <color indexed="81"/>
            <rFont val="Calibri"/>
            <family val="2"/>
            <scheme val="minor"/>
          </rPr>
          <t>OVERRIDE</t>
        </r>
      </text>
    </comment>
    <comment ref="G99" authorId="0" shapeId="0" xr:uid="{27B95A3B-EE89-4038-84D5-639C0BEAA34F}">
      <text>
        <r>
          <rPr>
            <sz val="9"/>
            <color indexed="81"/>
            <rFont val="Tahoma"/>
            <family val="2"/>
          </rPr>
          <t>= (Expenses + Debt) / (Effective Gross Income)</t>
        </r>
      </text>
    </comment>
    <comment ref="C111" authorId="1" shapeId="0" xr:uid="{5D105721-2CF5-492E-B2B4-65C5BD56E9F8}">
      <text>
        <r>
          <rPr>
            <sz val="9"/>
            <color indexed="81"/>
            <rFont val="Calibri"/>
            <family val="2"/>
            <scheme val="minor"/>
          </rPr>
          <t>Includes Downtime Vacancy (renovation) during renovation period</t>
        </r>
      </text>
    </comment>
    <comment ref="C130" authorId="0" shapeId="0" xr:uid="{60E0FEBC-3050-4A13-91A5-DB6AD56A3A16}">
      <text>
        <r>
          <rPr>
            <sz val="9"/>
            <color indexed="81"/>
            <rFont val="Calibri"/>
            <family val="2"/>
            <scheme val="minor"/>
          </rPr>
          <t xml:space="preserve">If </t>
        </r>
        <r>
          <rPr>
            <i/>
            <sz val="9"/>
            <color indexed="81"/>
            <rFont val="Calibri"/>
            <family val="2"/>
            <scheme val="minor"/>
          </rPr>
          <t>ERROR,</t>
        </r>
        <r>
          <rPr>
            <sz val="9"/>
            <color indexed="81"/>
            <rFont val="Calibri"/>
            <family val="2"/>
            <scheme val="minor"/>
          </rPr>
          <t xml:space="preserve"> the Refinance proceeds are not sufficient to pay off the 1st mortgage</t>
        </r>
      </text>
    </comment>
    <comment ref="I175" authorId="0" shapeId="0" xr:uid="{3AD17F89-A955-493B-85EB-19CAA04DD90D}">
      <text>
        <r>
          <rPr>
            <sz val="9"/>
            <color indexed="81"/>
            <rFont val="Calibri"/>
            <family val="2"/>
            <scheme val="minor"/>
          </rPr>
          <t>This Avg CoC is calculated by taking the average cash on cash for each time period and does not factor in deficiencies or catch up</t>
        </r>
      </text>
    </comment>
    <comment ref="I176" authorId="0" shapeId="0" xr:uid="{FF6B45EB-52FD-470E-8F6E-5559EAB50F3E}">
      <text>
        <r>
          <rPr>
            <sz val="9"/>
            <color indexed="81"/>
            <rFont val="Calibri"/>
            <family val="2"/>
            <scheme val="minor"/>
          </rPr>
          <t>The Pref Return is just a return hurdle. This calculation is for reference to ensure that the Pref is being met over the life of the project.
This Pref Return is calculated by taking the total cash flow including pref deficiency payments on captial events / average capital balance divided by the years of the project time period.
In some cases where a Refinance or Supplemental loan is used the Pref may be lower than the Avg Cash on Cash. This is due to the Avg Cash on Cash being a simple average of capital invested at each time period vs. the cash flow for that time period and does not consider the the average capital balance for the duration of the project.</t>
        </r>
      </text>
    </comment>
    <comment ref="H180" authorId="0" shapeId="0" xr:uid="{C9F027B5-43E1-434A-9FB9-3255F4F05A1A}">
      <text>
        <r>
          <rPr>
            <sz val="9"/>
            <color indexed="81"/>
            <rFont val="Calibri"/>
            <family val="2"/>
            <scheme val="minor"/>
          </rPr>
          <t>Preferred return catch up on Refinance is paid ONLY once 100% of the LP capital has been returned</t>
        </r>
      </text>
    </comment>
    <comment ref="I196" authorId="0" shapeId="0" xr:uid="{F1BF381E-146B-4373-9051-5A7D9DFB2637}">
      <text>
        <r>
          <rPr>
            <sz val="9"/>
            <color indexed="81"/>
            <rFont val="Calibri"/>
            <family val="2"/>
            <scheme val="minor"/>
          </rPr>
          <t>This Avg CoC is calculated by taking the average cash on cash for each time period and does not factor in deficiencies or catch up</t>
        </r>
      </text>
    </comment>
    <comment ref="I197" authorId="0" shapeId="0" xr:uid="{F3760775-1507-4EB5-9F73-A3B79B090895}">
      <text>
        <r>
          <rPr>
            <sz val="9"/>
            <color indexed="81"/>
            <rFont val="Calibri"/>
            <family val="2"/>
            <scheme val="minor"/>
          </rPr>
          <t>The Pref Return is just a return hurdle. This calculation is for reference to ensure that the Pref is being met over the life of the project.
This Pref Return is calculated by taking the total cash flow including pref deficiency payments on captial events / average capital balance divided by the years of the project time period.
In some cases where a Refinance or Supplemental loan is used the Pref may be lower than the Avg Cash on Cash. This is due to the Avg Cash on Cash being a simple average of capital invested at each time period vs. the cash flow for that time period and does not consider the the average capital balance for the duration of the project.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Craig Drummond</author>
  </authors>
  <commentList>
    <comment ref="X38" authorId="0" shapeId="0" xr:uid="{3BBFED1E-A0D1-4D81-A0DA-F183752005FD}">
      <text>
        <r>
          <rPr>
            <sz val="9"/>
            <color indexed="81"/>
            <rFont val="Tahoma"/>
            <family val="2"/>
          </rPr>
          <t>All rents are being escalated from the last period of the prevous year</t>
        </r>
      </text>
    </comment>
    <comment ref="X118" authorId="0" shapeId="0" xr:uid="{74D33742-9205-4D0C-A081-F7F490168F88}">
      <text>
        <r>
          <rPr>
            <sz val="9"/>
            <color indexed="81"/>
            <rFont val="Tahoma"/>
            <family val="2"/>
          </rPr>
          <t>All rents are being escalated from the last period of the prevous year</t>
        </r>
      </text>
    </comment>
    <comment ref="X145" authorId="0" shapeId="0" xr:uid="{3A7A829F-59F3-4A10-8760-CEB0FB47B67C}">
      <text>
        <r>
          <rPr>
            <sz val="9"/>
            <color indexed="81"/>
            <rFont val="Tahoma"/>
            <family val="2"/>
          </rPr>
          <t>All rents are being escalated from the last period of the prevous year</t>
        </r>
      </text>
    </comment>
  </commentList>
</comments>
</file>

<file path=xl/sharedStrings.xml><?xml version="1.0" encoding="utf-8"?>
<sst xmlns="http://schemas.openxmlformats.org/spreadsheetml/2006/main" count="485" uniqueCount="346">
  <si>
    <t>Closing Costs</t>
  </si>
  <si>
    <t>Sale / Exit Cap Rate</t>
  </si>
  <si>
    <t>Sale Costs</t>
  </si>
  <si>
    <t>Interest Rate</t>
  </si>
  <si>
    <t>Amortization</t>
  </si>
  <si>
    <t>Acquisition Fee</t>
  </si>
  <si>
    <t>Asset Mgt Fee</t>
  </si>
  <si>
    <t>Disposition Fee</t>
  </si>
  <si>
    <t>RENOVATION PLAN</t>
  </si>
  <si>
    <t>Unit Type</t>
  </si>
  <si>
    <t>Beds</t>
  </si>
  <si>
    <t>Baths</t>
  </si>
  <si>
    <t>Avg. SF</t>
  </si>
  <si>
    <t># of Units</t>
  </si>
  <si>
    <t>NRA SF</t>
  </si>
  <si>
    <t>Average / Total</t>
  </si>
  <si>
    <t>/SF/Mo</t>
  </si>
  <si>
    <t>/Unit/Mo</t>
  </si>
  <si>
    <t>Total/Mo</t>
  </si>
  <si>
    <t>Cost
/unit</t>
  </si>
  <si>
    <t>Total 
Reno Cost</t>
  </si>
  <si>
    <t>GPR / Unit / Mo</t>
  </si>
  <si>
    <t>Downtime Vacancy (renovation)</t>
  </si>
  <si>
    <t>Concessions (% GPR)</t>
  </si>
  <si>
    <t>Bad Debt (% GPR)</t>
  </si>
  <si>
    <t>Loss to Lease (% GPR)</t>
  </si>
  <si>
    <t>Economic Vacancy</t>
  </si>
  <si>
    <t>Other Income</t>
  </si>
  <si>
    <t>Taxes</t>
  </si>
  <si>
    <t>CapEx</t>
  </si>
  <si>
    <t>Rent</t>
  </si>
  <si>
    <t>GPR/Unit/Mo</t>
  </si>
  <si>
    <t>- Downtime Vacancy (renovation)</t>
  </si>
  <si>
    <t>- Concessions</t>
  </si>
  <si>
    <t>- Bad Debt</t>
  </si>
  <si>
    <t>- Loss-to-Lease</t>
  </si>
  <si>
    <t>Total Rental Revenue</t>
  </si>
  <si>
    <t>Utility Reimbursement (RUBS)</t>
  </si>
  <si>
    <t>Total Other Income</t>
  </si>
  <si>
    <t>Vacancy Total</t>
  </si>
  <si>
    <t>Total Economic Vacancy</t>
  </si>
  <si>
    <t>Breakeven Occupancy</t>
  </si>
  <si>
    <t>YoY Income Growth</t>
  </si>
  <si>
    <t>% EGI</t>
  </si>
  <si>
    <t>Payroll</t>
  </si>
  <si>
    <t>Advertising &amp; Marketing</t>
  </si>
  <si>
    <t>General &amp; Administrative</t>
  </si>
  <si>
    <t>Utilities</t>
  </si>
  <si>
    <t>Repairs &amp; Maintenance</t>
  </si>
  <si>
    <t>Contract Services</t>
  </si>
  <si>
    <t>Management Fee</t>
  </si>
  <si>
    <t>Make Ready</t>
  </si>
  <si>
    <t>Insurance</t>
  </si>
  <si>
    <t>Total Operating Expenses</t>
  </si>
  <si>
    <t>/Unit</t>
  </si>
  <si>
    <t>/SF</t>
  </si>
  <si>
    <t>YoY Expense Growth</t>
  </si>
  <si>
    <t>Market CAP Rate</t>
  </si>
  <si>
    <t>Property Value</t>
  </si>
  <si>
    <t>YoY NOI Growth</t>
  </si>
  <si>
    <t>NON-OPERATING EXPENSES</t>
  </si>
  <si>
    <t>Cash Flow from Operations</t>
  </si>
  <si>
    <t>$/Unit</t>
  </si>
  <si>
    <t>% GPR</t>
  </si>
  <si>
    <t>Unrenovated Units</t>
  </si>
  <si>
    <t>Unrenovated Rent</t>
  </si>
  <si>
    <t>Renovated Units</t>
  </si>
  <si>
    <t>Renovated Rent</t>
  </si>
  <si>
    <t>INCOME</t>
  </si>
  <si>
    <t>Effective Gross Income (EGI)</t>
  </si>
  <si>
    <t>Cap Rate (Market)</t>
  </si>
  <si>
    <t>Units to Renovate</t>
  </si>
  <si>
    <t>Rent Premium
/unit</t>
  </si>
  <si>
    <t xml:space="preserve"> </t>
  </si>
  <si>
    <t>1st Mortgage</t>
  </si>
  <si>
    <t>Beginning Balance</t>
  </si>
  <si>
    <t>Total Debt Service</t>
  </si>
  <si>
    <t>Interest Payment</t>
  </si>
  <si>
    <t>Principal Payment</t>
  </si>
  <si>
    <t>Ending Balance</t>
  </si>
  <si>
    <t>Refinance</t>
  </si>
  <si>
    <t>DEBT</t>
  </si>
  <si>
    <t>DSCR</t>
  </si>
  <si>
    <t>Refinance Fee</t>
  </si>
  <si>
    <t>Acquisition Loan Amount</t>
  </si>
  <si>
    <t>Loan to Value (LTV)</t>
  </si>
  <si>
    <t>LTV</t>
  </si>
  <si>
    <t>Debt Yield</t>
  </si>
  <si>
    <t>Cash Flow From Operations</t>
  </si>
  <si>
    <t>Capital Transaction Fee to GP</t>
  </si>
  <si>
    <t>Total Cash Flow Available for Distribution</t>
  </si>
  <si>
    <t>Refinancing / Sale Proceeds</t>
  </si>
  <si>
    <t>Capital Events</t>
  </si>
  <si>
    <t>Loan Payoff</t>
  </si>
  <si>
    <t>Contributions</t>
  </si>
  <si>
    <t>Beginning Capital Account Balance</t>
  </si>
  <si>
    <t>Return of Capital</t>
  </si>
  <si>
    <t>Ending Capital Account Balance</t>
  </si>
  <si>
    <t>% of Capital Returned</t>
  </si>
  <si>
    <t>Cash Flow</t>
  </si>
  <si>
    <t>Preferred Return Due</t>
  </si>
  <si>
    <t>Preferred Return Paid from Cashflow</t>
  </si>
  <si>
    <t>Total Annual Cash Flow</t>
  </si>
  <si>
    <t>Avg Cash on Cash (CoC)</t>
  </si>
  <si>
    <t>Net Proceeds/Profits from Refinance or Sale</t>
  </si>
  <si>
    <t>Refinance Proceeds</t>
  </si>
  <si>
    <t>Sale Proceeds After Capital Return, Return Deficiency, and Disposition Fee</t>
  </si>
  <si>
    <t>Total Profits (Cash Flow + Refi/Sale Proceeds)</t>
  </si>
  <si>
    <t>Average Annual Return to Date (AAR)</t>
  </si>
  <si>
    <t>Internal Rate of Return (IRR)</t>
  </si>
  <si>
    <t>Equity Multiple (EMx)</t>
  </si>
  <si>
    <t>Preferred Return</t>
  </si>
  <si>
    <t>UNIT TYPE INFORMATION</t>
  </si>
  <si>
    <t>Refinance End of Year</t>
  </si>
  <si>
    <t>Refinance Loan Amount</t>
  </si>
  <si>
    <t>Expense Ratio (% of EGI)</t>
  </si>
  <si>
    <t>RETURNS</t>
  </si>
  <si>
    <t>Cash Flow After Debt Service</t>
  </si>
  <si>
    <t>Asset Management Fee</t>
  </si>
  <si>
    <t>YoY GPR Growth</t>
  </si>
  <si>
    <t>Capital Reserves</t>
  </si>
  <si>
    <t>Price / Unit</t>
  </si>
  <si>
    <t>DEAL ASSUMPTIONS</t>
  </si>
  <si>
    <t>KPIs</t>
  </si>
  <si>
    <t>Negative Cash Flow</t>
  </si>
  <si>
    <t>GROWTH RATES &amp; % GPR ASSUMPTIONS</t>
  </si>
  <si>
    <t>Address</t>
  </si>
  <si>
    <t>All Capital Returned</t>
  </si>
  <si>
    <t>Sources</t>
  </si>
  <si>
    <t>Loan</t>
  </si>
  <si>
    <t>Equity</t>
  </si>
  <si>
    <t>Uses</t>
  </si>
  <si>
    <t>Acquisition</t>
  </si>
  <si>
    <t>SOURCES &amp; USES</t>
  </si>
  <si>
    <t>Total Units</t>
  </si>
  <si>
    <t>Year Built</t>
  </si>
  <si>
    <t>Whisper Price</t>
  </si>
  <si>
    <t>Sale Year</t>
  </si>
  <si>
    <t>Cap Rate (Yr1 Proforma)</t>
  </si>
  <si>
    <t>Partner Split</t>
  </si>
  <si>
    <t>Name</t>
  </si>
  <si>
    <t>Unit Renovations per Month</t>
  </si>
  <si>
    <t>Capital Account</t>
  </si>
  <si>
    <t>Year 0</t>
  </si>
  <si>
    <t>Preferred Return Deficiency</t>
  </si>
  <si>
    <t>Excess Cash Flow</t>
  </si>
  <si>
    <t>Totals</t>
  </si>
  <si>
    <t>PROJECT RETURNS</t>
  </si>
  <si>
    <t>LP RETURNS</t>
  </si>
  <si>
    <t>GP EARNINGS</t>
  </si>
  <si>
    <t>GP Total Earnings</t>
  </si>
  <si>
    <t>Sale Proceeds</t>
  </si>
  <si>
    <t>Syndication/Acquisition Fee</t>
  </si>
  <si>
    <t>Total Manager Earnings</t>
  </si>
  <si>
    <t>Error Check</t>
  </si>
  <si>
    <t>Per Month CF</t>
  </si>
  <si>
    <t>Per door/mo</t>
  </si>
  <si>
    <t>UNIT MIX, RENT, &amp; INTERIOR RENOVATION STRATEGY</t>
  </si>
  <si>
    <r>
      <t xml:space="preserve">GPR/Unit/Mo </t>
    </r>
    <r>
      <rPr>
        <i/>
        <sz val="9"/>
        <color rgb="FFC00000"/>
        <rFont val="Calibri"/>
        <family val="2"/>
      </rPr>
      <t>OVERRIDE</t>
    </r>
  </si>
  <si>
    <t>LP CoC</t>
  </si>
  <si>
    <t>LP IRR</t>
  </si>
  <si>
    <t>Min DSCR</t>
  </si>
  <si>
    <r>
      <t xml:space="preserve">AAR </t>
    </r>
    <r>
      <rPr>
        <sz val="10"/>
        <color theme="0"/>
        <rFont val="Calibri"/>
        <family val="2"/>
        <scheme val="minor"/>
      </rPr>
      <t>(LP)</t>
    </r>
  </si>
  <si>
    <r>
      <t xml:space="preserve">IRR </t>
    </r>
    <r>
      <rPr>
        <sz val="10"/>
        <color theme="0"/>
        <rFont val="Calibri"/>
        <family val="2"/>
        <scheme val="minor"/>
      </rPr>
      <t>(LP)</t>
    </r>
  </si>
  <si>
    <r>
      <t>EMx</t>
    </r>
    <r>
      <rPr>
        <sz val="10"/>
        <color theme="0"/>
        <rFont val="Calibri"/>
        <family val="2"/>
        <scheme val="minor"/>
      </rPr>
      <t xml:space="preserve"> (LP)</t>
    </r>
  </si>
  <si>
    <t>Total GPR</t>
  </si>
  <si>
    <t>Operating Reserves</t>
  </si>
  <si>
    <t>Reno GPR</t>
  </si>
  <si>
    <t>Total Rent</t>
  </si>
  <si>
    <t>Return of Reserves at Sale</t>
  </si>
  <si>
    <t>Rent Growth</t>
  </si>
  <si>
    <t>Transaction Costs (Refi/Sale)</t>
  </si>
  <si>
    <t>DSCR Yr 1</t>
  </si>
  <si>
    <t>DSCR In-Place</t>
  </si>
  <si>
    <t>General Vacancy (% of GPR + RUBS + Other Inc)</t>
  </si>
  <si>
    <t>Units</t>
  </si>
  <si>
    <t>IRR (LP)</t>
  </si>
  <si>
    <t>Total</t>
  </si>
  <si>
    <t>Occupancy</t>
  </si>
  <si>
    <t>Renovation Costs</t>
  </si>
  <si>
    <t>Funding Year</t>
  </si>
  <si>
    <t>Total Annual Distributions (CF + Refi/Sale + Return of Capital)</t>
  </si>
  <si>
    <t>Income</t>
  </si>
  <si>
    <t>Gross Potential Rent (GPR)</t>
  </si>
  <si>
    <t>Net Operating Income (NOI)</t>
  </si>
  <si>
    <t>1 Year 
ROI</t>
  </si>
  <si>
    <t>Annual GPR</t>
  </si>
  <si>
    <t>Loan Amount</t>
  </si>
  <si>
    <t>Number of Years</t>
  </si>
  <si>
    <t>Interest-Only (Months)</t>
  </si>
  <si>
    <t>Monthly Payment</t>
  </si>
  <si>
    <t>&lt;- SHOULD Calc add back the missed principle during the IO period in order to pay off loan in 30yrs?  Formula above</t>
  </si>
  <si>
    <t>End of Year</t>
  </si>
  <si>
    <t>Principal</t>
  </si>
  <si>
    <t>Interest</t>
  </si>
  <si>
    <t>Balance</t>
  </si>
  <si>
    <t>Month</t>
  </si>
  <si>
    <t>Year</t>
  </si>
  <si>
    <t>Payment
Amount</t>
  </si>
  <si>
    <t>Cumulative Interest</t>
  </si>
  <si>
    <t>Principal Paid</t>
  </si>
  <si>
    <t>Primary Loan</t>
  </si>
  <si>
    <t>TOTAL SOURCES</t>
  </si>
  <si>
    <t>TOTAL USES</t>
  </si>
  <si>
    <t>Units - Reno</t>
  </si>
  <si>
    <t>Rent - Reno</t>
  </si>
  <si>
    <t>GPR - Reno</t>
  </si>
  <si>
    <t>Bed</t>
  </si>
  <si>
    <t>Offer Price</t>
  </si>
  <si>
    <t>Cap (at purchase)</t>
  </si>
  <si>
    <t>I/O Period</t>
  </si>
  <si>
    <t>Loan Fee</t>
  </si>
  <si>
    <t>All Closing Costs</t>
  </si>
  <si>
    <t>Value at Refinance</t>
  </si>
  <si>
    <t>Cap Rate at Refinance</t>
  </si>
  <si>
    <t>EXPENSES &amp; NOI</t>
  </si>
  <si>
    <t>OVERRIDE</t>
  </si>
  <si>
    <t>CURRENT MARKET RENTS</t>
  </si>
  <si>
    <t>POST-RENOVATION RENTS</t>
  </si>
  <si>
    <t>Interior Renovation Strategy</t>
  </si>
  <si>
    <t>Inputs</t>
  </si>
  <si>
    <t>Exit Cap</t>
  </si>
  <si>
    <t>Cap Escalator</t>
  </si>
  <si>
    <t>Exit Year</t>
  </si>
  <si>
    <t>Data Table</t>
  </si>
  <si>
    <t>Baseline</t>
  </si>
  <si>
    <t>Exit Cap Rate</t>
  </si>
  <si>
    <t>ORANGE</t>
  </si>
  <si>
    <t>Formulas, but can be overwritten</t>
  </si>
  <si>
    <t>BLACK</t>
  </si>
  <si>
    <t>Formulas - do not change</t>
  </si>
  <si>
    <r>
      <rPr>
        <b/>
        <sz val="11"/>
        <color rgb="FF0000FF"/>
        <rFont val="Calibri"/>
        <family val="2"/>
        <scheme val="minor"/>
      </rPr>
      <t>BLUE</t>
    </r>
    <r>
      <rPr>
        <sz val="11"/>
        <color theme="1"/>
        <rFont val="Calibri"/>
        <family val="2"/>
        <scheme val="minor"/>
      </rPr>
      <t xml:space="preserve"> </t>
    </r>
  </si>
  <si>
    <t>Version</t>
  </si>
  <si>
    <t>Date</t>
  </si>
  <si>
    <t>Change Description</t>
  </si>
  <si>
    <t>Reserves Returned at Sale</t>
  </si>
  <si>
    <t>Contingency</t>
  </si>
  <si>
    <t>Total Proceeds Available for Distribution</t>
  </si>
  <si>
    <t>CoC (LP)</t>
  </si>
  <si>
    <t>LP Equity Multiple (EMx)</t>
  </si>
  <si>
    <t>Preferred Return (Cash Flow + Pref Catch Up Due to Deficiency)</t>
  </si>
  <si>
    <t>Input / Manual entry</t>
  </si>
  <si>
    <r>
      <rPr>
        <i/>
        <sz val="11"/>
        <color rgb="FF1A7584"/>
        <rFont val="Calibri"/>
        <family val="2"/>
        <scheme val="minor"/>
      </rPr>
      <t xml:space="preserve">Copyright © MFA 2022 - </t>
    </r>
    <r>
      <rPr>
        <i/>
        <u/>
        <sz val="11"/>
        <color rgb="FF1A7584"/>
        <rFont val="Calibri"/>
        <family val="2"/>
        <scheme val="minor"/>
      </rPr>
      <t>MFAUnderwriting.com</t>
    </r>
  </si>
  <si>
    <t>Interior Renovation Completions per Year:</t>
  </si>
  <si>
    <t>T-3</t>
  </si>
  <si>
    <t>T-12</t>
  </si>
  <si>
    <t>- General Vacancy</t>
  </si>
  <si>
    <t>(% of GPR + RUBS + Other Inc)</t>
  </si>
  <si>
    <t>CASH FLOWS</t>
  </si>
  <si>
    <r>
      <t>PMT(D4/12,(D5*12)</t>
    </r>
    <r>
      <rPr>
        <sz val="8"/>
        <color rgb="FFFF0000"/>
        <rFont val="Calibri"/>
        <family val="2"/>
      </rPr>
      <t>-D6</t>
    </r>
    <r>
      <rPr>
        <sz val="8"/>
        <color rgb="FF0000FF"/>
        <rFont val="Calibri"/>
        <family val="2"/>
      </rPr>
      <t>,-D3)</t>
    </r>
  </si>
  <si>
    <t>Unit Mix, Rent, &amp; Interior Renovation</t>
  </si>
  <si>
    <t xml:space="preserve">Income, Expenses, &amp; Growth </t>
  </si>
  <si>
    <t>Font Color Ledged</t>
  </si>
  <si>
    <t>Property Info</t>
  </si>
  <si>
    <t>N/A</t>
  </si>
  <si>
    <t>Interior Renovation Start Month</t>
  </si>
  <si>
    <t>Non Reno GPR</t>
  </si>
  <si>
    <t>Units - Non Reno</t>
  </si>
  <si>
    <t>Rent - Non Reno</t>
  </si>
  <si>
    <t>GPR - Non Reno</t>
  </si>
  <si>
    <t>YoY Rent Growth</t>
  </si>
  <si>
    <t>Reno Unit Completions Total</t>
  </si>
  <si>
    <t>Reno Rent Total</t>
  </si>
  <si>
    <t>Reno Vacancy Loss Total</t>
  </si>
  <si>
    <t>Cumulative Reno Unit Vacancy Total</t>
  </si>
  <si>
    <t>Non Reno Units Total</t>
  </si>
  <si>
    <t>Non Reno Revenue Total</t>
  </si>
  <si>
    <t>Non Reno Rent Total</t>
  </si>
  <si>
    <t>Total GPR Total</t>
  </si>
  <si>
    <t>Baseline (no Reno)</t>
  </si>
  <si>
    <t>Reno GPR Total</t>
  </si>
  <si>
    <t>INTERIOR RENOVATION GRAPHS</t>
  </si>
  <si>
    <r>
      <rPr>
        <b/>
        <sz val="11"/>
        <color theme="0"/>
        <rFont val="Calibri"/>
        <family val="2"/>
        <scheme val="minor"/>
      </rPr>
      <t xml:space="preserve">Gross Rents for </t>
    </r>
    <r>
      <rPr>
        <b/>
        <u/>
        <sz val="11"/>
        <color rgb="FFFFFF00"/>
        <rFont val="Calibri"/>
        <family val="2"/>
        <scheme val="minor"/>
      </rPr>
      <t>Non-Renovated</t>
    </r>
    <r>
      <rPr>
        <b/>
        <sz val="11"/>
        <color theme="1"/>
        <rFont val="Calibri"/>
        <family val="2"/>
        <scheme val="minor"/>
      </rPr>
      <t xml:space="preserve"> </t>
    </r>
    <r>
      <rPr>
        <b/>
        <sz val="11"/>
        <color theme="0"/>
        <rFont val="Calibri"/>
        <family val="2"/>
        <scheme val="minor"/>
      </rPr>
      <t>Units</t>
    </r>
  </si>
  <si>
    <r>
      <rPr>
        <b/>
        <sz val="12"/>
        <color theme="0"/>
        <rFont val="Calibri"/>
        <family val="2"/>
        <scheme val="minor"/>
      </rPr>
      <t xml:space="preserve">Gross Rents for </t>
    </r>
    <r>
      <rPr>
        <b/>
        <u/>
        <sz val="12"/>
        <color rgb="FFFFFF00"/>
        <rFont val="Calibri"/>
        <family val="2"/>
        <scheme val="minor"/>
      </rPr>
      <t>Planned Renovations</t>
    </r>
  </si>
  <si>
    <r>
      <rPr>
        <b/>
        <u/>
        <sz val="11"/>
        <color rgb="FFFFFF00"/>
        <rFont val="Calibri"/>
        <family val="2"/>
        <scheme val="minor"/>
      </rPr>
      <t>Quik UW</t>
    </r>
    <r>
      <rPr>
        <b/>
        <sz val="11"/>
        <color rgb="FFFFFF00"/>
        <rFont val="Calibri"/>
        <family val="2"/>
        <scheme val="minor"/>
      </rPr>
      <t xml:space="preserve"> </t>
    </r>
    <r>
      <rPr>
        <b/>
        <sz val="11"/>
        <color theme="0"/>
        <rFont val="Calibri"/>
        <family val="2"/>
        <scheme val="minor"/>
      </rPr>
      <t>GPR Calc</t>
    </r>
  </si>
  <si>
    <t>Interior Renovation End Month</t>
  </si>
  <si>
    <t>For Monthly GPR Graph</t>
  </si>
  <si>
    <t>IN PLACE RENTS</t>
  </si>
  <si>
    <t>TOTAL RENO</t>
  </si>
  <si>
    <t>Exit Assumptions</t>
  </si>
  <si>
    <t>Sale Price</t>
  </si>
  <si>
    <t>Non-Reno GPR (less reno vacancy)</t>
  </si>
  <si>
    <t>Acquisition Date</t>
  </si>
  <si>
    <t xml:space="preserve"> /SF · /unit</t>
  </si>
  <si>
    <t>Operational Expenses (Excluding Taxes)</t>
  </si>
  <si>
    <t>In-Place Rents</t>
  </si>
  <si>
    <t>The purpose of this tab is to reveal the logic utilized by the UW model to determine Gross Potential Rent (GPR) and Renovation Vacancy. Each unit type that is to be renovated is moved to Reno Vacancy for 2 months &amp; then moved to the post-renovation revenue based on the renovation start &amp; duration set on the UW Model tab. The below graph helps to illustrate this process</t>
  </si>
  <si>
    <t>Ending Annual Rent</t>
  </si>
  <si>
    <t>Total Avg Annual Rent</t>
  </si>
  <si>
    <t>Compatibility</t>
  </si>
  <si>
    <t>Input Deal Assumptions</t>
  </si>
  <si>
    <t>Expenses</t>
  </si>
  <si>
    <t>Required</t>
  </si>
  <si>
    <t>Interior Reno Cost</t>
  </si>
  <si>
    <t>Exterior Reno Cost</t>
  </si>
  <si>
    <t>Video Tutorial ▶️</t>
  </si>
  <si>
    <t>Deal Assumptions</t>
  </si>
  <si>
    <t>Reno?</t>
  </si>
  <si>
    <t>Preferred Return Paid on Capital Event (due to a deficiency)</t>
  </si>
  <si>
    <t>UNDERWRITING STEPS &amp; DATA INPUT CHECK</t>
  </si>
  <si>
    <t>Completed</t>
  </si>
  <si>
    <t>Indicator</t>
  </si>
  <si>
    <t>STEP</t>
  </si>
  <si>
    <t>VIDEO TUTORIALS</t>
  </si>
  <si>
    <t>INPUT CHECK</t>
  </si>
  <si>
    <t>Section Indicator</t>
  </si>
  <si>
    <t>Step 1</t>
  </si>
  <si>
    <t>Purchase Assumptions</t>
  </si>
  <si>
    <t>Debt Structure</t>
  </si>
  <si>
    <t>Deal Structure</t>
  </si>
  <si>
    <t>Renovation Assumptions</t>
  </si>
  <si>
    <t>Step 2</t>
  </si>
  <si>
    <t>Market Rents</t>
  </si>
  <si>
    <t>Step 3</t>
  </si>
  <si>
    <t>Unit Mix, Rents, Interior Renovation Strategy</t>
  </si>
  <si>
    <t>Unit Mix Table</t>
  </si>
  <si>
    <t>Bath</t>
  </si>
  <si>
    <t>Sqft</t>
  </si>
  <si>
    <t>Interior Renovations</t>
  </si>
  <si>
    <t>Step 4</t>
  </si>
  <si>
    <t>GPR</t>
  </si>
  <si>
    <t>Income Detractors</t>
  </si>
  <si>
    <t>RUBS</t>
  </si>
  <si>
    <t>Step 5</t>
  </si>
  <si>
    <t>Used for UW Aid Conditional Formatting</t>
  </si>
  <si>
    <t>Growth Rates &amp; % GPR Assumptions</t>
  </si>
  <si>
    <t>Growth Rate</t>
  </si>
  <si>
    <t>T-12 Mapped</t>
  </si>
  <si>
    <t xml:space="preserve">Other Income </t>
  </si>
  <si>
    <t>Vacancy</t>
  </si>
  <si>
    <t>Expense Growth</t>
  </si>
  <si>
    <t>Tax Growth</t>
  </si>
  <si>
    <t>Rent Increases</t>
  </si>
  <si>
    <r>
      <rPr>
        <b/>
        <sz val="14"/>
        <color rgb="FFFFFF00"/>
        <rFont val="Calibri"/>
        <family val="2"/>
        <scheme val="minor"/>
      </rPr>
      <t>Disclaimer:</t>
    </r>
    <r>
      <rPr>
        <sz val="14"/>
        <color theme="0"/>
        <rFont val="Calibri"/>
        <family val="2"/>
        <scheme val="minor"/>
      </rPr>
      <t xml:space="preserve"> This spreadsheet is for your personal use only. You may use and access this spreadsheet on multiple devices but you may not share it with other users. All of the information contained herein is believed to be true and accurate. The author shall not be held liable to you for any damages arising from the use or the inability to use this software</t>
    </r>
  </si>
  <si>
    <t>Lender CapEx Reserves</t>
  </si>
  <si>
    <t>UNDERWRITING NOTES</t>
  </si>
  <si>
    <r>
      <rPr>
        <b/>
        <sz val="8"/>
        <color rgb="FFC00000"/>
        <rFont val="Calibri"/>
        <family val="2"/>
        <scheme val="minor"/>
      </rPr>
      <t xml:space="preserve">UW Model tab </t>
    </r>
    <r>
      <rPr>
        <sz val="8"/>
        <color theme="1"/>
        <rFont val="Calibri"/>
        <family val="2"/>
        <scheme val="minor"/>
      </rPr>
      <t xml:space="preserve">
• Added UW Notes section</t>
    </r>
  </si>
  <si>
    <r>
      <t xml:space="preserve">Excel 2021, Excel 2021 for Mac ONLY </t>
    </r>
    <r>
      <rPr>
        <i/>
        <sz val="11"/>
        <color rgb="FFFF0000"/>
        <rFont val="Calibri"/>
        <family val="2"/>
        <scheme val="minor"/>
      </rPr>
      <t>(Not Excel for web, older versions of Excel, or Google sheets)</t>
    </r>
  </si>
  <si>
    <t>1. PROPERTY INFORMATION</t>
  </si>
  <si>
    <t>2. PURCHASE ASSUMPTIONS</t>
  </si>
  <si>
    <t>3. EXIT ASSUMPTIONS</t>
  </si>
  <si>
    <t>4. DEBT STRUCTURE</t>
  </si>
  <si>
    <t xml:space="preserve">5. DEAL STRUCTURE </t>
  </si>
  <si>
    <t>6. RENOVATION ASSUMPTIONS</t>
  </si>
  <si>
    <t>Use this section to document all UW assumptions, findings, anomalies, &amp; conclusions</t>
  </si>
  <si>
    <r>
      <t xml:space="preserve">UNDERWRITING TASKS </t>
    </r>
    <r>
      <rPr>
        <i/>
        <sz val="9"/>
        <color theme="0"/>
        <rFont val="Calibri"/>
        <family val="2"/>
        <scheme val="minor"/>
      </rPr>
      <t>(link to tab)</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</si>
</sst>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8">
    <numFmt numFmtId="6" formatCode="&quot;$&quot;#,##0_);[Red]\(&quot;$&quot;#,##0\)"/>
    <numFmt numFmtId="8" formatCode="&quot;$&quot;#,##0.00_);[Red]\(&quot;$&quot;#,##0.00\)"/>
    <numFmt numFmtId="41" formatCode="_(* #,##0_);_(* \(#,##0\);_(* &quot;-&quot;_);_(@_)"/>
    <numFmt numFmtId="44" formatCode="_(&quot;$&quot;* #,##0.00_);_(&quot;$&quot;* \(#,##0.00\);_(&quot;$&quot;* &quot;-&quot;??_);_(@_)"/>
    <numFmt numFmtId="43" formatCode="_(* #,##0.00_);_(* \(#,##0.00\);_(* &quot;-&quot;??_);_(@_)"/>
    <numFmt numFmtId="164" formatCode="0.0%"/>
    <numFmt numFmtId="165" formatCode="0\ &quot;Years&quot;"/>
    <numFmt numFmtId="166" formatCode="0.0"/>
    <numFmt numFmtId="167" formatCode="&quot;$&quot;#,##0"/>
    <numFmt numFmtId="168" formatCode="&quot;$&quot;#,##0.00"/>
    <numFmt numFmtId="169" formatCode="0.0%;\ \(0.0%\)"/>
    <numFmt numFmtId="170" formatCode="mmm\-yyyy"/>
    <numFmt numFmtId="171" formatCode="&quot;Year&quot;\ 0"/>
    <numFmt numFmtId="172" formatCode="0&quot;/unit&quot;"/>
    <numFmt numFmtId="173" formatCode="0.0%_);\(0.0%\)"/>
    <numFmt numFmtId="174" formatCode="_(* 0.0%_);_(* \(0.0%\);_(* &quot;-&quot;_);_(@_)"/>
    <numFmt numFmtId="175" formatCode="0%;\ \(0%\)"/>
    <numFmt numFmtId="176" formatCode="_(* 0.0%_);_(* \(0.0%\);_(* &quot;0%&quot;_);_(@_)"/>
    <numFmt numFmtId="177" formatCode="_(* #,##0.0_);_(* \(#,##0.0\);_(* &quot;-&quot;_);_(@_)"/>
    <numFmt numFmtId="178" formatCode="_(* #,##0.00_);_(* \(#,##0.00\);_(* &quot;-&quot;_);_(@_)"/>
    <numFmt numFmtId="179" formatCode="0.00&quot;X&quot;"/>
    <numFmt numFmtId="180" formatCode="0%\ &quot;LP&quot;"/>
    <numFmt numFmtId="181" formatCode="0%\ &quot;GP&quot;"/>
    <numFmt numFmtId="182" formatCode="0\ &quot;Months&quot;"/>
    <numFmt numFmtId="183" formatCode="&quot;Year &quot;0"/>
    <numFmt numFmtId="184" formatCode="&quot;Yr1: &quot;0.0"/>
    <numFmt numFmtId="185" formatCode="&quot;Yr2: &quot;0.0"/>
    <numFmt numFmtId="186" formatCode="&quot;Yr3: &quot;0.0"/>
    <numFmt numFmtId="187" formatCode="&quot;Ttl: &quot;0.0"/>
    <numFmt numFmtId="188" formatCode="&quot;≥ &quot;0.0%"/>
    <numFmt numFmtId="189" formatCode="&quot;≥ &quot;0.00"/>
    <numFmt numFmtId="190" formatCode="_(&quot;$&quot;\ #,##0_);_(&quot;$&quot;\ \(#,##0\);_(&quot;$&quot;\ &quot;-&quot;??_);_(@_)"/>
    <numFmt numFmtId="191" formatCode="_(* #,##0_);_(* \(#,##0\);_(* &quot;-&quot;??_);_(@_)"/>
    <numFmt numFmtId="192" formatCode="&quot;+&quot;0.00%&quot;/yr&quot;"/>
    <numFmt numFmtId="193" formatCode="0.000%"/>
    <numFmt numFmtId="194" formatCode="&quot;Month &quot;0"/>
    <numFmt numFmtId="195" formatCode="[$-409]mmm\-yy;@"/>
    <numFmt numFmtId="196" formatCode="0.0&quot; Months&quot;"/>
  </numFmts>
  <fonts count="104" x14ac:knownFonts="1">
    <font>
      <sz val="11"/>
      <color theme="1"/>
      <name val="Calibri"/>
      <family val="2"/>
      <scheme val="minor"/>
    </font>
    <font>
      <sz val="11"/>
      <color theme="1"/>
      <name val="Calibri"/>
      <family val="2"/>
      <scheme val="minor"/>
    </font>
    <font>
      <sz val="8"/>
      <color theme="1"/>
      <name val="Calibri"/>
      <family val="2"/>
      <scheme val="minor"/>
    </font>
    <font>
      <sz val="9"/>
      <color theme="1"/>
      <name val="Calibri"/>
      <family val="2"/>
      <scheme val="minor"/>
    </font>
    <font>
      <sz val="9"/>
      <color rgb="FF0000FF"/>
      <name val="Calibri"/>
      <family val="2"/>
      <scheme val="minor"/>
    </font>
    <font>
      <sz val="9"/>
      <color rgb="FF000000"/>
      <name val="Calibri"/>
      <family val="2"/>
      <scheme val="minor"/>
    </font>
    <font>
      <b/>
      <sz val="9"/>
      <color theme="1"/>
      <name val="Calibri"/>
      <family val="2"/>
      <scheme val="minor"/>
    </font>
    <font>
      <sz val="9"/>
      <color indexed="81"/>
      <name val="Tahoma"/>
      <family val="2"/>
    </font>
    <font>
      <sz val="9"/>
      <color theme="0"/>
      <name val="Calibri"/>
      <family val="2"/>
      <scheme val="minor"/>
    </font>
    <font>
      <b/>
      <sz val="9"/>
      <color theme="1"/>
      <name val="Calibri"/>
      <family val="2"/>
    </font>
    <font>
      <sz val="9"/>
      <name val="Calibri"/>
      <family val="2"/>
    </font>
    <font>
      <sz val="9"/>
      <color theme="1"/>
      <name val="Calibri"/>
      <family val="2"/>
    </font>
    <font>
      <sz val="9"/>
      <color rgb="FF0000FF"/>
      <name val="Calibri"/>
      <family val="2"/>
    </font>
    <font>
      <i/>
      <sz val="9"/>
      <color theme="1"/>
      <name val="Calibri"/>
      <family val="2"/>
    </font>
    <font>
      <sz val="9"/>
      <color theme="0"/>
      <name val="Calibri"/>
      <family val="2"/>
    </font>
    <font>
      <sz val="9"/>
      <color rgb="FF000000"/>
      <name val="Calibri"/>
      <family val="2"/>
    </font>
    <font>
      <i/>
      <sz val="9"/>
      <color rgb="FF000000"/>
      <name val="Calibri"/>
      <family val="2"/>
    </font>
    <font>
      <sz val="9"/>
      <color theme="1"/>
      <name val="Arial"/>
      <family val="2"/>
    </font>
    <font>
      <i/>
      <sz val="9"/>
      <color theme="0"/>
      <name val="Calibri"/>
      <family val="2"/>
    </font>
    <font>
      <b/>
      <sz val="9"/>
      <color theme="0"/>
      <name val="Calibri"/>
      <family val="2"/>
      <scheme val="minor"/>
    </font>
    <font>
      <sz val="9"/>
      <name val="Calibri"/>
      <family val="2"/>
      <scheme val="minor"/>
    </font>
    <font>
      <sz val="9"/>
      <color rgb="FF0070C0"/>
      <name val="Calibri"/>
      <family val="2"/>
      <scheme val="minor"/>
    </font>
    <font>
      <b/>
      <sz val="11"/>
      <color theme="1"/>
      <name val="Calibri"/>
      <family val="2"/>
      <scheme val="minor"/>
    </font>
    <font>
      <b/>
      <i/>
      <sz val="9"/>
      <color theme="1"/>
      <name val="Calibri"/>
      <family val="2"/>
    </font>
    <font>
      <b/>
      <sz val="9"/>
      <color theme="0"/>
      <name val="Calibri"/>
      <family val="2"/>
    </font>
    <font>
      <b/>
      <sz val="9"/>
      <name val="Calibri"/>
      <family val="2"/>
    </font>
    <font>
      <i/>
      <sz val="9"/>
      <color theme="1"/>
      <name val="Calibri"/>
      <family val="2"/>
      <scheme val="minor"/>
    </font>
    <font>
      <sz val="10"/>
      <color theme="0"/>
      <name val="Calibri"/>
      <family val="2"/>
      <scheme val="minor"/>
    </font>
    <font>
      <b/>
      <sz val="9"/>
      <color indexed="81"/>
      <name val="Tahoma"/>
      <family val="2"/>
    </font>
    <font>
      <sz val="8"/>
      <color theme="0"/>
      <name val="Calibri"/>
      <family val="2"/>
      <scheme val="minor"/>
    </font>
    <font>
      <i/>
      <sz val="8"/>
      <color theme="0"/>
      <name val="Calibri"/>
      <family val="2"/>
      <scheme val="minor"/>
    </font>
    <font>
      <b/>
      <u/>
      <sz val="9"/>
      <color indexed="81"/>
      <name val="Tahoma"/>
      <family val="2"/>
    </font>
    <font>
      <b/>
      <sz val="10"/>
      <color theme="0"/>
      <name val="Calibri"/>
      <family val="2"/>
      <scheme val="minor"/>
    </font>
    <font>
      <b/>
      <sz val="9"/>
      <name val="Calibri"/>
      <family val="2"/>
      <scheme val="minor"/>
    </font>
    <font>
      <sz val="9"/>
      <color theme="1"/>
      <name val="Wingdings"/>
      <charset val="2"/>
    </font>
    <font>
      <b/>
      <sz val="14"/>
      <color rgb="FF13545E"/>
      <name val="Calibri"/>
      <family val="2"/>
      <scheme val="minor"/>
    </font>
    <font>
      <b/>
      <i/>
      <sz val="9"/>
      <color theme="1"/>
      <name val="Calibri"/>
      <family val="2"/>
      <scheme val="minor"/>
    </font>
    <font>
      <sz val="8"/>
      <color theme="0"/>
      <name val="Calibri"/>
      <family val="2"/>
    </font>
    <font>
      <b/>
      <i/>
      <sz val="9"/>
      <color rgb="FF000000"/>
      <name val="Calibri"/>
      <family val="2"/>
    </font>
    <font>
      <i/>
      <sz val="9"/>
      <color rgb="FFC00000"/>
      <name val="Calibri"/>
      <family val="2"/>
    </font>
    <font>
      <b/>
      <sz val="9"/>
      <color theme="1" tint="0.14999847407452621"/>
      <name val="Calibri"/>
      <family val="2"/>
      <scheme val="minor"/>
    </font>
    <font>
      <sz val="9"/>
      <color theme="5" tint="-0.249977111117893"/>
      <name val="Calibri"/>
      <family val="2"/>
    </font>
    <font>
      <sz val="10"/>
      <color theme="1"/>
      <name val="Calibri"/>
      <family val="2"/>
    </font>
    <font>
      <b/>
      <sz val="10"/>
      <color theme="1"/>
      <name val="Calibri"/>
      <family val="2"/>
      <scheme val="minor"/>
    </font>
    <font>
      <sz val="10"/>
      <color theme="1"/>
      <name val="Calibri"/>
      <family val="2"/>
      <scheme val="minor"/>
    </font>
    <font>
      <sz val="9"/>
      <color indexed="81"/>
      <name val="Calibri"/>
      <family val="2"/>
      <scheme val="minor"/>
    </font>
    <font>
      <u/>
      <sz val="11"/>
      <color theme="10"/>
      <name val="Calibri"/>
      <family val="2"/>
      <scheme val="minor"/>
    </font>
    <font>
      <sz val="11"/>
      <color rgb="FF000000"/>
      <name val="Calibri"/>
      <family val="2"/>
    </font>
    <font>
      <sz val="10"/>
      <color theme="1"/>
      <name val="Arial"/>
      <family val="2"/>
    </font>
    <font>
      <u/>
      <sz val="10"/>
      <color theme="10"/>
      <name val="Arial"/>
      <family val="2"/>
    </font>
    <font>
      <b/>
      <sz val="11"/>
      <color theme="0"/>
      <name val="Calibri"/>
      <family val="2"/>
    </font>
    <font>
      <sz val="10"/>
      <color theme="0"/>
      <name val="Calibri"/>
      <family val="2"/>
    </font>
    <font>
      <b/>
      <sz val="9"/>
      <color indexed="81"/>
      <name val="Calibri"/>
      <family val="2"/>
      <scheme val="minor"/>
    </font>
    <font>
      <sz val="8"/>
      <color rgb="FF0000FF"/>
      <name val="Arial"/>
      <family val="2"/>
    </font>
    <font>
      <sz val="8"/>
      <color rgb="FF0000FF"/>
      <name val="Calibri"/>
      <family val="2"/>
    </font>
    <font>
      <sz val="8"/>
      <color theme="1"/>
      <name val="Calibri"/>
      <family val="2"/>
    </font>
    <font>
      <sz val="8"/>
      <color theme="1"/>
      <name val="Arial"/>
      <family val="2"/>
    </font>
    <font>
      <b/>
      <sz val="8"/>
      <color theme="1"/>
      <name val="Calibri"/>
      <family val="2"/>
    </font>
    <font>
      <b/>
      <u/>
      <sz val="9"/>
      <color indexed="81"/>
      <name val="Calibri"/>
      <family val="2"/>
      <scheme val="minor"/>
    </font>
    <font>
      <i/>
      <sz val="9"/>
      <color rgb="FFC00000"/>
      <name val="Calibri"/>
      <family val="2"/>
      <scheme val="minor"/>
    </font>
    <font>
      <i/>
      <sz val="9"/>
      <color indexed="81"/>
      <name val="Calibri"/>
      <family val="2"/>
      <scheme val="minor"/>
    </font>
    <font>
      <sz val="10"/>
      <color rgb="FFFF0000"/>
      <name val="Calibri"/>
      <family val="2"/>
      <scheme val="minor"/>
    </font>
    <font>
      <sz val="7"/>
      <color theme="0"/>
      <name val="Calibri"/>
      <family val="2"/>
      <scheme val="minor"/>
    </font>
    <font>
      <sz val="16"/>
      <color theme="0"/>
      <name val="Calibri"/>
      <family val="2"/>
      <scheme val="minor"/>
    </font>
    <font>
      <b/>
      <sz val="11"/>
      <color rgb="FF0000FF"/>
      <name val="Calibri"/>
      <family val="2"/>
      <scheme val="minor"/>
    </font>
    <font>
      <i/>
      <sz val="8"/>
      <color theme="1"/>
      <name val="Calibri"/>
      <family val="2"/>
      <scheme val="minor"/>
    </font>
    <font>
      <b/>
      <u/>
      <sz val="11"/>
      <color theme="10"/>
      <name val="Calibri"/>
      <family val="2"/>
      <scheme val="minor"/>
    </font>
    <font>
      <sz val="14"/>
      <color theme="0"/>
      <name val="Calibri"/>
      <family val="2"/>
      <scheme val="minor"/>
    </font>
    <font>
      <b/>
      <sz val="14"/>
      <color rgb="FFFFFF00"/>
      <name val="Calibri"/>
      <family val="2"/>
      <scheme val="minor"/>
    </font>
    <font>
      <i/>
      <u/>
      <sz val="11"/>
      <color rgb="FF1A7584"/>
      <name val="Calibri"/>
      <family val="2"/>
      <scheme val="minor"/>
    </font>
    <font>
      <i/>
      <sz val="11"/>
      <color rgb="FF1A7584"/>
      <name val="Calibri"/>
      <family val="2"/>
      <scheme val="minor"/>
    </font>
    <font>
      <b/>
      <sz val="8"/>
      <color theme="0"/>
      <name val="Calibri"/>
      <family val="2"/>
      <scheme val="minor"/>
    </font>
    <font>
      <i/>
      <sz val="9"/>
      <color rgb="FF0000FF"/>
      <name val="Calibri"/>
      <family val="2"/>
    </font>
    <font>
      <u/>
      <sz val="9"/>
      <color rgb="FF0000FF"/>
      <name val="Calibri"/>
      <family val="2"/>
    </font>
    <font>
      <b/>
      <sz val="8"/>
      <color theme="0"/>
      <name val="Calibri"/>
      <family val="2"/>
    </font>
    <font>
      <b/>
      <sz val="20"/>
      <color rgb="FFFFFFFF"/>
      <name val="Arial"/>
      <family val="2"/>
    </font>
    <font>
      <sz val="8"/>
      <color rgb="FFFF0000"/>
      <name val="Calibri"/>
      <family val="2"/>
    </font>
    <font>
      <b/>
      <sz val="12"/>
      <color theme="1"/>
      <name val="Calibri"/>
      <family val="2"/>
      <scheme val="minor"/>
    </font>
    <font>
      <b/>
      <sz val="11"/>
      <color theme="0"/>
      <name val="Calibri"/>
      <family val="2"/>
      <scheme val="minor"/>
    </font>
    <font>
      <i/>
      <sz val="9"/>
      <color rgb="FF0000FF"/>
      <name val="Calibri"/>
      <family val="2"/>
      <scheme val="minor"/>
    </font>
    <font>
      <b/>
      <sz val="11"/>
      <color rgb="FFFFFF00"/>
      <name val="Calibri"/>
      <family val="2"/>
      <scheme val="minor"/>
    </font>
    <font>
      <b/>
      <sz val="12"/>
      <color theme="0"/>
      <name val="Calibri"/>
      <family val="2"/>
      <scheme val="minor"/>
    </font>
    <font>
      <b/>
      <u/>
      <sz val="11"/>
      <color rgb="FFFFFF00"/>
      <name val="Calibri"/>
      <family val="2"/>
      <scheme val="minor"/>
    </font>
    <font>
      <b/>
      <u/>
      <sz val="12"/>
      <color rgb="FFFFFF00"/>
      <name val="Calibri"/>
      <family val="2"/>
      <scheme val="minor"/>
    </font>
    <font>
      <i/>
      <sz val="9"/>
      <color rgb="FF13545E"/>
      <name val="Calibri"/>
      <family val="2"/>
      <scheme val="minor"/>
    </font>
    <font>
      <sz val="8"/>
      <color rgb="FF000000"/>
      <name val="Calibri"/>
      <family val="2"/>
    </font>
    <font>
      <i/>
      <sz val="8"/>
      <color theme="0"/>
      <name val="Calibri"/>
      <family val="2"/>
    </font>
    <font>
      <i/>
      <sz val="18"/>
      <color theme="0"/>
      <name val="Calibri"/>
      <family val="2"/>
    </font>
    <font>
      <b/>
      <sz val="8"/>
      <color rgb="FFC00000"/>
      <name val="Calibri"/>
      <family val="2"/>
      <scheme val="minor"/>
    </font>
    <font>
      <sz val="9"/>
      <color theme="8"/>
      <name val="Calibri"/>
      <family val="2"/>
      <scheme val="minor"/>
    </font>
    <font>
      <sz val="9"/>
      <color theme="8"/>
      <name val="Calibri"/>
      <family val="2"/>
    </font>
    <font>
      <i/>
      <sz val="11"/>
      <color theme="1"/>
      <name val="Calibri"/>
      <family val="2"/>
      <scheme val="minor"/>
    </font>
    <font>
      <b/>
      <sz val="11"/>
      <color theme="8"/>
      <name val="Calibri"/>
      <family val="2"/>
      <scheme val="minor"/>
    </font>
    <font>
      <sz val="9"/>
      <color theme="4"/>
      <name val="Calibri"/>
      <family val="2"/>
      <scheme val="minor"/>
    </font>
    <font>
      <u/>
      <sz val="10"/>
      <color theme="10"/>
      <name val="Calibri"/>
      <family val="2"/>
      <scheme val="minor"/>
    </font>
    <font>
      <sz val="9"/>
      <color rgb="FFFF0000"/>
      <name val="Calibri"/>
      <family val="2"/>
      <scheme val="minor"/>
    </font>
    <font>
      <b/>
      <i/>
      <sz val="10"/>
      <color theme="1"/>
      <name val="Calibri"/>
      <family val="2"/>
      <scheme val="minor"/>
    </font>
    <font>
      <u/>
      <sz val="8"/>
      <color rgb="FF0000FF"/>
      <name val="Calibri"/>
      <family val="2"/>
      <scheme val="minor"/>
    </font>
    <font>
      <u/>
      <sz val="10"/>
      <color rgb="FF0000FF"/>
      <name val="Calibri"/>
      <family val="2"/>
      <scheme val="minor"/>
    </font>
    <font>
      <sz val="10"/>
      <name val="Calibri"/>
      <family val="2"/>
      <scheme val="minor"/>
    </font>
    <font>
      <b/>
      <i/>
      <sz val="9"/>
      <color indexed="81"/>
      <name val="Calibri"/>
      <family val="2"/>
      <scheme val="minor"/>
    </font>
    <font>
      <i/>
      <sz val="11"/>
      <color rgb="FFFF0000"/>
      <name val="Calibri"/>
      <family val="2"/>
      <scheme val="minor"/>
    </font>
    <font>
      <i/>
      <sz val="9"/>
      <color theme="0"/>
      <name val="Calibri"/>
      <family val="2"/>
      <scheme val="minor"/>
    </font>
    <font>
      <sz val="9"/>
      <color rgb="FF13545E"/>
      <name val="Calibri"/>
      <family val="2"/>
      <scheme val="minor"/>
    </font>
  </fonts>
  <fills count="26">
    <fill>
      <patternFill patternType="none"/>
    </fill>
    <fill>
      <patternFill patternType="gray125"/>
    </fill>
    <fill>
      <patternFill patternType="solid">
        <fgColor theme="0"/>
        <bgColor indexed="64"/>
      </patternFill>
    </fill>
    <fill>
      <patternFill patternType="solid">
        <fgColor rgb="FFCDE1E7"/>
        <bgColor indexed="64"/>
      </patternFill>
    </fill>
    <fill>
      <patternFill patternType="solid">
        <fgColor rgb="FFE8F1F4"/>
        <bgColor rgb="FFD0E7F7"/>
      </patternFill>
    </fill>
    <fill>
      <patternFill patternType="solid">
        <fgColor rgb="FF13545E"/>
        <bgColor indexed="64"/>
      </patternFill>
    </fill>
    <fill>
      <patternFill patternType="solid">
        <fgColor rgb="FF13545E"/>
        <bgColor rgb="FF2683C6"/>
      </patternFill>
    </fill>
    <fill>
      <patternFill patternType="solid">
        <fgColor rgb="FFCDE1E7"/>
        <bgColor rgb="FFD0E7F7"/>
      </patternFill>
    </fill>
    <fill>
      <patternFill patternType="solid">
        <fgColor rgb="FF13545E"/>
        <bgColor rgb="FFCDE1E7"/>
      </patternFill>
    </fill>
    <fill>
      <patternFill patternType="solid">
        <fgColor rgb="FFFFFFCC"/>
        <bgColor indexed="64"/>
      </patternFill>
    </fill>
    <fill>
      <patternFill patternType="solid">
        <fgColor rgb="FFFFCCCC"/>
        <bgColor indexed="64"/>
      </patternFill>
    </fill>
    <fill>
      <patternFill patternType="solid">
        <fgColor rgb="FFFFFFCC"/>
        <bgColor theme="0"/>
      </patternFill>
    </fill>
    <fill>
      <patternFill patternType="solid">
        <fgColor theme="0"/>
        <bgColor theme="0"/>
      </patternFill>
    </fill>
    <fill>
      <patternFill patternType="solid">
        <fgColor rgb="FFFFFFFF"/>
        <bgColor rgb="FFFFFFFF"/>
      </patternFill>
    </fill>
    <fill>
      <patternFill patternType="solid">
        <fgColor rgb="FFFFFFCC"/>
        <bgColor rgb="FFEEEEEE"/>
      </patternFill>
    </fill>
    <fill>
      <patternFill patternType="solid">
        <fgColor rgb="FF13545E"/>
        <bgColor rgb="FFEEEEEE"/>
      </patternFill>
    </fill>
    <fill>
      <patternFill patternType="solid">
        <fgColor theme="0"/>
        <bgColor rgb="FFFFFFFF"/>
      </patternFill>
    </fill>
    <fill>
      <patternFill patternType="solid">
        <fgColor theme="0"/>
        <bgColor rgb="FFD0E7F7"/>
      </patternFill>
    </fill>
    <fill>
      <patternFill patternType="solid">
        <fgColor rgb="FFE8F1F4"/>
        <bgColor indexed="64"/>
      </patternFill>
    </fill>
    <fill>
      <patternFill patternType="solid">
        <fgColor theme="0"/>
        <bgColor theme="4" tint="0.79995117038483843"/>
      </patternFill>
    </fill>
    <fill>
      <patternFill patternType="solid">
        <fgColor rgb="FF25A7BC"/>
        <bgColor indexed="64"/>
      </patternFill>
    </fill>
    <fill>
      <patternFill patternType="solid">
        <fgColor rgb="FF13545E"/>
        <bgColor rgb="FFE0E3EC"/>
      </patternFill>
    </fill>
    <fill>
      <patternFill patternType="solid">
        <fgColor rgb="FFCDE1E7"/>
        <bgColor rgb="FFE0E3EC"/>
      </patternFill>
    </fill>
    <fill>
      <patternFill patternType="solid">
        <fgColor theme="9"/>
        <bgColor indexed="64"/>
      </patternFill>
    </fill>
    <fill>
      <patternFill patternType="solid">
        <fgColor rgb="FFFFFFFF"/>
        <bgColor indexed="64"/>
      </patternFill>
    </fill>
    <fill>
      <patternFill patternType="solid">
        <fgColor theme="4"/>
        <bgColor indexed="64"/>
      </patternFill>
    </fill>
  </fills>
  <borders count="125">
    <border>
      <left/>
      <right/>
      <top/>
      <bottom/>
      <diagonal/>
    </border>
    <border>
      <left/>
      <right/>
      <top style="thin">
        <color indexed="64"/>
      </top>
      <bottom/>
      <diagonal/>
    </border>
    <border>
      <left/>
      <right/>
      <top/>
      <bottom style="thin">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style="medium">
        <color indexed="64"/>
      </bottom>
      <diagonal/>
    </border>
    <border>
      <left style="medium">
        <color indexed="64"/>
      </left>
      <right/>
      <top style="dotted">
        <color theme="0" tint="-0.499984740745262"/>
      </top>
      <bottom style="dotted">
        <color theme="0" tint="-0.499984740745262"/>
      </bottom>
      <diagonal/>
    </border>
    <border>
      <left/>
      <right/>
      <top style="dotted">
        <color theme="0" tint="-0.499984740745262"/>
      </top>
      <bottom style="dotted">
        <color theme="0" tint="-0.499984740745262"/>
      </bottom>
      <diagonal/>
    </border>
    <border>
      <left/>
      <right style="medium">
        <color indexed="64"/>
      </right>
      <top style="dotted">
        <color theme="0" tint="-0.499984740745262"/>
      </top>
      <bottom style="dotted">
        <color theme="0" tint="-0.499984740745262"/>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dotted">
        <color indexed="64"/>
      </left>
      <right/>
      <top/>
      <bottom/>
      <diagonal/>
    </border>
    <border>
      <left/>
      <right style="dotted">
        <color indexed="64"/>
      </right>
      <top/>
      <bottom/>
      <diagonal/>
    </border>
    <border>
      <left style="dotted">
        <color indexed="64"/>
      </left>
      <right/>
      <top/>
      <bottom style="medium">
        <color indexed="64"/>
      </bottom>
      <diagonal/>
    </border>
    <border>
      <left/>
      <right style="dotted">
        <color indexed="64"/>
      </right>
      <top/>
      <bottom style="medium">
        <color indexed="64"/>
      </bottom>
      <diagonal/>
    </border>
    <border>
      <left style="dotted">
        <color indexed="64"/>
      </left>
      <right/>
      <top style="medium">
        <color indexed="64"/>
      </top>
      <bottom/>
      <diagonal/>
    </border>
    <border>
      <left/>
      <right style="dotted">
        <color indexed="64"/>
      </right>
      <top style="medium">
        <color indexed="64"/>
      </top>
      <bottom/>
      <diagonal/>
    </border>
    <border>
      <left style="dotted">
        <color indexed="64"/>
      </left>
      <right/>
      <top style="dotted">
        <color theme="0" tint="-0.499984740745262"/>
      </top>
      <bottom style="dotted">
        <color theme="0" tint="-0.499984740745262"/>
      </bottom>
      <diagonal/>
    </border>
    <border>
      <left/>
      <right style="dotted">
        <color indexed="64"/>
      </right>
      <top style="dotted">
        <color theme="0" tint="-0.499984740745262"/>
      </top>
      <bottom style="dotted">
        <color theme="0" tint="-0.499984740745262"/>
      </bottom>
      <diagonal/>
    </border>
    <border>
      <left style="dotted">
        <color indexed="64"/>
      </left>
      <right/>
      <top style="medium">
        <color indexed="64"/>
      </top>
      <bottom style="medium">
        <color indexed="64"/>
      </bottom>
      <diagonal/>
    </border>
    <border>
      <left style="dotted">
        <color theme="1"/>
      </left>
      <right/>
      <top/>
      <bottom/>
      <diagonal/>
    </border>
    <border>
      <left/>
      <right style="dotted">
        <color theme="1"/>
      </right>
      <top/>
      <bottom/>
      <diagonal/>
    </border>
    <border>
      <left style="dotted">
        <color theme="1"/>
      </left>
      <right/>
      <top/>
      <bottom style="medium">
        <color indexed="64"/>
      </bottom>
      <diagonal/>
    </border>
    <border>
      <left/>
      <right style="dotted">
        <color theme="1"/>
      </right>
      <top/>
      <bottom style="medium">
        <color indexed="64"/>
      </bottom>
      <diagonal/>
    </border>
    <border>
      <left style="dotted">
        <color indexed="64"/>
      </left>
      <right/>
      <top style="thin">
        <color indexed="64"/>
      </top>
      <bottom style="thin">
        <color indexed="64"/>
      </bottom>
      <diagonal/>
    </border>
    <border>
      <left/>
      <right style="dotted">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dotted">
        <color theme="1"/>
      </left>
      <right/>
      <top style="thin">
        <color indexed="64"/>
      </top>
      <bottom style="medium">
        <color indexed="64"/>
      </bottom>
      <diagonal/>
    </border>
    <border>
      <left/>
      <right style="dotted">
        <color theme="1"/>
      </right>
      <top style="thin">
        <color indexed="64"/>
      </top>
      <bottom style="medium">
        <color indexed="64"/>
      </bottom>
      <diagonal/>
    </border>
    <border>
      <left style="dotted">
        <color indexed="64"/>
      </left>
      <right/>
      <top/>
      <bottom style="thin">
        <color indexed="64"/>
      </bottom>
      <diagonal/>
    </border>
    <border>
      <left/>
      <right style="dotted">
        <color indexed="64"/>
      </right>
      <top/>
      <bottom style="thin">
        <color indexed="64"/>
      </bottom>
      <diagonal/>
    </border>
    <border>
      <left style="dotted">
        <color theme="1"/>
      </left>
      <right/>
      <top/>
      <bottom style="thin">
        <color indexed="64"/>
      </bottom>
      <diagonal/>
    </border>
    <border>
      <left/>
      <right style="dotted">
        <color theme="1"/>
      </right>
      <top/>
      <bottom style="thin">
        <color indexed="64"/>
      </bottom>
      <diagonal/>
    </border>
    <border>
      <left style="dotted">
        <color theme="1"/>
      </left>
      <right/>
      <top style="thin">
        <color indexed="64"/>
      </top>
      <bottom style="thin">
        <color indexed="64"/>
      </bottom>
      <diagonal/>
    </border>
    <border>
      <left/>
      <right style="dotted">
        <color theme="1"/>
      </right>
      <top style="thin">
        <color indexed="64"/>
      </top>
      <bottom style="thin">
        <color indexed="64"/>
      </bottom>
      <diagonal/>
    </border>
    <border>
      <left/>
      <right/>
      <top/>
      <bottom style="double">
        <color rgb="FF13545E"/>
      </bottom>
      <diagonal/>
    </border>
    <border>
      <left style="dotted">
        <color theme="1"/>
      </left>
      <right/>
      <top style="double">
        <color rgb="FF13545E"/>
      </top>
      <bottom/>
      <diagonal/>
    </border>
    <border>
      <left style="dotted">
        <color indexed="64"/>
      </left>
      <right/>
      <top style="thin">
        <color indexed="64"/>
      </top>
      <bottom/>
      <diagonal/>
    </border>
    <border>
      <left style="dotted">
        <color theme="1"/>
      </left>
      <right style="dotted">
        <color theme="1"/>
      </right>
      <top/>
      <bottom/>
      <diagonal/>
    </border>
    <border>
      <left style="dotted">
        <color theme="1"/>
      </left>
      <right style="dotted">
        <color theme="1"/>
      </right>
      <top style="thin">
        <color indexed="64"/>
      </top>
      <bottom style="thin">
        <color indexed="64"/>
      </bottom>
      <diagonal/>
    </border>
    <border>
      <left style="dotted">
        <color indexed="64"/>
      </left>
      <right style="dotted">
        <color indexed="64"/>
      </right>
      <top style="medium">
        <color indexed="64"/>
      </top>
      <bottom/>
      <diagonal/>
    </border>
    <border>
      <left style="dotted">
        <color indexed="64"/>
      </left>
      <right style="dotted">
        <color indexed="64"/>
      </right>
      <top/>
      <bottom/>
      <diagonal/>
    </border>
    <border>
      <left style="dotted">
        <color indexed="64"/>
      </left>
      <right style="dotted">
        <color indexed="64"/>
      </right>
      <top style="thin">
        <color indexed="64"/>
      </top>
      <bottom style="thin">
        <color indexed="64"/>
      </bottom>
      <diagonal/>
    </border>
    <border>
      <left style="dotted">
        <color theme="1"/>
      </left>
      <right style="dotted">
        <color theme="1"/>
      </right>
      <top/>
      <bottom style="medium">
        <color indexed="64"/>
      </bottom>
      <diagonal/>
    </border>
    <border>
      <left/>
      <right style="medium">
        <color auto="1"/>
      </right>
      <top style="double">
        <color rgb="FF13545E"/>
      </top>
      <bottom/>
      <diagonal/>
    </border>
    <border>
      <left style="medium">
        <color indexed="64"/>
      </left>
      <right/>
      <top style="medium">
        <color indexed="64"/>
      </top>
      <bottom style="dotted">
        <color theme="0" tint="-0.499984740745262"/>
      </bottom>
      <diagonal/>
    </border>
    <border>
      <left style="medium">
        <color indexed="64"/>
      </left>
      <right/>
      <top style="dotted">
        <color theme="0" tint="-0.499984740745262"/>
      </top>
      <bottom style="medium">
        <color indexed="64"/>
      </bottom>
      <diagonal/>
    </border>
    <border>
      <left style="dotted">
        <color indexed="64"/>
      </left>
      <right/>
      <top style="medium">
        <color indexed="64"/>
      </top>
      <bottom style="thin">
        <color indexed="64"/>
      </bottom>
      <diagonal/>
    </border>
    <border>
      <left/>
      <right/>
      <top style="medium">
        <color indexed="64"/>
      </top>
      <bottom style="thin">
        <color indexed="64"/>
      </bottom>
      <diagonal/>
    </border>
    <border>
      <left/>
      <right style="dotted">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dotted">
        <color indexed="64"/>
      </right>
      <top style="medium">
        <color indexed="64"/>
      </top>
      <bottom style="medium">
        <color indexed="64"/>
      </bottom>
      <diagonal/>
    </border>
    <border>
      <left/>
      <right style="dotted">
        <color indexed="64"/>
      </right>
      <top style="thin">
        <color indexed="64"/>
      </top>
      <bottom style="medium">
        <color indexed="64"/>
      </bottom>
      <diagonal/>
    </border>
    <border>
      <left style="medium">
        <color indexed="64"/>
      </left>
      <right style="dotted">
        <color indexed="64"/>
      </right>
      <top style="medium">
        <color indexed="64"/>
      </top>
      <bottom/>
      <diagonal/>
    </border>
    <border>
      <left style="medium">
        <color indexed="64"/>
      </left>
      <right style="dotted">
        <color indexed="64"/>
      </right>
      <top/>
      <bottom/>
      <diagonal/>
    </border>
    <border>
      <left style="medium">
        <color indexed="64"/>
      </left>
      <right style="dotted">
        <color indexed="64"/>
      </right>
      <top style="thin">
        <color indexed="64"/>
      </top>
      <bottom style="medium">
        <color indexed="64"/>
      </bottom>
      <diagonal/>
    </border>
    <border>
      <left/>
      <right/>
      <top style="dotted">
        <color indexed="64"/>
      </top>
      <bottom/>
      <diagonal/>
    </border>
    <border>
      <left/>
      <right style="medium">
        <color indexed="64"/>
      </right>
      <top style="dotted">
        <color indexed="64"/>
      </top>
      <bottom/>
      <diagonal/>
    </border>
    <border>
      <left/>
      <right/>
      <top/>
      <bottom style="dotted">
        <color indexed="64"/>
      </bottom>
      <diagonal/>
    </border>
    <border>
      <left/>
      <right style="medium">
        <color indexed="64"/>
      </right>
      <top/>
      <bottom style="dotted">
        <color indexed="64"/>
      </bottom>
      <diagonal/>
    </border>
    <border>
      <left/>
      <right/>
      <top style="thin">
        <color rgb="FF13545E"/>
      </top>
      <bottom style="thin">
        <color rgb="FF13545E"/>
      </bottom>
      <diagonal/>
    </border>
    <border>
      <left/>
      <right style="dotted">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dotted">
        <color indexed="64"/>
      </right>
      <top style="thin">
        <color indexed="64"/>
      </top>
      <bottom style="thin">
        <color indexed="64"/>
      </bottom>
      <diagonal/>
    </border>
    <border>
      <left style="medium">
        <color indexed="64"/>
      </left>
      <right style="dotted">
        <color indexed="64"/>
      </right>
      <top/>
      <bottom style="thin">
        <color indexed="64"/>
      </bottom>
      <diagonal/>
    </border>
    <border>
      <left style="dotted">
        <color indexed="64"/>
      </left>
      <right style="dotted">
        <color indexed="64"/>
      </right>
      <top style="medium">
        <color indexed="64"/>
      </top>
      <bottom style="medium">
        <color indexed="64"/>
      </bottom>
      <diagonal/>
    </border>
    <border>
      <left style="dotted">
        <color indexed="64"/>
      </left>
      <right style="dotted">
        <color indexed="64"/>
      </right>
      <top/>
      <bottom style="medium">
        <color indexed="64"/>
      </bottom>
      <diagonal/>
    </border>
    <border>
      <left/>
      <right/>
      <top style="double">
        <color rgb="FF13545E"/>
      </top>
      <bottom/>
      <diagonal/>
    </border>
    <border>
      <left style="medium">
        <color indexed="64"/>
      </left>
      <right style="medium">
        <color indexed="64"/>
      </right>
      <top style="medium">
        <color indexed="64"/>
      </top>
      <bottom style="medium">
        <color indexed="64"/>
      </bottom>
      <diagonal/>
    </border>
    <border>
      <left/>
      <right style="dotted">
        <color theme="1"/>
      </right>
      <top style="double">
        <color rgb="FF13545E"/>
      </top>
      <bottom/>
      <diagonal/>
    </border>
    <border>
      <left style="dotted">
        <color theme="1"/>
      </left>
      <right/>
      <top style="dotted">
        <color indexed="64"/>
      </top>
      <bottom/>
      <diagonal/>
    </border>
    <border>
      <left style="dotted">
        <color theme="1"/>
      </left>
      <right/>
      <top/>
      <bottom style="dotted">
        <color indexed="64"/>
      </bottom>
      <diagonal/>
    </border>
    <border>
      <left/>
      <right style="dotted">
        <color theme="1"/>
      </right>
      <top/>
      <bottom style="dotted">
        <color indexed="64"/>
      </bottom>
      <diagonal/>
    </border>
    <border>
      <left style="dotted">
        <color theme="1"/>
      </left>
      <right/>
      <top style="thin">
        <color indexed="64"/>
      </top>
      <bottom/>
      <diagonal/>
    </border>
    <border>
      <left style="medium">
        <color indexed="64"/>
      </left>
      <right/>
      <top style="double">
        <color rgb="FF13545E"/>
      </top>
      <bottom/>
      <diagonal/>
    </border>
    <border>
      <left style="dotted">
        <color indexed="64"/>
      </left>
      <right style="dotted">
        <color indexed="64"/>
      </right>
      <top style="double">
        <color rgb="FF13545E"/>
      </top>
      <bottom/>
      <diagonal/>
    </border>
    <border>
      <left style="dotted">
        <color indexed="64"/>
      </left>
      <right/>
      <top style="double">
        <color rgb="FF13545E"/>
      </top>
      <bottom/>
      <diagonal/>
    </border>
    <border>
      <left style="thin">
        <color rgb="FF13545E"/>
      </left>
      <right/>
      <top style="thin">
        <color rgb="FF13545E"/>
      </top>
      <bottom style="thin">
        <color rgb="FF13545E"/>
      </bottom>
      <diagonal/>
    </border>
    <border>
      <left/>
      <right style="thin">
        <color rgb="FF13545E"/>
      </right>
      <top style="thin">
        <color rgb="FF13545E"/>
      </top>
      <bottom style="thin">
        <color rgb="FF13545E"/>
      </bottom>
      <diagonal/>
    </border>
    <border>
      <left style="dotted">
        <color indexed="64"/>
      </left>
      <right style="dotted">
        <color indexed="64"/>
      </right>
      <top style="thin">
        <color indexed="64"/>
      </top>
      <bottom/>
      <diagonal/>
    </border>
    <border>
      <left/>
      <right/>
      <top style="thick">
        <color rgb="FF25A7BC"/>
      </top>
      <bottom/>
      <diagonal/>
    </border>
    <border>
      <left/>
      <right/>
      <top/>
      <bottom style="thick">
        <color rgb="FF25A7BC"/>
      </bottom>
      <diagonal/>
    </border>
    <border>
      <left/>
      <right style="dotted">
        <color theme="1"/>
      </right>
      <top style="double">
        <color rgb="FF13545E"/>
      </top>
      <bottom style="thin">
        <color indexed="64"/>
      </bottom>
      <diagonal/>
    </border>
    <border>
      <left style="medium">
        <color indexed="64"/>
      </left>
      <right/>
      <top style="double">
        <color rgb="FF13545E"/>
      </top>
      <bottom style="thin">
        <color indexed="64"/>
      </bottom>
      <diagonal/>
    </border>
    <border>
      <left/>
      <right/>
      <top style="double">
        <color rgb="FF13545E"/>
      </top>
      <bottom style="thin">
        <color indexed="64"/>
      </bottom>
      <diagonal/>
    </border>
    <border>
      <left style="dotted">
        <color theme="1"/>
      </left>
      <right/>
      <top style="double">
        <color rgb="FF13545E"/>
      </top>
      <bottom style="thin">
        <color indexed="64"/>
      </bottom>
      <diagonal/>
    </border>
    <border>
      <left/>
      <right style="medium">
        <color auto="1"/>
      </right>
      <top style="double">
        <color rgb="FF13545E"/>
      </top>
      <bottom style="thin">
        <color indexed="64"/>
      </bottom>
      <diagonal/>
    </border>
    <border>
      <left/>
      <right style="dotted">
        <color auto="1"/>
      </right>
      <top style="dotted">
        <color auto="1"/>
      </top>
      <bottom/>
      <diagonal/>
    </border>
    <border>
      <left style="medium">
        <color indexed="64"/>
      </left>
      <right style="medium">
        <color indexed="64"/>
      </right>
      <top/>
      <bottom/>
      <diagonal/>
    </border>
    <border>
      <left style="dotted">
        <color indexed="64"/>
      </left>
      <right/>
      <top style="thin">
        <color indexed="64"/>
      </top>
      <bottom style="medium">
        <color indexed="64"/>
      </bottom>
      <diagonal/>
    </border>
    <border>
      <left style="dotted">
        <color indexed="64"/>
      </left>
      <right style="dotted">
        <color indexed="64"/>
      </right>
      <top style="thin">
        <color indexed="64"/>
      </top>
      <bottom style="medium">
        <color indexed="64"/>
      </bottom>
      <diagonal/>
    </border>
    <border>
      <left style="dotted">
        <color indexed="64"/>
      </left>
      <right style="dotted">
        <color indexed="64"/>
      </right>
      <top/>
      <bottom style="thin">
        <color indexed="64"/>
      </bottom>
      <diagonal/>
    </border>
    <border>
      <left style="medium">
        <color indexed="64"/>
      </left>
      <right/>
      <top style="thick">
        <color rgb="FFC00000"/>
      </top>
      <bottom style="thin">
        <color indexed="64"/>
      </bottom>
      <diagonal/>
    </border>
    <border>
      <left style="dotted">
        <color indexed="64"/>
      </left>
      <right/>
      <top style="thick">
        <color rgb="FFC00000"/>
      </top>
      <bottom style="thin">
        <color indexed="64"/>
      </bottom>
      <diagonal/>
    </border>
    <border>
      <left/>
      <right/>
      <top style="thick">
        <color rgb="FFC00000"/>
      </top>
      <bottom style="thin">
        <color indexed="64"/>
      </bottom>
      <diagonal/>
    </border>
    <border>
      <left/>
      <right style="dotted">
        <color indexed="64"/>
      </right>
      <top style="thick">
        <color rgb="FFC00000"/>
      </top>
      <bottom style="thin">
        <color indexed="64"/>
      </bottom>
      <diagonal/>
    </border>
    <border>
      <left/>
      <right style="medium">
        <color indexed="64"/>
      </right>
      <top style="thick">
        <color rgb="FFC00000"/>
      </top>
      <bottom style="thin">
        <color indexed="64"/>
      </bottom>
      <diagonal/>
    </border>
    <border>
      <left style="medium">
        <color indexed="64"/>
      </left>
      <right style="dotted">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dotted">
        <color theme="0" tint="-0.499984740745262"/>
      </top>
      <bottom style="dotted">
        <color theme="0" tint="-0.499984740745262"/>
      </bottom>
      <diagonal/>
    </border>
    <border>
      <left style="medium">
        <color indexed="64"/>
      </left>
      <right style="medium">
        <color indexed="64"/>
      </right>
      <top/>
      <bottom style="medium">
        <color indexed="64"/>
      </bottom>
      <diagonal/>
    </border>
    <border>
      <left style="medium">
        <color indexed="64"/>
      </left>
      <right style="dotted">
        <color indexed="64"/>
      </right>
      <top style="medium">
        <color indexed="64"/>
      </top>
      <bottom style="medium">
        <color indexed="64"/>
      </bottom>
      <diagonal/>
    </border>
    <border>
      <left style="dotted">
        <color indexed="64"/>
      </left>
      <right style="medium">
        <color indexed="64"/>
      </right>
      <top style="medium">
        <color indexed="64"/>
      </top>
      <bottom style="medium">
        <color indexed="64"/>
      </bottom>
      <diagonal/>
    </border>
    <border>
      <left style="dotted">
        <color indexed="64"/>
      </left>
      <right style="medium">
        <color indexed="64"/>
      </right>
      <top/>
      <bottom/>
      <diagonal/>
    </border>
    <border>
      <left style="medium">
        <color indexed="64"/>
      </left>
      <right style="dotted">
        <color indexed="64"/>
      </right>
      <top/>
      <bottom style="medium">
        <color indexed="64"/>
      </bottom>
      <diagonal/>
    </border>
    <border>
      <left style="dotted">
        <color indexed="64"/>
      </left>
      <right style="medium">
        <color indexed="64"/>
      </right>
      <top/>
      <bottom style="medium">
        <color indexed="64"/>
      </bottom>
      <diagonal/>
    </border>
    <border>
      <left style="dotted">
        <color indexed="64"/>
      </left>
      <right style="medium">
        <color indexed="64"/>
      </right>
      <top style="medium">
        <color indexed="64"/>
      </top>
      <bottom/>
      <diagonal/>
    </border>
    <border>
      <left/>
      <right style="dashed">
        <color indexed="64"/>
      </right>
      <top/>
      <bottom style="thin">
        <color indexed="64"/>
      </bottom>
      <diagonal/>
    </border>
    <border>
      <left/>
      <right style="dashed">
        <color indexed="64"/>
      </right>
      <top/>
      <bottom/>
      <diagonal/>
    </border>
    <border>
      <left/>
      <right style="dashed">
        <color indexed="64"/>
      </right>
      <top style="thin">
        <color indexed="64"/>
      </top>
      <bottom style="thin">
        <color indexed="64"/>
      </bottom>
      <diagonal/>
    </border>
  </borders>
  <cellStyleXfs count="12">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xf numFmtId="0" fontId="1" fillId="0" borderId="0"/>
    <xf numFmtId="0" fontId="46" fillId="0" borderId="0" applyNumberFormat="0" applyFill="0" applyBorder="0" applyAlignment="0" applyProtection="0"/>
    <xf numFmtId="0" fontId="47" fillId="0" borderId="0"/>
    <xf numFmtId="9" fontId="48" fillId="0" borderId="0" applyFont="0" applyFill="0" applyBorder="0" applyAlignment="0" applyProtection="0"/>
    <xf numFmtId="0" fontId="49" fillId="0" borderId="0" applyNumberFormat="0" applyFill="0" applyBorder="0" applyAlignment="0" applyProtection="0"/>
    <xf numFmtId="43" fontId="1" fillId="0" borderId="0" applyFont="0" applyFill="0" applyBorder="0" applyAlignment="0" applyProtection="0"/>
    <xf numFmtId="0" fontId="44" fillId="0" borderId="0"/>
    <xf numFmtId="0" fontId="97" fillId="0" borderId="0" applyNumberFormat="0" applyFill="0" applyBorder="0" applyAlignment="0" applyProtection="0"/>
  </cellStyleXfs>
  <cellXfs count="940">
    <xf numFmtId="0" fontId="0" fillId="0" borderId="0" xfId="0"/>
    <xf numFmtId="0" fontId="11" fillId="2" borderId="3" xfId="0" applyFont="1" applyFill="1" applyBorder="1" applyAlignment="1">
      <alignment horizontal="left" vertical="center"/>
    </xf>
    <xf numFmtId="0" fontId="11" fillId="2" borderId="3" xfId="0" quotePrefix="1" applyFont="1" applyFill="1" applyBorder="1" applyAlignment="1">
      <alignment horizontal="left"/>
    </xf>
    <xf numFmtId="0" fontId="11" fillId="2" borderId="7" xfId="0" applyFont="1" applyFill="1" applyBorder="1" applyAlignment="1">
      <alignment vertical="center"/>
    </xf>
    <xf numFmtId="0" fontId="11" fillId="2" borderId="0" xfId="0" applyFont="1" applyFill="1" applyAlignment="1">
      <alignment vertical="center"/>
    </xf>
    <xf numFmtId="0" fontId="3" fillId="0" borderId="0" xfId="0" applyFont="1"/>
    <xf numFmtId="0" fontId="11" fillId="2" borderId="0" xfId="0" applyFont="1" applyFill="1" applyAlignment="1">
      <alignment horizontal="left" vertical="center"/>
    </xf>
    <xf numFmtId="0" fontId="3" fillId="2" borderId="0" xfId="0" applyFont="1" applyFill="1"/>
    <xf numFmtId="0" fontId="11" fillId="2" borderId="6" xfId="0" applyFont="1" applyFill="1" applyBorder="1" applyAlignment="1">
      <alignment horizontal="left" vertical="center"/>
    </xf>
    <xf numFmtId="41" fontId="11" fillId="0" borderId="0" xfId="0" applyNumberFormat="1" applyFont="1"/>
    <xf numFmtId="37" fontId="11" fillId="2" borderId="0" xfId="0" applyNumberFormat="1" applyFont="1" applyFill="1"/>
    <xf numFmtId="41" fontId="16" fillId="0" borderId="0" xfId="0" applyNumberFormat="1" applyFont="1"/>
    <xf numFmtId="0" fontId="3" fillId="3" borderId="0" xfId="0" applyFont="1" applyFill="1"/>
    <xf numFmtId="0" fontId="3" fillId="3" borderId="4" xfId="0" applyFont="1" applyFill="1" applyBorder="1"/>
    <xf numFmtId="0" fontId="3" fillId="2" borderId="0" xfId="0" applyFont="1" applyFill="1" applyAlignment="1">
      <alignment horizontal="center"/>
    </xf>
    <xf numFmtId="0" fontId="11" fillId="2" borderId="7" xfId="0" applyFont="1" applyFill="1" applyBorder="1" applyAlignment="1">
      <alignment horizontal="center" vertical="center"/>
    </xf>
    <xf numFmtId="0" fontId="11" fillId="2" borderId="3" xfId="0" applyFont="1" applyFill="1" applyBorder="1" applyAlignment="1">
      <alignment horizontal="left"/>
    </xf>
    <xf numFmtId="0" fontId="11" fillId="0" borderId="5" xfId="0" applyFont="1" applyBorder="1"/>
    <xf numFmtId="0" fontId="6" fillId="3" borderId="19" xfId="0" applyFont="1" applyFill="1" applyBorder="1"/>
    <xf numFmtId="0" fontId="6" fillId="3" borderId="20" xfId="0" applyFont="1" applyFill="1" applyBorder="1"/>
    <xf numFmtId="41" fontId="9" fillId="3" borderId="20" xfId="0" applyNumberFormat="1" applyFont="1" applyFill="1" applyBorder="1"/>
    <xf numFmtId="41" fontId="9" fillId="3" borderId="21" xfId="0" applyNumberFormat="1" applyFont="1" applyFill="1" applyBorder="1"/>
    <xf numFmtId="0" fontId="3" fillId="2" borderId="31" xfId="0" applyFont="1" applyFill="1" applyBorder="1"/>
    <xf numFmtId="0" fontId="3" fillId="2" borderId="32" xfId="0" applyFont="1" applyFill="1" applyBorder="1"/>
    <xf numFmtId="0" fontId="11" fillId="2" borderId="33" xfId="0" applyFont="1" applyFill="1" applyBorder="1" applyAlignment="1">
      <alignment vertical="center"/>
    </xf>
    <xf numFmtId="10" fontId="12" fillId="2" borderId="34" xfId="0" applyNumberFormat="1" applyFont="1" applyFill="1" applyBorder="1" applyAlignment="1" applyProtection="1">
      <alignment horizontal="center" vertical="center"/>
      <protection locked="0"/>
    </xf>
    <xf numFmtId="0" fontId="14" fillId="5" borderId="3" xfId="0" applyFont="1" applyFill="1" applyBorder="1" applyAlignment="1">
      <alignment vertical="center"/>
    </xf>
    <xf numFmtId="0" fontId="14" fillId="5" borderId="0" xfId="0" applyFont="1" applyFill="1" applyAlignment="1">
      <alignment vertical="center"/>
    </xf>
    <xf numFmtId="0" fontId="11" fillId="2" borderId="5" xfId="0" applyFont="1" applyFill="1" applyBorder="1" applyAlignment="1">
      <alignment vertical="center"/>
    </xf>
    <xf numFmtId="10" fontId="12" fillId="2" borderId="5" xfId="0" applyNumberFormat="1" applyFont="1" applyFill="1" applyBorder="1" applyAlignment="1" applyProtection="1">
      <alignment horizontal="center" vertical="center"/>
      <protection locked="0"/>
    </xf>
    <xf numFmtId="0" fontId="13" fillId="0" borderId="5" xfId="0" applyFont="1" applyBorder="1" applyAlignment="1">
      <alignment horizontal="right"/>
    </xf>
    <xf numFmtId="0" fontId="11" fillId="0" borderId="5" xfId="0" applyFont="1" applyBorder="1" applyAlignment="1">
      <alignment horizontal="right"/>
    </xf>
    <xf numFmtId="164" fontId="11" fillId="0" borderId="5" xfId="0" applyNumberFormat="1" applyFont="1" applyBorder="1"/>
    <xf numFmtId="0" fontId="9" fillId="7" borderId="19" xfId="0" quotePrefix="1" applyFont="1" applyFill="1" applyBorder="1" applyAlignment="1">
      <alignment horizontal="left"/>
    </xf>
    <xf numFmtId="0" fontId="11" fillId="7" borderId="20" xfId="0" applyFont="1" applyFill="1" applyBorder="1"/>
    <xf numFmtId="37" fontId="9" fillId="7" borderId="20" xfId="0" applyNumberFormat="1" applyFont="1" applyFill="1" applyBorder="1"/>
    <xf numFmtId="0" fontId="9" fillId="3" borderId="19" xfId="0" applyFont="1" applyFill="1" applyBorder="1"/>
    <xf numFmtId="0" fontId="9" fillId="3" borderId="20" xfId="0" applyFont="1" applyFill="1" applyBorder="1"/>
    <xf numFmtId="37" fontId="9" fillId="3" borderId="20" xfId="0" applyNumberFormat="1" applyFont="1" applyFill="1" applyBorder="1"/>
    <xf numFmtId="37" fontId="9" fillId="3" borderId="21" xfId="0" applyNumberFormat="1" applyFont="1" applyFill="1" applyBorder="1"/>
    <xf numFmtId="0" fontId="25" fillId="7" borderId="19" xfId="0" applyFont="1" applyFill="1" applyBorder="1"/>
    <xf numFmtId="0" fontId="25" fillId="3" borderId="20" xfId="0" applyFont="1" applyFill="1" applyBorder="1"/>
    <xf numFmtId="37" fontId="25" fillId="3" borderId="20" xfId="0" applyNumberFormat="1" applyFont="1" applyFill="1" applyBorder="1"/>
    <xf numFmtId="0" fontId="9" fillId="3" borderId="19" xfId="0" applyFont="1" applyFill="1" applyBorder="1" applyAlignment="1">
      <alignment horizontal="left"/>
    </xf>
    <xf numFmtId="6" fontId="6" fillId="3" borderId="30" xfId="3" applyNumberFormat="1" applyFont="1" applyFill="1" applyBorder="1" applyAlignment="1">
      <alignment horizontal="center" vertical="center"/>
    </xf>
    <xf numFmtId="6" fontId="6" fillId="3" borderId="11" xfId="3" applyNumberFormat="1" applyFont="1" applyFill="1" applyBorder="1" applyAlignment="1">
      <alignment horizontal="center" vertical="center"/>
    </xf>
    <xf numFmtId="164" fontId="11" fillId="2" borderId="0" xfId="0" applyNumberFormat="1" applyFont="1" applyFill="1" applyAlignment="1">
      <alignment horizontal="center" vertical="center"/>
    </xf>
    <xf numFmtId="164" fontId="3" fillId="2" borderId="31" xfId="0" applyNumberFormat="1" applyFont="1" applyFill="1" applyBorder="1"/>
    <xf numFmtId="164" fontId="3" fillId="2" borderId="0" xfId="0" applyNumberFormat="1" applyFont="1" applyFill="1" applyAlignment="1">
      <alignment horizontal="center"/>
    </xf>
    <xf numFmtId="164" fontId="11" fillId="2" borderId="4" xfId="0" applyNumberFormat="1" applyFont="1" applyFill="1" applyBorder="1" applyAlignment="1">
      <alignment horizontal="center" vertical="center"/>
    </xf>
    <xf numFmtId="0" fontId="9" fillId="4" borderId="37" xfId="0" applyFont="1" applyFill="1" applyBorder="1"/>
    <xf numFmtId="0" fontId="9" fillId="4" borderId="38" xfId="0" applyFont="1" applyFill="1" applyBorder="1"/>
    <xf numFmtId="37" fontId="9" fillId="4" borderId="38" xfId="0" applyNumberFormat="1" applyFont="1" applyFill="1" applyBorder="1"/>
    <xf numFmtId="37" fontId="9" fillId="4" borderId="39" xfId="0" applyNumberFormat="1" applyFont="1" applyFill="1" applyBorder="1"/>
    <xf numFmtId="37" fontId="9" fillId="4" borderId="41" xfId="0" applyNumberFormat="1" applyFont="1" applyFill="1" applyBorder="1"/>
    <xf numFmtId="0" fontId="3" fillId="0" borderId="22" xfId="0" applyFont="1" applyBorder="1"/>
    <xf numFmtId="0" fontId="8" fillId="5" borderId="2" xfId="3" applyFont="1" applyFill="1" applyBorder="1"/>
    <xf numFmtId="0" fontId="14" fillId="6" borderId="0" xfId="0" applyFont="1" applyFill="1" applyAlignment="1">
      <alignment vertical="center"/>
    </xf>
    <xf numFmtId="0" fontId="8" fillId="5" borderId="0" xfId="0" applyFont="1" applyFill="1" applyAlignment="1">
      <alignment vertical="center"/>
    </xf>
    <xf numFmtId="37" fontId="8" fillId="5" borderId="31" xfId="0" applyNumberFormat="1" applyFont="1" applyFill="1" applyBorder="1" applyAlignment="1">
      <alignment horizontal="right" vertical="center"/>
    </xf>
    <xf numFmtId="37" fontId="8" fillId="5" borderId="0" xfId="0" applyNumberFormat="1" applyFont="1" applyFill="1" applyAlignment="1">
      <alignment horizontal="center" vertical="center"/>
    </xf>
    <xf numFmtId="171" fontId="14" fillId="5" borderId="0" xfId="0" applyNumberFormat="1" applyFont="1" applyFill="1" applyAlignment="1">
      <alignment horizontal="center" vertical="center"/>
    </xf>
    <xf numFmtId="171" fontId="14" fillId="5" borderId="4" xfId="0" applyNumberFormat="1" applyFont="1" applyFill="1" applyBorder="1" applyAlignment="1">
      <alignment horizontal="center" vertical="center"/>
    </xf>
    <xf numFmtId="0" fontId="24" fillId="8" borderId="3" xfId="0" applyFont="1" applyFill="1" applyBorder="1" applyAlignment="1">
      <alignment vertical="center"/>
    </xf>
    <xf numFmtId="0" fontId="8" fillId="5" borderId="17" xfId="3" applyFont="1" applyFill="1" applyBorder="1" applyAlignment="1">
      <alignment horizontal="left" vertical="center"/>
    </xf>
    <xf numFmtId="0" fontId="8" fillId="5" borderId="42" xfId="3" applyFont="1" applyFill="1" applyBorder="1" applyAlignment="1">
      <alignment horizontal="centerContinuous" vertical="center"/>
    </xf>
    <xf numFmtId="0" fontId="8" fillId="5" borderId="2" xfId="3" applyFont="1" applyFill="1" applyBorder="1" applyAlignment="1">
      <alignment horizontal="centerContinuous" vertical="center"/>
    </xf>
    <xf numFmtId="0" fontId="3" fillId="3" borderId="31" xfId="0" applyFont="1" applyFill="1" applyBorder="1"/>
    <xf numFmtId="0" fontId="3" fillId="3" borderId="32" xfId="0" applyFont="1" applyFill="1" applyBorder="1"/>
    <xf numFmtId="6" fontId="6" fillId="3" borderId="16" xfId="3" applyNumberFormat="1" applyFont="1" applyFill="1" applyBorder="1" applyAlignment="1">
      <alignment horizontal="center" vertical="center"/>
    </xf>
    <xf numFmtId="0" fontId="6" fillId="3" borderId="3" xfId="0" applyFont="1" applyFill="1" applyBorder="1"/>
    <xf numFmtId="41" fontId="16" fillId="0" borderId="23" xfId="0" applyNumberFormat="1" applyFont="1" applyBorder="1"/>
    <xf numFmtId="41" fontId="11" fillId="2" borderId="0" xfId="0" applyNumberFormat="1" applyFont="1" applyFill="1"/>
    <xf numFmtId="0" fontId="29" fillId="5" borderId="15" xfId="0" applyFont="1" applyFill="1" applyBorder="1"/>
    <xf numFmtId="0" fontId="29" fillId="5" borderId="11" xfId="0" applyFont="1" applyFill="1" applyBorder="1"/>
    <xf numFmtId="0" fontId="30" fillId="5" borderId="11" xfId="0" applyFont="1" applyFill="1" applyBorder="1" applyAlignment="1">
      <alignment horizontal="right"/>
    </xf>
    <xf numFmtId="6" fontId="29" fillId="5" borderId="16" xfId="0" applyNumberFormat="1" applyFont="1" applyFill="1" applyBorder="1" applyAlignment="1">
      <alignment horizontal="center"/>
    </xf>
    <xf numFmtId="0" fontId="3" fillId="2" borderId="0" xfId="0" applyFont="1" applyFill="1" applyAlignment="1">
      <alignment vertical="center"/>
    </xf>
    <xf numFmtId="0" fontId="8" fillId="5" borderId="4" xfId="0" applyFont="1" applyFill="1" applyBorder="1" applyAlignment="1">
      <alignment vertical="center"/>
    </xf>
    <xf numFmtId="0" fontId="8" fillId="5" borderId="1" xfId="0" applyFont="1" applyFill="1" applyBorder="1" applyAlignment="1">
      <alignment vertical="center"/>
    </xf>
    <xf numFmtId="0" fontId="8" fillId="5" borderId="3" xfId="0" applyFont="1" applyFill="1" applyBorder="1" applyAlignment="1">
      <alignment vertical="center"/>
    </xf>
    <xf numFmtId="0" fontId="19" fillId="5" borderId="0" xfId="0" applyFont="1" applyFill="1" applyAlignment="1">
      <alignment vertical="center"/>
    </xf>
    <xf numFmtId="0" fontId="32" fillId="5" borderId="0" xfId="0" applyFont="1" applyFill="1" applyAlignment="1">
      <alignment horizontal="center" vertical="center"/>
    </xf>
    <xf numFmtId="167" fontId="8" fillId="5" borderId="0" xfId="0" applyNumberFormat="1" applyFont="1" applyFill="1" applyAlignment="1">
      <alignment vertical="center"/>
    </xf>
    <xf numFmtId="167" fontId="8" fillId="5" borderId="0" xfId="0" applyNumberFormat="1" applyFont="1" applyFill="1" applyAlignment="1">
      <alignment horizontal="center" vertical="center"/>
    </xf>
    <xf numFmtId="164" fontId="8" fillId="5" borderId="0" xfId="2" applyNumberFormat="1" applyFont="1" applyFill="1" applyAlignment="1">
      <alignment horizontal="center" vertical="center"/>
    </xf>
    <xf numFmtId="1" fontId="8" fillId="5" borderId="0" xfId="0" applyNumberFormat="1" applyFont="1" applyFill="1" applyAlignment="1">
      <alignment horizontal="center" vertical="center"/>
    </xf>
    <xf numFmtId="0" fontId="8" fillId="5" borderId="0" xfId="0" applyFont="1" applyFill="1" applyAlignment="1">
      <alignment horizontal="center" vertical="center"/>
    </xf>
    <xf numFmtId="41" fontId="16" fillId="0" borderId="4" xfId="0" applyNumberFormat="1" applyFont="1" applyBorder="1"/>
    <xf numFmtId="0" fontId="8" fillId="5" borderId="18" xfId="3" applyFont="1" applyFill="1" applyBorder="1" applyAlignment="1">
      <alignment horizontal="centerContinuous" vertical="center"/>
    </xf>
    <xf numFmtId="0" fontId="35" fillId="0" borderId="48" xfId="3" applyFont="1" applyBorder="1" applyAlignment="1">
      <alignment horizontal="left"/>
    </xf>
    <xf numFmtId="0" fontId="19" fillId="0" borderId="48" xfId="3" applyFont="1" applyBorder="1" applyAlignment="1">
      <alignment horizontal="left" vertical="center"/>
    </xf>
    <xf numFmtId="0" fontId="3" fillId="0" borderId="48" xfId="3" applyFont="1" applyBorder="1"/>
    <xf numFmtId="0" fontId="3" fillId="0" borderId="48" xfId="0" applyFont="1" applyBorder="1"/>
    <xf numFmtId="0" fontId="34" fillId="0" borderId="48" xfId="0" applyFont="1" applyBorder="1"/>
    <xf numFmtId="0" fontId="13" fillId="3" borderId="3" xfId="0" applyFont="1" applyFill="1" applyBorder="1" applyAlignment="1">
      <alignment horizontal="left" vertical="center"/>
    </xf>
    <xf numFmtId="0" fontId="13" fillId="3" borderId="0" xfId="0" applyFont="1" applyFill="1" applyAlignment="1">
      <alignment horizontal="right" vertical="center"/>
    </xf>
    <xf numFmtId="37" fontId="3" fillId="3" borderId="31" xfId="0" applyNumberFormat="1" applyFont="1" applyFill="1" applyBorder="1"/>
    <xf numFmtId="37" fontId="3" fillId="3" borderId="0" xfId="0" applyNumberFormat="1" applyFont="1" applyFill="1" applyAlignment="1">
      <alignment horizontal="center"/>
    </xf>
    <xf numFmtId="3" fontId="13" fillId="3" borderId="0" xfId="0" applyNumberFormat="1" applyFont="1" applyFill="1" applyAlignment="1" applyProtection="1">
      <alignment horizontal="center" vertical="center"/>
      <protection locked="0"/>
    </xf>
    <xf numFmtId="3" fontId="13" fillId="3" borderId="32" xfId="0" applyNumberFormat="1" applyFont="1" applyFill="1" applyBorder="1" applyAlignment="1" applyProtection="1">
      <alignment horizontal="center" vertical="center"/>
      <protection locked="0"/>
    </xf>
    <xf numFmtId="3" fontId="13" fillId="3" borderId="4" xfId="0" applyNumberFormat="1" applyFont="1" applyFill="1" applyBorder="1" applyAlignment="1" applyProtection="1">
      <alignment horizontal="center" vertical="center"/>
      <protection locked="0"/>
    </xf>
    <xf numFmtId="0" fontId="13" fillId="3" borderId="3" xfId="0" applyFont="1" applyFill="1" applyBorder="1" applyAlignment="1">
      <alignment horizontal="left"/>
    </xf>
    <xf numFmtId="0" fontId="13" fillId="3" borderId="0" xfId="0" applyFont="1" applyFill="1" applyAlignment="1">
      <alignment horizontal="right"/>
    </xf>
    <xf numFmtId="164" fontId="3" fillId="3" borderId="31" xfId="0" applyNumberFormat="1" applyFont="1" applyFill="1" applyBorder="1"/>
    <xf numFmtId="164" fontId="13" fillId="3" borderId="0" xfId="0" applyNumberFormat="1" applyFont="1" applyFill="1" applyAlignment="1">
      <alignment horizontal="center" vertical="center"/>
    </xf>
    <xf numFmtId="164" fontId="13" fillId="3" borderId="4" xfId="0" applyNumberFormat="1" applyFont="1" applyFill="1" applyBorder="1" applyAlignment="1">
      <alignment horizontal="center" vertical="center"/>
    </xf>
    <xf numFmtId="41" fontId="6" fillId="3" borderId="20" xfId="0" applyNumberFormat="1" applyFont="1" applyFill="1" applyBorder="1"/>
    <xf numFmtId="0" fontId="6" fillId="3" borderId="19" xfId="0" applyFont="1" applyFill="1" applyBorder="1" applyAlignment="1">
      <alignment horizontal="left"/>
    </xf>
    <xf numFmtId="0" fontId="3" fillId="3" borderId="20" xfId="0" applyFont="1" applyFill="1" applyBorder="1"/>
    <xf numFmtId="170" fontId="18" fillId="6" borderId="49" xfId="0" applyNumberFormat="1" applyFont="1" applyFill="1" applyBorder="1" applyAlignment="1">
      <alignment horizontal="right" vertical="center"/>
    </xf>
    <xf numFmtId="0" fontId="6" fillId="3" borderId="46" xfId="0" applyFont="1" applyFill="1" applyBorder="1"/>
    <xf numFmtId="41" fontId="6" fillId="3" borderId="21" xfId="0" applyNumberFormat="1" applyFont="1" applyFill="1" applyBorder="1"/>
    <xf numFmtId="41" fontId="36" fillId="3" borderId="55" xfId="0" applyNumberFormat="1" applyFont="1" applyFill="1" applyBorder="1"/>
    <xf numFmtId="37" fontId="36" fillId="3" borderId="20" xfId="0" applyNumberFormat="1" applyFont="1" applyFill="1" applyBorder="1"/>
    <xf numFmtId="0" fontId="3" fillId="5" borderId="0" xfId="0" applyFont="1" applyFill="1"/>
    <xf numFmtId="0" fontId="37" fillId="6" borderId="0" xfId="0" applyFont="1" applyFill="1" applyAlignment="1">
      <alignment horizontal="right" vertical="center"/>
    </xf>
    <xf numFmtId="171" fontId="18" fillId="5" borderId="54" xfId="0" applyNumberFormat="1" applyFont="1" applyFill="1" applyBorder="1" applyAlignment="1">
      <alignment horizontal="center" vertical="center"/>
    </xf>
    <xf numFmtId="0" fontId="36" fillId="3" borderId="20" xfId="0" applyFont="1" applyFill="1" applyBorder="1"/>
    <xf numFmtId="41" fontId="23" fillId="3" borderId="52" xfId="0" applyNumberFormat="1" applyFont="1" applyFill="1" applyBorder="1"/>
    <xf numFmtId="2" fontId="8" fillId="5" borderId="0" xfId="2" applyNumberFormat="1" applyFont="1" applyFill="1" applyAlignment="1">
      <alignment horizontal="center" vertical="center"/>
    </xf>
    <xf numFmtId="41" fontId="11" fillId="0" borderId="0" xfId="0" applyNumberFormat="1" applyFont="1" applyAlignment="1">
      <alignment horizontal="right"/>
    </xf>
    <xf numFmtId="171" fontId="14" fillId="5" borderId="57" xfId="0" applyNumberFormat="1" applyFont="1" applyFill="1" applyBorder="1" applyAlignment="1">
      <alignment horizontal="center" vertical="center"/>
    </xf>
    <xf numFmtId="164" fontId="12" fillId="9" borderId="0" xfId="0" applyNumberFormat="1" applyFont="1" applyFill="1" applyAlignment="1" applyProtection="1">
      <alignment horizontal="center" vertical="center"/>
      <protection locked="0"/>
    </xf>
    <xf numFmtId="164" fontId="12" fillId="9" borderId="7" xfId="0" applyNumberFormat="1" applyFont="1" applyFill="1" applyBorder="1" applyAlignment="1" applyProtection="1">
      <alignment horizontal="center" vertical="center"/>
      <protection locked="0"/>
    </xf>
    <xf numFmtId="189" fontId="4" fillId="9" borderId="0" xfId="2" applyNumberFormat="1" applyFont="1" applyFill="1" applyBorder="1" applyAlignment="1">
      <alignment horizontal="center" vertical="center"/>
    </xf>
    <xf numFmtId="188" fontId="4" fillId="9" borderId="0" xfId="2" applyNumberFormat="1" applyFont="1" applyFill="1" applyBorder="1" applyAlignment="1">
      <alignment horizontal="center" vertical="center"/>
    </xf>
    <xf numFmtId="0" fontId="21" fillId="2" borderId="0" xfId="0" applyFont="1" applyFill="1" applyAlignment="1">
      <alignment horizontal="right" vertical="center"/>
    </xf>
    <xf numFmtId="0" fontId="20" fillId="2" borderId="0" xfId="0" applyFont="1" applyFill="1" applyAlignment="1">
      <alignment vertical="center"/>
    </xf>
    <xf numFmtId="0" fontId="6" fillId="2" borderId="38" xfId="0" applyFont="1" applyFill="1" applyBorder="1"/>
    <xf numFmtId="0" fontId="3" fillId="2" borderId="0" xfId="0" applyFont="1" applyFill="1" applyAlignment="1">
      <alignment horizontal="right" vertical="center"/>
    </xf>
    <xf numFmtId="164" fontId="3" fillId="2" borderId="0" xfId="2" applyNumberFormat="1" applyFont="1" applyFill="1" applyBorder="1" applyAlignment="1">
      <alignment horizontal="center" vertical="center"/>
    </xf>
    <xf numFmtId="3" fontId="3" fillId="2" borderId="4" xfId="0" applyNumberFormat="1" applyFont="1" applyFill="1" applyBorder="1" applyAlignment="1">
      <alignment vertical="center"/>
    </xf>
    <xf numFmtId="0" fontId="6" fillId="2" borderId="20" xfId="0" applyFont="1" applyFill="1" applyBorder="1" applyAlignment="1">
      <alignment horizontal="right" vertical="center"/>
    </xf>
    <xf numFmtId="164" fontId="6" fillId="2" borderId="20" xfId="0" applyNumberFormat="1" applyFont="1" applyFill="1" applyBorder="1" applyAlignment="1">
      <alignment horizontal="center" vertical="center"/>
    </xf>
    <xf numFmtId="0" fontId="6" fillId="2" borderId="38" xfId="0" applyFont="1" applyFill="1" applyBorder="1" applyAlignment="1">
      <alignment vertical="center"/>
    </xf>
    <xf numFmtId="164" fontId="6" fillId="2" borderId="38" xfId="0" applyNumberFormat="1" applyFont="1" applyFill="1" applyBorder="1" applyAlignment="1">
      <alignment horizontal="center" vertical="center"/>
    </xf>
    <xf numFmtId="0" fontId="3" fillId="2" borderId="7" xfId="0" applyFont="1" applyFill="1" applyBorder="1" applyAlignment="1">
      <alignment horizontal="right" vertical="center"/>
    </xf>
    <xf numFmtId="0" fontId="3" fillId="2" borderId="3" xfId="0" applyFont="1" applyFill="1" applyBorder="1" applyAlignment="1">
      <alignment vertical="center"/>
    </xf>
    <xf numFmtId="168" fontId="26" fillId="2" borderId="0" xfId="0" applyNumberFormat="1" applyFont="1" applyFill="1" applyAlignment="1">
      <alignment horizontal="right" vertical="center"/>
    </xf>
    <xf numFmtId="0" fontId="3" fillId="2" borderId="6" xfId="0" applyFont="1" applyFill="1" applyBorder="1" applyAlignment="1">
      <alignment vertical="center"/>
    </xf>
    <xf numFmtId="0" fontId="3" fillId="2" borderId="7" xfId="0" applyFont="1" applyFill="1" applyBorder="1" applyAlignment="1">
      <alignment vertical="center"/>
    </xf>
    <xf numFmtId="1" fontId="4" fillId="9" borderId="5" xfId="3" applyNumberFormat="1" applyFont="1" applyFill="1" applyBorder="1" applyAlignment="1" applyProtection="1">
      <alignment horizontal="center"/>
      <protection locked="0"/>
    </xf>
    <xf numFmtId="166" fontId="4" fillId="9" borderId="5" xfId="3" applyNumberFormat="1" applyFont="1" applyFill="1" applyBorder="1" applyAlignment="1" applyProtection="1">
      <alignment horizontal="center"/>
      <protection locked="0"/>
    </xf>
    <xf numFmtId="3" fontId="4" fillId="9" borderId="5" xfId="3" applyNumberFormat="1" applyFont="1" applyFill="1" applyBorder="1" applyAlignment="1" applyProtection="1">
      <alignment horizontal="center"/>
      <protection locked="0"/>
    </xf>
    <xf numFmtId="1" fontId="4" fillId="9" borderId="13" xfId="3" applyNumberFormat="1" applyFont="1" applyFill="1" applyBorder="1" applyAlignment="1" applyProtection="1">
      <alignment horizontal="center"/>
      <protection locked="0"/>
    </xf>
    <xf numFmtId="166" fontId="4" fillId="9" borderId="13" xfId="3" applyNumberFormat="1" applyFont="1" applyFill="1" applyBorder="1" applyAlignment="1" applyProtection="1">
      <alignment horizontal="center"/>
      <protection locked="0"/>
    </xf>
    <xf numFmtId="3" fontId="4" fillId="9" borderId="13" xfId="3" applyNumberFormat="1" applyFont="1" applyFill="1" applyBorder="1" applyAlignment="1" applyProtection="1">
      <alignment horizontal="center"/>
      <protection locked="0"/>
    </xf>
    <xf numFmtId="1" fontId="4" fillId="9" borderId="7" xfId="3" applyNumberFormat="1" applyFont="1" applyFill="1" applyBorder="1" applyAlignment="1" applyProtection="1">
      <alignment horizontal="center"/>
      <protection locked="0"/>
    </xf>
    <xf numFmtId="166" fontId="4" fillId="9" borderId="7" xfId="3" applyNumberFormat="1" applyFont="1" applyFill="1" applyBorder="1" applyAlignment="1" applyProtection="1">
      <alignment horizontal="center"/>
      <protection locked="0"/>
    </xf>
    <xf numFmtId="3" fontId="4" fillId="9" borderId="7" xfId="3" applyNumberFormat="1" applyFont="1" applyFill="1" applyBorder="1" applyAlignment="1" applyProtection="1">
      <alignment horizontal="center"/>
      <protection locked="0"/>
    </xf>
    <xf numFmtId="6" fontId="4" fillId="9" borderId="26" xfId="3" applyNumberFormat="1" applyFont="1" applyFill="1" applyBorder="1" applyAlignment="1" applyProtection="1">
      <alignment horizontal="center"/>
      <protection locked="0"/>
    </xf>
    <xf numFmtId="6" fontId="4" fillId="9" borderId="28" xfId="3" applyNumberFormat="1" applyFont="1" applyFill="1" applyBorder="1" applyAlignment="1" applyProtection="1">
      <alignment horizontal="center"/>
      <protection locked="0"/>
    </xf>
    <xf numFmtId="6" fontId="4" fillId="9" borderId="24" xfId="3" applyNumberFormat="1" applyFont="1" applyFill="1" applyBorder="1" applyAlignment="1" applyProtection="1">
      <alignment horizontal="center"/>
      <protection locked="0"/>
    </xf>
    <xf numFmtId="1" fontId="4" fillId="9" borderId="26" xfId="3" applyNumberFormat="1" applyFont="1" applyFill="1" applyBorder="1" applyAlignment="1" applyProtection="1">
      <alignment horizontal="center"/>
      <protection locked="0"/>
    </xf>
    <xf numFmtId="167" fontId="4" fillId="9" borderId="5" xfId="3" applyNumberFormat="1" applyFont="1" applyFill="1" applyBorder="1" applyAlignment="1" applyProtection="1">
      <alignment horizontal="center"/>
      <protection locked="0"/>
    </xf>
    <xf numFmtId="1" fontId="4" fillId="9" borderId="28" xfId="3" applyNumberFormat="1" applyFont="1" applyFill="1" applyBorder="1" applyAlignment="1" applyProtection="1">
      <alignment horizontal="center"/>
      <protection locked="0"/>
    </xf>
    <xf numFmtId="167" fontId="4" fillId="9" borderId="13" xfId="3" applyNumberFormat="1" applyFont="1" applyFill="1" applyBorder="1" applyAlignment="1" applyProtection="1">
      <alignment horizontal="center"/>
      <protection locked="0"/>
    </xf>
    <xf numFmtId="0" fontId="4" fillId="9" borderId="28" xfId="3" applyFont="1" applyFill="1" applyBorder="1" applyAlignment="1" applyProtection="1">
      <alignment horizontal="center"/>
      <protection locked="0"/>
    </xf>
    <xf numFmtId="0" fontId="4" fillId="9" borderId="24" xfId="3" applyFont="1" applyFill="1" applyBorder="1" applyAlignment="1" applyProtection="1">
      <alignment horizontal="center"/>
      <protection locked="0"/>
    </xf>
    <xf numFmtId="167" fontId="4" fillId="9" borderId="7" xfId="3" applyNumberFormat="1" applyFont="1" applyFill="1" applyBorder="1" applyAlignment="1" applyProtection="1">
      <alignment horizontal="center"/>
      <protection locked="0"/>
    </xf>
    <xf numFmtId="9" fontId="3" fillId="2" borderId="27" xfId="2" applyFont="1" applyFill="1" applyBorder="1" applyAlignment="1" applyProtection="1">
      <alignment horizontal="center"/>
      <protection locked="0"/>
    </xf>
    <xf numFmtId="6" fontId="3" fillId="2" borderId="5" xfId="3" applyNumberFormat="1" applyFont="1" applyFill="1" applyBorder="1" applyAlignment="1" applyProtection="1">
      <alignment horizontal="center"/>
      <protection locked="0"/>
    </xf>
    <xf numFmtId="8" fontId="3" fillId="2" borderId="5" xfId="3" applyNumberFormat="1" applyFont="1" applyFill="1" applyBorder="1" applyAlignment="1">
      <alignment horizontal="center"/>
    </xf>
    <xf numFmtId="6" fontId="5" fillId="2" borderId="10" xfId="3" applyNumberFormat="1" applyFont="1" applyFill="1" applyBorder="1" applyAlignment="1">
      <alignment horizontal="center"/>
    </xf>
    <xf numFmtId="9" fontId="3" fillId="2" borderId="29" xfId="2" applyFont="1" applyFill="1" applyBorder="1" applyAlignment="1" applyProtection="1">
      <alignment horizontal="center"/>
      <protection locked="0"/>
    </xf>
    <xf numFmtId="6" fontId="3" fillId="2" borderId="13" xfId="3" applyNumberFormat="1" applyFont="1" applyFill="1" applyBorder="1" applyAlignment="1" applyProtection="1">
      <alignment horizontal="center"/>
      <protection locked="0"/>
    </xf>
    <xf numFmtId="8" fontId="3" fillId="2" borderId="13" xfId="3" applyNumberFormat="1" applyFont="1" applyFill="1" applyBorder="1" applyAlignment="1">
      <alignment horizontal="center"/>
    </xf>
    <xf numFmtId="6" fontId="5" fillId="2" borderId="14" xfId="3" applyNumberFormat="1" applyFont="1" applyFill="1" applyBorder="1" applyAlignment="1">
      <alignment horizontal="center"/>
    </xf>
    <xf numFmtId="9" fontId="3" fillId="2" borderId="25" xfId="2" applyFont="1" applyFill="1" applyBorder="1" applyAlignment="1" applyProtection="1">
      <alignment horizontal="center"/>
      <protection locked="0"/>
    </xf>
    <xf numFmtId="6" fontId="3" fillId="2" borderId="7" xfId="3" applyNumberFormat="1" applyFont="1" applyFill="1" applyBorder="1" applyAlignment="1" applyProtection="1">
      <alignment horizontal="center"/>
      <protection locked="0"/>
    </xf>
    <xf numFmtId="8" fontId="3" fillId="2" borderId="7" xfId="3" applyNumberFormat="1" applyFont="1" applyFill="1" applyBorder="1" applyAlignment="1">
      <alignment horizontal="center"/>
    </xf>
    <xf numFmtId="6" fontId="5" fillId="2" borderId="8" xfId="3" applyNumberFormat="1" applyFont="1" applyFill="1" applyBorder="1" applyAlignment="1">
      <alignment horizontal="center"/>
    </xf>
    <xf numFmtId="167" fontId="3" fillId="2" borderId="5" xfId="3" applyNumberFormat="1" applyFont="1" applyFill="1" applyBorder="1" applyAlignment="1">
      <alignment horizontal="center"/>
    </xf>
    <xf numFmtId="167" fontId="3" fillId="2" borderId="13" xfId="3" applyNumberFormat="1" applyFont="1" applyFill="1" applyBorder="1" applyAlignment="1">
      <alignment horizontal="center"/>
    </xf>
    <xf numFmtId="167" fontId="3" fillId="2" borderId="7" xfId="3" applyNumberFormat="1" applyFont="1" applyFill="1" applyBorder="1" applyAlignment="1">
      <alignment horizontal="center"/>
    </xf>
    <xf numFmtId="6" fontId="5" fillId="2" borderId="5" xfId="3" applyNumberFormat="1" applyFont="1" applyFill="1" applyBorder="1" applyAlignment="1">
      <alignment horizontal="center"/>
    </xf>
    <xf numFmtId="6" fontId="5" fillId="2" borderId="13" xfId="3" applyNumberFormat="1" applyFont="1" applyFill="1" applyBorder="1" applyAlignment="1">
      <alignment horizontal="center"/>
    </xf>
    <xf numFmtId="6" fontId="5" fillId="2" borderId="7" xfId="3" applyNumberFormat="1" applyFont="1" applyFill="1" applyBorder="1" applyAlignment="1">
      <alignment horizontal="center"/>
    </xf>
    <xf numFmtId="179" fontId="20" fillId="2" borderId="7" xfId="0" applyNumberFormat="1" applyFont="1" applyFill="1" applyBorder="1" applyAlignment="1">
      <alignment horizontal="center" vertical="center"/>
    </xf>
    <xf numFmtId="0" fontId="40" fillId="2" borderId="0" xfId="3" applyFont="1" applyFill="1" applyAlignment="1">
      <alignment horizontal="center" wrapText="1"/>
    </xf>
    <xf numFmtId="0" fontId="40" fillId="2" borderId="24" xfId="3" applyFont="1" applyFill="1" applyBorder="1" applyAlignment="1">
      <alignment horizontal="center" wrapText="1"/>
    </xf>
    <xf numFmtId="0" fontId="40" fillId="2" borderId="7" xfId="3" applyFont="1" applyFill="1" applyBorder="1" applyAlignment="1">
      <alignment horizontal="center" wrapText="1"/>
    </xf>
    <xf numFmtId="0" fontId="40" fillId="2" borderId="22" xfId="3" applyFont="1" applyFill="1" applyBorder="1" applyAlignment="1">
      <alignment horizontal="center" wrapText="1"/>
    </xf>
    <xf numFmtId="0" fontId="40" fillId="2" borderId="23" xfId="3" applyFont="1" applyFill="1" applyBorder="1" applyAlignment="1">
      <alignment horizontal="center" wrapText="1"/>
    </xf>
    <xf numFmtId="0" fontId="40" fillId="2" borderId="7" xfId="3" quotePrefix="1" applyFont="1" applyFill="1" applyBorder="1" applyAlignment="1">
      <alignment horizontal="center" wrapText="1"/>
    </xf>
    <xf numFmtId="0" fontId="40" fillId="2" borderId="0" xfId="3" quotePrefix="1" applyFont="1" applyFill="1" applyAlignment="1">
      <alignment horizontal="center" wrapText="1"/>
    </xf>
    <xf numFmtId="0" fontId="40" fillId="2" borderId="8" xfId="3" applyFont="1" applyFill="1" applyBorder="1" applyAlignment="1">
      <alignment horizontal="center" wrapText="1"/>
    </xf>
    <xf numFmtId="43" fontId="12" fillId="2" borderId="5" xfId="0" applyNumberFormat="1" applyFont="1" applyFill="1" applyBorder="1" applyAlignment="1" applyProtection="1">
      <alignment horizontal="center" vertical="center"/>
      <protection locked="0"/>
    </xf>
    <xf numFmtId="41" fontId="12" fillId="2" borderId="5" xfId="0" applyNumberFormat="1" applyFont="1" applyFill="1" applyBorder="1" applyAlignment="1" applyProtection="1">
      <alignment horizontal="center" vertical="center"/>
      <protection locked="0"/>
    </xf>
    <xf numFmtId="177" fontId="11" fillId="0" borderId="0" xfId="0" applyNumberFormat="1" applyFont="1"/>
    <xf numFmtId="177" fontId="11" fillId="0" borderId="0" xfId="0" applyNumberFormat="1" applyFont="1" applyAlignment="1">
      <alignment horizontal="right"/>
    </xf>
    <xf numFmtId="177" fontId="11" fillId="0" borderId="23" xfId="0" applyNumberFormat="1" applyFont="1" applyBorder="1"/>
    <xf numFmtId="177" fontId="11" fillId="0" borderId="22" xfId="0" applyNumberFormat="1" applyFont="1" applyBorder="1"/>
    <xf numFmtId="16" fontId="3" fillId="0" borderId="3" xfId="0" applyNumberFormat="1" applyFont="1" applyBorder="1" applyAlignment="1">
      <alignment horizontal="left"/>
    </xf>
    <xf numFmtId="177" fontId="11" fillId="0" borderId="4" xfId="0" applyNumberFormat="1" applyFont="1" applyBorder="1"/>
    <xf numFmtId="0" fontId="3" fillId="0" borderId="3" xfId="0" applyFont="1" applyBorder="1" applyAlignment="1">
      <alignment horizontal="left"/>
    </xf>
    <xf numFmtId="177" fontId="11" fillId="0" borderId="22" xfId="0" applyNumberFormat="1" applyFont="1" applyBorder="1" applyAlignment="1">
      <alignment horizontal="right"/>
    </xf>
    <xf numFmtId="177" fontId="11" fillId="0" borderId="23" xfId="0" applyNumberFormat="1" applyFont="1" applyBorder="1" applyAlignment="1">
      <alignment horizontal="right"/>
    </xf>
    <xf numFmtId="41" fontId="11" fillId="0" borderId="22" xfId="0" applyNumberFormat="1" applyFont="1" applyBorder="1" applyAlignment="1">
      <alignment horizontal="right"/>
    </xf>
    <xf numFmtId="41" fontId="11" fillId="0" borderId="23" xfId="0" applyNumberFormat="1" applyFont="1" applyBorder="1" applyAlignment="1">
      <alignment horizontal="right"/>
    </xf>
    <xf numFmtId="41" fontId="16" fillId="0" borderId="22" xfId="0" applyNumberFormat="1" applyFont="1" applyBorder="1"/>
    <xf numFmtId="177" fontId="3" fillId="3" borderId="61" xfId="0" applyNumberFormat="1" applyFont="1" applyFill="1" applyBorder="1" applyAlignment="1">
      <alignment horizontal="right"/>
    </xf>
    <xf numFmtId="177" fontId="3" fillId="3" borderId="62" xfId="0" applyNumberFormat="1" applyFont="1" applyFill="1" applyBorder="1" applyAlignment="1">
      <alignment horizontal="right"/>
    </xf>
    <xf numFmtId="177" fontId="11" fillId="3" borderId="61" xfId="0" applyNumberFormat="1" applyFont="1" applyFill="1" applyBorder="1"/>
    <xf numFmtId="177" fontId="11" fillId="3" borderId="62" xfId="0" applyNumberFormat="1" applyFont="1" applyFill="1" applyBorder="1"/>
    <xf numFmtId="177" fontId="11" fillId="3" borderId="60" xfId="0" applyNumberFormat="1" applyFont="1" applyFill="1" applyBorder="1"/>
    <xf numFmtId="177" fontId="11" fillId="3" borderId="63" xfId="0" applyNumberFormat="1" applyFont="1" applyFill="1" applyBorder="1"/>
    <xf numFmtId="41" fontId="3" fillId="3" borderId="35" xfId="0" applyNumberFormat="1" applyFont="1" applyFill="1" applyBorder="1" applyAlignment="1">
      <alignment horizontal="right"/>
    </xf>
    <xf numFmtId="41" fontId="3" fillId="3" borderId="20" xfId="0" applyNumberFormat="1" applyFont="1" applyFill="1" applyBorder="1" applyAlignment="1">
      <alignment horizontal="right"/>
    </xf>
    <xf numFmtId="41" fontId="3" fillId="3" borderId="36" xfId="0" applyNumberFormat="1" applyFont="1" applyFill="1" applyBorder="1" applyAlignment="1">
      <alignment horizontal="right"/>
    </xf>
    <xf numFmtId="41" fontId="3" fillId="3" borderId="21" xfId="0" applyNumberFormat="1" applyFont="1" applyFill="1" applyBorder="1" applyAlignment="1">
      <alignment horizontal="right"/>
    </xf>
    <xf numFmtId="41" fontId="11" fillId="0" borderId="24" xfId="0" applyNumberFormat="1" applyFont="1" applyBorder="1" applyAlignment="1">
      <alignment horizontal="right"/>
    </xf>
    <xf numFmtId="41" fontId="11" fillId="0" borderId="7" xfId="0" applyNumberFormat="1" applyFont="1" applyBorder="1" applyAlignment="1">
      <alignment horizontal="right"/>
    </xf>
    <xf numFmtId="41" fontId="11" fillId="0" borderId="25" xfId="0" applyNumberFormat="1" applyFont="1" applyBorder="1" applyAlignment="1">
      <alignment horizontal="right"/>
    </xf>
    <xf numFmtId="41" fontId="16" fillId="0" borderId="24" xfId="0" applyNumberFormat="1" applyFont="1" applyBorder="1"/>
    <xf numFmtId="41" fontId="16" fillId="0" borderId="7" xfId="0" applyNumberFormat="1" applyFont="1" applyBorder="1"/>
    <xf numFmtId="41" fontId="16" fillId="0" borderId="25" xfId="0" applyNumberFormat="1" applyFont="1" applyBorder="1"/>
    <xf numFmtId="41" fontId="16" fillId="0" borderId="8" xfId="0" applyNumberFormat="1" applyFont="1" applyBorder="1"/>
    <xf numFmtId="41" fontId="3" fillId="0" borderId="0" xfId="0" applyNumberFormat="1" applyFont="1" applyAlignment="1">
      <alignment horizontal="right"/>
    </xf>
    <xf numFmtId="41" fontId="3" fillId="0" borderId="5" xfId="0" applyNumberFormat="1" applyFont="1" applyBorder="1" applyAlignment="1">
      <alignment horizontal="right"/>
    </xf>
    <xf numFmtId="41" fontId="16" fillId="0" borderId="5" xfId="0" applyNumberFormat="1" applyFont="1" applyBorder="1"/>
    <xf numFmtId="41" fontId="16" fillId="0" borderId="10" xfId="0" applyNumberFormat="1" applyFont="1" applyBorder="1"/>
    <xf numFmtId="41" fontId="16" fillId="0" borderId="27" xfId="0" applyNumberFormat="1" applyFont="1" applyBorder="1"/>
    <xf numFmtId="41" fontId="3" fillId="0" borderId="27" xfId="0" applyNumberFormat="1" applyFont="1" applyBorder="1" applyAlignment="1">
      <alignment horizontal="right"/>
    </xf>
    <xf numFmtId="41" fontId="3" fillId="0" borderId="23" xfId="0" applyNumberFormat="1" applyFont="1" applyBorder="1" applyAlignment="1">
      <alignment horizontal="right"/>
    </xf>
    <xf numFmtId="0" fontId="3" fillId="0" borderId="66" xfId="0" applyFont="1" applyBorder="1"/>
    <xf numFmtId="0" fontId="3" fillId="0" borderId="67" xfId="0" applyFont="1" applyBorder="1"/>
    <xf numFmtId="0" fontId="6" fillId="3" borderId="68" xfId="0" applyFont="1" applyFill="1" applyBorder="1"/>
    <xf numFmtId="0" fontId="36" fillId="0" borderId="0" xfId="0" applyFont="1" applyAlignment="1">
      <alignment horizontal="right"/>
    </xf>
    <xf numFmtId="41" fontId="23" fillId="0" borderId="5" xfId="0" applyNumberFormat="1" applyFont="1" applyBorder="1" applyAlignment="1">
      <alignment horizontal="right"/>
    </xf>
    <xf numFmtId="41" fontId="23" fillId="0" borderId="0" xfId="0" applyNumberFormat="1" applyFont="1" applyAlignment="1">
      <alignment horizontal="right"/>
    </xf>
    <xf numFmtId="10" fontId="8" fillId="5" borderId="0" xfId="2" applyNumberFormat="1" applyFont="1" applyFill="1" applyAlignment="1">
      <alignment horizontal="center" vertical="center"/>
    </xf>
    <xf numFmtId="171" fontId="18" fillId="5" borderId="51" xfId="0" applyNumberFormat="1" applyFont="1" applyFill="1" applyBorder="1" applyAlignment="1">
      <alignment horizontal="center" vertical="center"/>
    </xf>
    <xf numFmtId="171" fontId="14" fillId="5" borderId="32" xfId="0" applyNumberFormat="1" applyFont="1" applyFill="1" applyBorder="1" applyAlignment="1">
      <alignment horizontal="center" vertical="center"/>
    </xf>
    <xf numFmtId="179" fontId="20" fillId="2" borderId="2" xfId="0" applyNumberFormat="1" applyFont="1" applyFill="1" applyBorder="1" applyAlignment="1">
      <alignment horizontal="center" vertical="center"/>
    </xf>
    <xf numFmtId="9" fontId="30" fillId="5" borderId="11" xfId="2" applyFont="1" applyFill="1" applyBorder="1" applyAlignment="1">
      <alignment horizontal="center"/>
    </xf>
    <xf numFmtId="180" fontId="26" fillId="2" borderId="0" xfId="2" applyNumberFormat="1" applyFont="1" applyFill="1" applyBorder="1" applyAlignment="1">
      <alignment vertical="center"/>
    </xf>
    <xf numFmtId="3" fontId="26" fillId="2" borderId="0" xfId="0" applyNumberFormat="1" applyFont="1" applyFill="1" applyAlignment="1">
      <alignment vertical="center"/>
    </xf>
    <xf numFmtId="0" fontId="50" fillId="8" borderId="3" xfId="0" applyFont="1" applyFill="1" applyBorder="1" applyAlignment="1">
      <alignment vertical="center"/>
    </xf>
    <xf numFmtId="0" fontId="37" fillId="6" borderId="0" xfId="0" applyFont="1" applyFill="1" applyAlignment="1">
      <alignment horizontal="right"/>
    </xf>
    <xf numFmtId="10" fontId="54" fillId="13" borderId="0" xfId="0" applyNumberFormat="1" applyFont="1" applyFill="1" applyAlignment="1">
      <alignment horizontal="center" vertical="top"/>
    </xf>
    <xf numFmtId="0" fontId="55" fillId="0" borderId="0" xfId="0" applyFont="1"/>
    <xf numFmtId="10" fontId="53" fillId="13" borderId="0" xfId="0" applyNumberFormat="1" applyFont="1" applyFill="1" applyAlignment="1">
      <alignment horizontal="center" vertical="top"/>
    </xf>
    <xf numFmtId="10" fontId="12" fillId="13" borderId="0" xfId="0" applyNumberFormat="1" applyFont="1" applyFill="1" applyAlignment="1">
      <alignment horizontal="center" vertical="top"/>
    </xf>
    <xf numFmtId="0" fontId="11" fillId="0" borderId="0" xfId="0" applyFont="1"/>
    <xf numFmtId="4" fontId="55" fillId="13" borderId="0" xfId="0" applyNumberFormat="1" applyFont="1" applyFill="1" applyAlignment="1">
      <alignment horizontal="center" vertical="top"/>
    </xf>
    <xf numFmtId="0" fontId="56" fillId="0" borderId="0" xfId="0" applyFont="1" applyAlignment="1">
      <alignment vertical="top"/>
    </xf>
    <xf numFmtId="0" fontId="55" fillId="0" borderId="0" xfId="0" applyFont="1" applyAlignment="1">
      <alignment vertical="top"/>
    </xf>
    <xf numFmtId="190" fontId="55" fillId="0" borderId="0" xfId="0" applyNumberFormat="1" applyFont="1"/>
    <xf numFmtId="0" fontId="55" fillId="0" borderId="0" xfId="0" applyFont="1" applyAlignment="1">
      <alignment horizontal="center"/>
    </xf>
    <xf numFmtId="171" fontId="11" fillId="12" borderId="0" xfId="0" applyNumberFormat="1" applyFont="1" applyFill="1" applyAlignment="1">
      <alignment horizontal="center"/>
    </xf>
    <xf numFmtId="4" fontId="55" fillId="0" borderId="0" xfId="0" applyNumberFormat="1" applyFont="1" applyAlignment="1">
      <alignment horizontal="right"/>
    </xf>
    <xf numFmtId="183" fontId="11" fillId="12" borderId="0" xfId="0" applyNumberFormat="1" applyFont="1" applyFill="1" applyAlignment="1">
      <alignment horizontal="center"/>
    </xf>
    <xf numFmtId="183" fontId="55" fillId="0" borderId="0" xfId="0" applyNumberFormat="1" applyFont="1" applyAlignment="1">
      <alignment horizontal="center"/>
    </xf>
    <xf numFmtId="4" fontId="42" fillId="0" borderId="0" xfId="0" applyNumberFormat="1" applyFont="1"/>
    <xf numFmtId="0" fontId="55" fillId="13" borderId="0" xfId="0" applyFont="1" applyFill="1"/>
    <xf numFmtId="0" fontId="54" fillId="13" borderId="0" xfId="0" applyFont="1" applyFill="1" applyAlignment="1">
      <alignment horizontal="center" vertical="top"/>
    </xf>
    <xf numFmtId="0" fontId="56" fillId="0" borderId="0" xfId="0" applyFont="1"/>
    <xf numFmtId="10" fontId="54" fillId="16" borderId="0" xfId="0" applyNumberFormat="1" applyFont="1" applyFill="1" applyAlignment="1">
      <alignment horizontal="center" vertical="top"/>
    </xf>
    <xf numFmtId="0" fontId="8" fillId="5" borderId="3" xfId="0" applyFont="1" applyFill="1" applyBorder="1" applyAlignment="1">
      <alignment horizontal="left" vertical="center"/>
    </xf>
    <xf numFmtId="0" fontId="6" fillId="2" borderId="19" xfId="0" applyFont="1" applyFill="1" applyBorder="1" applyAlignment="1">
      <alignment vertical="center"/>
    </xf>
    <xf numFmtId="0" fontId="33" fillId="2" borderId="37" xfId="0" applyFont="1" applyFill="1" applyBorder="1" applyAlignment="1">
      <alignment horizontal="left" vertical="center"/>
    </xf>
    <xf numFmtId="0" fontId="20" fillId="2" borderId="3" xfId="0" applyFont="1" applyFill="1" applyBorder="1" applyAlignment="1">
      <alignment vertical="center"/>
    </xf>
    <xf numFmtId="164" fontId="4" fillId="9" borderId="4" xfId="2" applyNumberFormat="1" applyFont="1" applyFill="1" applyBorder="1" applyAlignment="1">
      <alignment horizontal="right" vertical="center"/>
    </xf>
    <xf numFmtId="181" fontId="4" fillId="9" borderId="4" xfId="2" applyNumberFormat="1" applyFont="1" applyFill="1" applyBorder="1" applyAlignment="1">
      <alignment horizontal="right" vertical="center"/>
    </xf>
    <xf numFmtId="0" fontId="20" fillId="2" borderId="17" xfId="0" applyFont="1" applyFill="1" applyBorder="1" applyAlignment="1">
      <alignment vertical="center"/>
    </xf>
    <xf numFmtId="164" fontId="4" fillId="9" borderId="18" xfId="2" applyNumberFormat="1" applyFont="1" applyFill="1" applyBorder="1" applyAlignment="1">
      <alignment horizontal="right" vertical="center"/>
    </xf>
    <xf numFmtId="0" fontId="8" fillId="5" borderId="75" xfId="0" applyFont="1" applyFill="1" applyBorder="1" applyAlignment="1">
      <alignment horizontal="left" vertical="center"/>
    </xf>
    <xf numFmtId="0" fontId="8" fillId="5" borderId="76" xfId="0" applyFont="1" applyFill="1" applyBorder="1" applyAlignment="1">
      <alignment vertical="center"/>
    </xf>
    <xf numFmtId="166" fontId="3" fillId="2" borderId="4" xfId="0" applyNumberFormat="1" applyFont="1" applyFill="1" applyBorder="1" applyAlignment="1">
      <alignment vertical="center"/>
    </xf>
    <xf numFmtId="0" fontId="6" fillId="2" borderId="3" xfId="0" applyFont="1" applyFill="1" applyBorder="1"/>
    <xf numFmtId="0" fontId="3" fillId="2" borderId="4" xfId="0" applyFont="1" applyFill="1" applyBorder="1"/>
    <xf numFmtId="0" fontId="6" fillId="2" borderId="37" xfId="0" applyFont="1" applyFill="1" applyBorder="1"/>
    <xf numFmtId="10" fontId="4" fillId="9" borderId="4" xfId="2" applyNumberFormat="1" applyFont="1" applyFill="1" applyBorder="1" applyAlignment="1">
      <alignment horizontal="right" vertical="center"/>
    </xf>
    <xf numFmtId="9" fontId="4" fillId="9" borderId="4" xfId="2" applyFont="1" applyFill="1" applyBorder="1" applyAlignment="1">
      <alignment vertical="center"/>
    </xf>
    <xf numFmtId="0" fontId="20" fillId="2" borderId="6" xfId="0" applyFont="1" applyFill="1" applyBorder="1" applyAlignment="1">
      <alignment horizontal="left" vertical="center"/>
    </xf>
    <xf numFmtId="10" fontId="3" fillId="2" borderId="4" xfId="2" applyNumberFormat="1" applyFont="1" applyFill="1" applyBorder="1" applyAlignment="1">
      <alignment horizontal="right" vertical="center"/>
    </xf>
    <xf numFmtId="172" fontId="12" fillId="11" borderId="4" xfId="0" applyNumberFormat="1" applyFont="1" applyFill="1" applyBorder="1" applyAlignment="1">
      <alignment vertical="center"/>
    </xf>
    <xf numFmtId="0" fontId="19" fillId="5" borderId="2" xfId="0" applyFont="1" applyFill="1" applyBorder="1" applyAlignment="1">
      <alignment horizontal="left" vertical="center"/>
    </xf>
    <xf numFmtId="0" fontId="6" fillId="0" borderId="0" xfId="0" applyFont="1"/>
    <xf numFmtId="191" fontId="3" fillId="0" borderId="0" xfId="0" applyNumberFormat="1" applyFont="1"/>
    <xf numFmtId="0" fontId="6" fillId="3" borderId="77" xfId="0" applyFont="1" applyFill="1" applyBorder="1"/>
    <xf numFmtId="41" fontId="26" fillId="2" borderId="2" xfId="0" applyNumberFormat="1" applyFont="1" applyFill="1" applyBorder="1" applyAlignment="1">
      <alignment horizontal="right"/>
    </xf>
    <xf numFmtId="41" fontId="26" fillId="2" borderId="43" xfId="0" applyNumberFormat="1" applyFont="1" applyFill="1" applyBorder="1" applyAlignment="1">
      <alignment horizontal="right"/>
    </xf>
    <xf numFmtId="41" fontId="26" fillId="3" borderId="35" xfId="0" applyNumberFormat="1" applyFont="1" applyFill="1" applyBorder="1" applyAlignment="1">
      <alignment horizontal="right"/>
    </xf>
    <xf numFmtId="41" fontId="26" fillId="3" borderId="20" xfId="0" applyNumberFormat="1" applyFont="1" applyFill="1" applyBorder="1" applyAlignment="1">
      <alignment horizontal="right"/>
    </xf>
    <xf numFmtId="41" fontId="26" fillId="3" borderId="36" xfId="0" applyNumberFormat="1" applyFont="1" applyFill="1" applyBorder="1" applyAlignment="1">
      <alignment horizontal="right"/>
    </xf>
    <xf numFmtId="177" fontId="16" fillId="0" borderId="22" xfId="0" applyNumberFormat="1" applyFont="1" applyBorder="1"/>
    <xf numFmtId="177" fontId="16" fillId="0" borderId="0" xfId="0" applyNumberFormat="1" applyFont="1"/>
    <xf numFmtId="177" fontId="16" fillId="0" borderId="23" xfId="0" applyNumberFormat="1" applyFont="1" applyBorder="1"/>
    <xf numFmtId="177" fontId="16" fillId="0" borderId="4" xfId="0" applyNumberFormat="1" applyFont="1" applyBorder="1"/>
    <xf numFmtId="41" fontId="26" fillId="2" borderId="23" xfId="0" applyNumberFormat="1" applyFont="1" applyFill="1" applyBorder="1" applyAlignment="1">
      <alignment horizontal="right"/>
    </xf>
    <xf numFmtId="164" fontId="13" fillId="2" borderId="0" xfId="2" applyNumberFormat="1" applyFont="1" applyFill="1" applyBorder="1"/>
    <xf numFmtId="164" fontId="13" fillId="2" borderId="4" xfId="2" applyNumberFormat="1" applyFont="1" applyFill="1" applyBorder="1"/>
    <xf numFmtId="0" fontId="8" fillId="5" borderId="17" xfId="0" applyFont="1" applyFill="1" applyBorder="1" applyAlignment="1">
      <alignment vertical="center"/>
    </xf>
    <xf numFmtId="0" fontId="19" fillId="5" borderId="2" xfId="0" applyFont="1" applyFill="1" applyBorder="1" applyAlignment="1">
      <alignment vertical="center"/>
    </xf>
    <xf numFmtId="0" fontId="8" fillId="5" borderId="2" xfId="0" applyFont="1" applyFill="1" applyBorder="1" applyAlignment="1">
      <alignment vertical="center"/>
    </xf>
    <xf numFmtId="0" fontId="8" fillId="5" borderId="18" xfId="0" applyFont="1" applyFill="1" applyBorder="1" applyAlignment="1">
      <alignment vertical="center"/>
    </xf>
    <xf numFmtId="0" fontId="8" fillId="5" borderId="17" xfId="0" applyFont="1" applyFill="1" applyBorder="1" applyAlignment="1">
      <alignment horizontal="left" vertical="center"/>
    </xf>
    <xf numFmtId="0" fontId="0" fillId="2" borderId="0" xfId="0" applyFill="1"/>
    <xf numFmtId="41" fontId="12" fillId="2" borderId="0" xfId="0" applyNumberFormat="1" applyFont="1" applyFill="1"/>
    <xf numFmtId="41" fontId="12" fillId="2" borderId="4" xfId="0" applyNumberFormat="1" applyFont="1" applyFill="1" applyBorder="1"/>
    <xf numFmtId="37" fontId="13" fillId="2" borderId="0" xfId="0" applyNumberFormat="1" applyFont="1" applyFill="1" applyAlignment="1">
      <alignment horizontal="right"/>
    </xf>
    <xf numFmtId="6" fontId="30" fillId="5" borderId="64" xfId="0" applyNumberFormat="1" applyFont="1" applyFill="1" applyBorder="1" applyAlignment="1">
      <alignment horizontal="center"/>
    </xf>
    <xf numFmtId="0" fontId="29" fillId="5" borderId="64" xfId="0" applyFont="1" applyFill="1" applyBorder="1"/>
    <xf numFmtId="0" fontId="35" fillId="2" borderId="48" xfId="3" applyFont="1" applyFill="1" applyBorder="1" applyAlignment="1">
      <alignment horizontal="left"/>
    </xf>
    <xf numFmtId="0" fontId="19" fillId="2" borderId="48" xfId="3" applyFont="1" applyFill="1" applyBorder="1" applyAlignment="1">
      <alignment horizontal="left" vertical="center"/>
    </xf>
    <xf numFmtId="0" fontId="3" fillId="2" borderId="48" xfId="3" applyFont="1" applyFill="1" applyBorder="1"/>
    <xf numFmtId="0" fontId="3" fillId="2" borderId="48" xfId="0" applyFont="1" applyFill="1" applyBorder="1"/>
    <xf numFmtId="0" fontId="34" fillId="2" borderId="48" xfId="0" applyFont="1" applyFill="1" applyBorder="1"/>
    <xf numFmtId="10" fontId="3" fillId="2" borderId="48" xfId="0" applyNumberFormat="1" applyFont="1" applyFill="1" applyBorder="1"/>
    <xf numFmtId="0" fontId="8" fillId="2" borderId="0" xfId="0" applyFont="1" applyFill="1"/>
    <xf numFmtId="16" fontId="8" fillId="2" borderId="0" xfId="0" applyNumberFormat="1" applyFont="1" applyFill="1"/>
    <xf numFmtId="6" fontId="3" fillId="2" borderId="0" xfId="0" applyNumberFormat="1" applyFont="1" applyFill="1"/>
    <xf numFmtId="0" fontId="3" fillId="2" borderId="17" xfId="0" applyFont="1" applyFill="1" applyBorder="1" applyAlignment="1">
      <alignment horizontal="left" indent="1"/>
    </xf>
    <xf numFmtId="0" fontId="3" fillId="2" borderId="2" xfId="0" applyFont="1" applyFill="1" applyBorder="1"/>
    <xf numFmtId="6" fontId="3" fillId="2" borderId="48" xfId="0" applyNumberFormat="1" applyFont="1" applyFill="1" applyBorder="1"/>
    <xf numFmtId="0" fontId="3" fillId="2" borderId="5" xfId="0" applyFont="1" applyFill="1" applyBorder="1"/>
    <xf numFmtId="173" fontId="3" fillId="2" borderId="48" xfId="0" applyNumberFormat="1" applyFont="1" applyFill="1" applyBorder="1"/>
    <xf numFmtId="43" fontId="3" fillId="2" borderId="48" xfId="0" applyNumberFormat="1" applyFont="1" applyFill="1" applyBorder="1"/>
    <xf numFmtId="0" fontId="11" fillId="2" borderId="0" xfId="0" applyFont="1" applyFill="1"/>
    <xf numFmtId="0" fontId="13" fillId="2" borderId="69" xfId="0" applyFont="1" applyFill="1" applyBorder="1" applyAlignment="1">
      <alignment horizontal="right"/>
    </xf>
    <xf numFmtId="0" fontId="13" fillId="2" borderId="0" xfId="0" applyFont="1" applyFill="1" applyAlignment="1">
      <alignment horizontal="right"/>
    </xf>
    <xf numFmtId="0" fontId="13" fillId="2" borderId="71" xfId="0" applyFont="1" applyFill="1" applyBorder="1" applyAlignment="1">
      <alignment horizontal="right"/>
    </xf>
    <xf numFmtId="41" fontId="15" fillId="2" borderId="23" xfId="0" applyNumberFormat="1" applyFont="1" applyFill="1" applyBorder="1"/>
    <xf numFmtId="41" fontId="13" fillId="2" borderId="22" xfId="0" applyNumberFormat="1" applyFont="1" applyFill="1" applyBorder="1"/>
    <xf numFmtId="41" fontId="13" fillId="2" borderId="0" xfId="0" applyNumberFormat="1" applyFont="1" applyFill="1"/>
    <xf numFmtId="41" fontId="13" fillId="2" borderId="71" xfId="0" applyNumberFormat="1" applyFont="1" applyFill="1" applyBorder="1"/>
    <xf numFmtId="41" fontId="11" fillId="2" borderId="0" xfId="0" applyNumberFormat="1" applyFont="1" applyFill="1" applyAlignment="1">
      <alignment horizontal="right"/>
    </xf>
    <xf numFmtId="41" fontId="11" fillId="2" borderId="4" xfId="0" applyNumberFormat="1" applyFont="1" applyFill="1" applyBorder="1"/>
    <xf numFmtId="41" fontId="16" fillId="2" borderId="69" xfId="0" applyNumberFormat="1" applyFont="1" applyFill="1" applyBorder="1" applyAlignment="1">
      <alignment horizontal="right"/>
    </xf>
    <xf numFmtId="41" fontId="16" fillId="2" borderId="69" xfId="0" applyNumberFormat="1" applyFont="1" applyFill="1" applyBorder="1"/>
    <xf numFmtId="41" fontId="16" fillId="2" borderId="70" xfId="0" applyNumberFormat="1" applyFont="1" applyFill="1" applyBorder="1"/>
    <xf numFmtId="41" fontId="13" fillId="2" borderId="23" xfId="0" applyNumberFormat="1" applyFont="1" applyFill="1" applyBorder="1"/>
    <xf numFmtId="41" fontId="13" fillId="2" borderId="0" xfId="0" applyNumberFormat="1" applyFont="1" applyFill="1" applyAlignment="1">
      <alignment horizontal="right"/>
    </xf>
    <xf numFmtId="41" fontId="13" fillId="2" borderId="4" xfId="0" applyNumberFormat="1" applyFont="1" applyFill="1" applyBorder="1"/>
    <xf numFmtId="41" fontId="16" fillId="2" borderId="0" xfId="0" applyNumberFormat="1" applyFont="1" applyFill="1" applyAlignment="1">
      <alignment horizontal="right"/>
    </xf>
    <xf numFmtId="41" fontId="16" fillId="2" borderId="0" xfId="0" applyNumberFormat="1" applyFont="1" applyFill="1"/>
    <xf numFmtId="41" fontId="16" fillId="2" borderId="4" xfId="0" applyNumberFormat="1" applyFont="1" applyFill="1" applyBorder="1"/>
    <xf numFmtId="41" fontId="16" fillId="2" borderId="71" xfId="0" applyNumberFormat="1" applyFont="1" applyFill="1" applyBorder="1" applyAlignment="1">
      <alignment horizontal="right"/>
    </xf>
    <xf numFmtId="41" fontId="16" fillId="2" borderId="71" xfId="0" applyNumberFormat="1" applyFont="1" applyFill="1" applyBorder="1"/>
    <xf numFmtId="41" fontId="16" fillId="2" borderId="72" xfId="0" applyNumberFormat="1" applyFont="1" applyFill="1" applyBorder="1"/>
    <xf numFmtId="41" fontId="15" fillId="2" borderId="0" xfId="0" applyNumberFormat="1" applyFont="1" applyFill="1"/>
    <xf numFmtId="41" fontId="15" fillId="2" borderId="4" xfId="0" applyNumberFormat="1" applyFont="1" applyFill="1" applyBorder="1"/>
    <xf numFmtId="0" fontId="11" fillId="2" borderId="3" xfId="0" applyFont="1" applyFill="1" applyBorder="1"/>
    <xf numFmtId="0" fontId="13" fillId="2" borderId="0" xfId="0" quotePrefix="1" applyFont="1" applyFill="1" applyAlignment="1">
      <alignment horizontal="right"/>
    </xf>
    <xf numFmtId="37" fontId="13" fillId="2" borderId="0" xfId="0" applyNumberFormat="1" applyFont="1" applyFill="1"/>
    <xf numFmtId="164" fontId="9" fillId="2" borderId="0" xfId="0" applyNumberFormat="1" applyFont="1" applyFill="1"/>
    <xf numFmtId="164" fontId="9" fillId="2" borderId="4" xfId="0" applyNumberFormat="1" applyFont="1" applyFill="1" applyBorder="1"/>
    <xf numFmtId="0" fontId="9" fillId="2" borderId="19" xfId="0" applyFont="1" applyFill="1" applyBorder="1" applyAlignment="1">
      <alignment horizontal="left"/>
    </xf>
    <xf numFmtId="0" fontId="9" fillId="2" borderId="20" xfId="0" applyFont="1" applyFill="1" applyBorder="1"/>
    <xf numFmtId="37" fontId="9" fillId="2" borderId="20" xfId="0" applyNumberFormat="1" applyFont="1" applyFill="1" applyBorder="1"/>
    <xf numFmtId="37" fontId="9" fillId="2" borderId="21" xfId="0" applyNumberFormat="1" applyFont="1" applyFill="1" applyBorder="1"/>
    <xf numFmtId="0" fontId="14" fillId="2" borderId="3" xfId="0" applyFont="1" applyFill="1" applyBorder="1" applyAlignment="1">
      <alignment horizontal="left"/>
    </xf>
    <xf numFmtId="0" fontId="13" fillId="2" borderId="3" xfId="0" applyFont="1" applyFill="1" applyBorder="1" applyAlignment="1">
      <alignment horizontal="left"/>
    </xf>
    <xf numFmtId="0" fontId="13" fillId="2" borderId="0" xfId="0" applyFont="1" applyFill="1"/>
    <xf numFmtId="164" fontId="13" fillId="2" borderId="23" xfId="0" applyNumberFormat="1" applyFont="1" applyFill="1" applyBorder="1"/>
    <xf numFmtId="164" fontId="13" fillId="2" borderId="0" xfId="0" applyNumberFormat="1" applyFont="1" applyFill="1"/>
    <xf numFmtId="164" fontId="13" fillId="2" borderId="4" xfId="0" applyNumberFormat="1" applyFont="1" applyFill="1" applyBorder="1"/>
    <xf numFmtId="0" fontId="13" fillId="2" borderId="3" xfId="0" applyFont="1" applyFill="1" applyBorder="1"/>
    <xf numFmtId="0" fontId="17" fillId="2" borderId="0" xfId="0" applyFont="1" applyFill="1"/>
    <xf numFmtId="0" fontId="11" fillId="2" borderId="6" xfId="0" applyFont="1" applyFill="1" applyBorder="1"/>
    <xf numFmtId="0" fontId="11" fillId="2" borderId="7" xfId="0" applyFont="1" applyFill="1" applyBorder="1"/>
    <xf numFmtId="0" fontId="13" fillId="2" borderId="7" xfId="0" applyFont="1" applyFill="1" applyBorder="1" applyAlignment="1">
      <alignment horizontal="right"/>
    </xf>
    <xf numFmtId="164" fontId="13" fillId="2" borderId="7" xfId="0" applyNumberFormat="1" applyFont="1" applyFill="1" applyBorder="1"/>
    <xf numFmtId="164" fontId="13" fillId="2" borderId="25" xfId="0" applyNumberFormat="1" applyFont="1" applyFill="1" applyBorder="1"/>
    <xf numFmtId="164" fontId="13" fillId="2" borderId="8" xfId="0" applyNumberFormat="1" applyFont="1" applyFill="1" applyBorder="1"/>
    <xf numFmtId="9" fontId="13" fillId="2" borderId="0" xfId="0" applyNumberFormat="1" applyFont="1" applyFill="1"/>
    <xf numFmtId="9" fontId="13" fillId="2" borderId="74" xfId="0" applyNumberFormat="1" applyFont="1" applyFill="1" applyBorder="1"/>
    <xf numFmtId="9" fontId="13" fillId="2" borderId="4" xfId="0" applyNumberFormat="1" applyFont="1" applyFill="1" applyBorder="1"/>
    <xf numFmtId="0" fontId="9" fillId="2" borderId="3" xfId="0" applyFont="1" applyFill="1" applyBorder="1"/>
    <xf numFmtId="0" fontId="9" fillId="2" borderId="0" xfId="0" applyFont="1" applyFill="1"/>
    <xf numFmtId="0" fontId="3" fillId="2" borderId="22" xfId="0" applyFont="1" applyFill="1" applyBorder="1"/>
    <xf numFmtId="177" fontId="15" fillId="2" borderId="0" xfId="0" applyNumberFormat="1" applyFont="1" applyFill="1"/>
    <xf numFmtId="177" fontId="15" fillId="2" borderId="23" xfId="0" applyNumberFormat="1" applyFont="1" applyFill="1" applyBorder="1"/>
    <xf numFmtId="177" fontId="15" fillId="2" borderId="4" xfId="0" applyNumberFormat="1" applyFont="1" applyFill="1" applyBorder="1"/>
    <xf numFmtId="0" fontId="11" fillId="2" borderId="3" xfId="0" applyFont="1" applyFill="1" applyBorder="1" applyAlignment="1">
      <alignment horizontal="right"/>
    </xf>
    <xf numFmtId="37" fontId="13" fillId="2" borderId="4" xfId="0" applyNumberFormat="1" applyFont="1" applyFill="1" applyBorder="1"/>
    <xf numFmtId="10" fontId="13" fillId="2" borderId="0" xfId="0" applyNumberFormat="1" applyFont="1" applyFill="1"/>
    <xf numFmtId="10" fontId="13" fillId="2" borderId="74" xfId="0" applyNumberFormat="1" applyFont="1" applyFill="1" applyBorder="1"/>
    <xf numFmtId="10" fontId="13" fillId="2" borderId="4" xfId="0" applyNumberFormat="1" applyFont="1" applyFill="1" applyBorder="1"/>
    <xf numFmtId="177" fontId="13" fillId="2" borderId="0" xfId="0" applyNumberFormat="1" applyFont="1" applyFill="1"/>
    <xf numFmtId="177" fontId="13" fillId="2" borderId="23" xfId="0" applyNumberFormat="1" applyFont="1" applyFill="1" applyBorder="1"/>
    <xf numFmtId="177" fontId="13" fillId="2" borderId="4" xfId="0" applyNumberFormat="1" applyFont="1" applyFill="1" applyBorder="1"/>
    <xf numFmtId="0" fontId="3" fillId="2" borderId="24" xfId="0" applyFont="1" applyFill="1" applyBorder="1"/>
    <xf numFmtId="0" fontId="13" fillId="2" borderId="7" xfId="0" applyFont="1" applyFill="1" applyBorder="1"/>
    <xf numFmtId="41" fontId="15" fillId="2" borderId="32" xfId="0" applyNumberFormat="1" applyFont="1" applyFill="1" applyBorder="1"/>
    <xf numFmtId="0" fontId="3" fillId="2" borderId="3" xfId="0" applyFont="1" applyFill="1" applyBorder="1" applyAlignment="1">
      <alignment horizontal="left" indent="1"/>
    </xf>
    <xf numFmtId="41" fontId="11" fillId="2" borderId="31" xfId="0" applyNumberFormat="1" applyFont="1" applyFill="1" applyBorder="1"/>
    <xf numFmtId="41" fontId="11" fillId="2" borderId="2" xfId="0" applyNumberFormat="1" applyFont="1" applyFill="1" applyBorder="1"/>
    <xf numFmtId="41" fontId="11" fillId="2" borderId="18" xfId="0" applyNumberFormat="1" applyFont="1" applyFill="1" applyBorder="1"/>
    <xf numFmtId="0" fontId="3" fillId="2" borderId="44" xfId="0" applyFont="1" applyFill="1" applyBorder="1"/>
    <xf numFmtId="0" fontId="3" fillId="2" borderId="3" xfId="0" applyFont="1" applyFill="1" applyBorder="1"/>
    <xf numFmtId="0" fontId="26" fillId="2" borderId="0" xfId="0" applyFont="1" applyFill="1" applyAlignment="1">
      <alignment horizontal="right"/>
    </xf>
    <xf numFmtId="0" fontId="26" fillId="2" borderId="0" xfId="0" applyFont="1" applyFill="1"/>
    <xf numFmtId="178" fontId="13" fillId="2" borderId="0" xfId="0" applyNumberFormat="1" applyFont="1" applyFill="1" applyAlignment="1">
      <alignment horizontal="right"/>
    </xf>
    <xf numFmtId="178" fontId="13" fillId="2" borderId="4" xfId="0" applyNumberFormat="1" applyFont="1" applyFill="1" applyBorder="1" applyAlignment="1">
      <alignment horizontal="right"/>
    </xf>
    <xf numFmtId="9" fontId="26" fillId="2" borderId="0" xfId="2" applyFont="1" applyFill="1" applyBorder="1"/>
    <xf numFmtId="9" fontId="26" fillId="2" borderId="4" xfId="2" applyFont="1" applyFill="1" applyBorder="1"/>
    <xf numFmtId="0" fontId="3" fillId="2" borderId="6" xfId="0" applyFont="1" applyFill="1" applyBorder="1"/>
    <xf numFmtId="0" fontId="3" fillId="2" borderId="7" xfId="0" applyFont="1" applyFill="1" applyBorder="1"/>
    <xf numFmtId="0" fontId="26" fillId="2" borderId="7" xfId="0" applyFont="1" applyFill="1" applyBorder="1" applyAlignment="1">
      <alignment horizontal="right"/>
    </xf>
    <xf numFmtId="0" fontId="26" fillId="2" borderId="7" xfId="0" applyFont="1" applyFill="1" applyBorder="1"/>
    <xf numFmtId="10" fontId="26" fillId="2" borderId="7" xfId="2" applyNumberFormat="1" applyFont="1" applyFill="1" applyBorder="1"/>
    <xf numFmtId="10" fontId="26" fillId="2" borderId="8" xfId="2" applyNumberFormat="1" applyFont="1" applyFill="1" applyBorder="1"/>
    <xf numFmtId="0" fontId="6" fillId="2" borderId="3" xfId="0" applyFont="1" applyFill="1" applyBorder="1" applyAlignment="1">
      <alignment horizontal="left"/>
    </xf>
    <xf numFmtId="0" fontId="26" fillId="2" borderId="6" xfId="0" quotePrefix="1" applyFont="1" applyFill="1" applyBorder="1" applyAlignment="1">
      <alignment horizontal="left" indent="1"/>
    </xf>
    <xf numFmtId="0" fontId="3" fillId="2" borderId="33" xfId="0" applyFont="1" applyFill="1" applyBorder="1"/>
    <xf numFmtId="9" fontId="13" fillId="2" borderId="7" xfId="0" applyNumberFormat="1" applyFont="1" applyFill="1" applyBorder="1"/>
    <xf numFmtId="9" fontId="3" fillId="2" borderId="7" xfId="0" applyNumberFormat="1" applyFont="1" applyFill="1" applyBorder="1"/>
    <xf numFmtId="9" fontId="13" fillId="2" borderId="38" xfId="0" applyNumberFormat="1" applyFont="1" applyFill="1" applyBorder="1"/>
    <xf numFmtId="9" fontId="13" fillId="2" borderId="39" xfId="0" applyNumberFormat="1" applyFont="1" applyFill="1" applyBorder="1"/>
    <xf numFmtId="164" fontId="26" fillId="2" borderId="0" xfId="0" applyNumberFormat="1" applyFont="1" applyFill="1"/>
    <xf numFmtId="41" fontId="13" fillId="2" borderId="54" xfId="0" applyNumberFormat="1" applyFont="1" applyFill="1" applyBorder="1"/>
    <xf numFmtId="0" fontId="3" fillId="2" borderId="54" xfId="0" applyFont="1" applyFill="1" applyBorder="1"/>
    <xf numFmtId="9" fontId="26" fillId="2" borderId="0" xfId="0" applyNumberFormat="1" applyFont="1" applyFill="1"/>
    <xf numFmtId="0" fontId="26" fillId="2" borderId="3" xfId="0" applyFont="1" applyFill="1" applyBorder="1" applyAlignment="1">
      <alignment horizontal="left" indent="1"/>
    </xf>
    <xf numFmtId="10" fontId="26" fillId="2" borderId="54" xfId="0" applyNumberFormat="1" applyFont="1" applyFill="1" applyBorder="1"/>
    <xf numFmtId="10" fontId="26" fillId="2" borderId="0" xfId="2" applyNumberFormat="1" applyFont="1" applyFill="1" applyBorder="1"/>
    <xf numFmtId="10" fontId="26" fillId="2" borderId="4" xfId="2" applyNumberFormat="1" applyFont="1" applyFill="1" applyBorder="1"/>
    <xf numFmtId="0" fontId="26" fillId="2" borderId="54" xfId="0" applyFont="1" applyFill="1" applyBorder="1"/>
    <xf numFmtId="0" fontId="6" fillId="2" borderId="0" xfId="0" applyFont="1" applyFill="1"/>
    <xf numFmtId="164" fontId="26" fillId="2" borderId="54" xfId="0" applyNumberFormat="1" applyFont="1" applyFill="1" applyBorder="1"/>
    <xf numFmtId="0" fontId="26" fillId="2" borderId="51" xfId="0" applyFont="1" applyFill="1" applyBorder="1"/>
    <xf numFmtId="0" fontId="3" fillId="2" borderId="51" xfId="0" applyFont="1" applyFill="1" applyBorder="1"/>
    <xf numFmtId="41" fontId="13" fillId="2" borderId="51" xfId="0" applyNumberFormat="1" applyFont="1" applyFill="1" applyBorder="1"/>
    <xf numFmtId="0" fontId="26" fillId="2" borderId="4" xfId="0" applyFont="1" applyFill="1" applyBorder="1" applyAlignment="1">
      <alignment horizontal="right"/>
    </xf>
    <xf numFmtId="41" fontId="13" fillId="2" borderId="31" xfId="0" applyNumberFormat="1" applyFont="1" applyFill="1" applyBorder="1"/>
    <xf numFmtId="0" fontId="3" fillId="2" borderId="56" xfId="0" applyFont="1" applyFill="1" applyBorder="1"/>
    <xf numFmtId="41" fontId="13" fillId="2" borderId="7" xfId="0" applyNumberFormat="1" applyFont="1" applyFill="1" applyBorder="1"/>
    <xf numFmtId="41" fontId="13" fillId="2" borderId="8" xfId="0" applyNumberFormat="1" applyFont="1" applyFill="1" applyBorder="1"/>
    <xf numFmtId="0" fontId="59" fillId="2" borderId="22" xfId="0" applyFont="1" applyFill="1" applyBorder="1" applyAlignment="1">
      <alignment horizontal="right"/>
    </xf>
    <xf numFmtId="4" fontId="3" fillId="2" borderId="0" xfId="0" applyNumberFormat="1" applyFont="1" applyFill="1"/>
    <xf numFmtId="0" fontId="0" fillId="0" borderId="9" xfId="0" applyBorder="1"/>
    <xf numFmtId="10" fontId="0" fillId="0" borderId="10" xfId="0" applyNumberFormat="1" applyBorder="1"/>
    <xf numFmtId="0" fontId="0" fillId="0" borderId="3" xfId="0" applyBorder="1"/>
    <xf numFmtId="0" fontId="0" fillId="0" borderId="6" xfId="0" applyBorder="1"/>
    <xf numFmtId="0" fontId="0" fillId="0" borderId="7" xfId="0" applyBorder="1"/>
    <xf numFmtId="0" fontId="0" fillId="0" borderId="8" xfId="0" applyBorder="1"/>
    <xf numFmtId="0" fontId="43" fillId="0" borderId="9" xfId="0" applyFont="1" applyBorder="1"/>
    <xf numFmtId="0" fontId="0" fillId="0" borderId="5" xfId="0" applyBorder="1"/>
    <xf numFmtId="10" fontId="0" fillId="0" borderId="5" xfId="0" applyNumberFormat="1" applyBorder="1" applyAlignment="1">
      <alignment horizontal="center"/>
    </xf>
    <xf numFmtId="10" fontId="0" fillId="0" borderId="10" xfId="0" applyNumberFormat="1" applyBorder="1" applyAlignment="1">
      <alignment horizontal="center"/>
    </xf>
    <xf numFmtId="0" fontId="43" fillId="0" borderId="6" xfId="0" applyFont="1" applyBorder="1"/>
    <xf numFmtId="164" fontId="0" fillId="0" borderId="7" xfId="7" applyNumberFormat="1" applyFont="1" applyBorder="1" applyAlignment="1">
      <alignment horizontal="center"/>
    </xf>
    <xf numFmtId="164" fontId="0" fillId="0" borderId="8" xfId="7" applyNumberFormat="1" applyFont="1" applyBorder="1" applyAlignment="1">
      <alignment horizontal="center"/>
    </xf>
    <xf numFmtId="10" fontId="61" fillId="0" borderId="7" xfId="0" applyNumberFormat="1" applyFont="1" applyBorder="1"/>
    <xf numFmtId="10" fontId="62" fillId="2" borderId="0" xfId="2" applyNumberFormat="1" applyFont="1" applyFill="1"/>
    <xf numFmtId="10" fontId="0" fillId="2" borderId="5" xfId="7" applyNumberFormat="1" applyFont="1" applyFill="1" applyBorder="1"/>
    <xf numFmtId="0" fontId="32" fillId="5" borderId="15" xfId="0" applyFont="1" applyFill="1" applyBorder="1"/>
    <xf numFmtId="0" fontId="32" fillId="5" borderId="11" xfId="0" applyFont="1" applyFill="1" applyBorder="1"/>
    <xf numFmtId="0" fontId="32" fillId="5" borderId="11" xfId="0" applyFont="1" applyFill="1" applyBorder="1" applyAlignment="1">
      <alignment horizontal="center"/>
    </xf>
    <xf numFmtId="0" fontId="32" fillId="5" borderId="16" xfId="0" applyFont="1" applyFill="1" applyBorder="1" applyAlignment="1">
      <alignment horizontal="center"/>
    </xf>
    <xf numFmtId="0" fontId="32" fillId="5" borderId="16" xfId="0" applyFont="1" applyFill="1" applyBorder="1"/>
    <xf numFmtId="10" fontId="0" fillId="0" borderId="4" xfId="0" applyNumberFormat="1" applyBorder="1" applyProtection="1">
      <protection locked="0"/>
    </xf>
    <xf numFmtId="0" fontId="19" fillId="5" borderId="79" xfId="0" applyFont="1" applyFill="1" applyBorder="1" applyAlignment="1">
      <alignment horizontal="center"/>
    </xf>
    <xf numFmtId="10" fontId="0" fillId="18" borderId="53" xfId="0" applyNumberFormat="1" applyFill="1" applyBorder="1" applyAlignment="1">
      <alignment horizontal="center"/>
    </xf>
    <xf numFmtId="164" fontId="0" fillId="18" borderId="80" xfId="7" applyNumberFormat="1" applyFont="1" applyFill="1" applyBorder="1" applyAlignment="1">
      <alignment horizontal="center"/>
    </xf>
    <xf numFmtId="0" fontId="22" fillId="0" borderId="0" xfId="0" applyFont="1"/>
    <xf numFmtId="164" fontId="26" fillId="2" borderId="0" xfId="2" applyNumberFormat="1" applyFont="1" applyFill="1" applyBorder="1" applyAlignment="1">
      <alignment horizontal="right" vertical="center"/>
    </xf>
    <xf numFmtId="170" fontId="18" fillId="6" borderId="81" xfId="0" applyNumberFormat="1" applyFont="1" applyFill="1" applyBorder="1" applyAlignment="1">
      <alignment horizontal="right" vertical="center"/>
    </xf>
    <xf numFmtId="0" fontId="65" fillId="2" borderId="0" xfId="0" applyFont="1" applyFill="1" applyAlignment="1">
      <alignment horizontal="center" vertical="center"/>
    </xf>
    <xf numFmtId="0" fontId="65" fillId="2" borderId="4" xfId="0" applyFont="1" applyFill="1" applyBorder="1" applyAlignment="1">
      <alignment horizontal="center" vertical="center"/>
    </xf>
    <xf numFmtId="0" fontId="3" fillId="0" borderId="3" xfId="0" applyFont="1" applyBorder="1" applyAlignment="1">
      <alignment horizontal="left" indent="1"/>
    </xf>
    <xf numFmtId="192" fontId="4" fillId="9" borderId="7" xfId="2" applyNumberFormat="1" applyFont="1" applyFill="1" applyBorder="1" applyAlignment="1">
      <alignment horizontal="center" vertical="center"/>
    </xf>
    <xf numFmtId="9" fontId="4" fillId="9" borderId="4" xfId="0" applyNumberFormat="1" applyFont="1" applyFill="1" applyBorder="1" applyAlignment="1">
      <alignment horizontal="right" vertical="center"/>
    </xf>
    <xf numFmtId="164" fontId="4" fillId="9" borderId="2" xfId="2" applyNumberFormat="1" applyFont="1" applyFill="1" applyBorder="1" applyAlignment="1">
      <alignment horizontal="center" vertical="center"/>
    </xf>
    <xf numFmtId="0" fontId="26" fillId="3" borderId="0" xfId="0" applyFont="1" applyFill="1" applyAlignment="1">
      <alignment horizontal="center"/>
    </xf>
    <xf numFmtId="0" fontId="26" fillId="3" borderId="31" xfId="0" applyFont="1" applyFill="1" applyBorder="1" applyAlignment="1">
      <alignment horizontal="center"/>
    </xf>
    <xf numFmtId="0" fontId="26" fillId="3" borderId="32" xfId="0" applyFont="1" applyFill="1" applyBorder="1" applyAlignment="1">
      <alignment horizontal="center"/>
    </xf>
    <xf numFmtId="0" fontId="26" fillId="3" borderId="4" xfId="0" applyFont="1" applyFill="1" applyBorder="1" applyAlignment="1">
      <alignment horizontal="center"/>
    </xf>
    <xf numFmtId="37" fontId="8" fillId="5" borderId="0" xfId="0" applyNumberFormat="1" applyFont="1" applyFill="1" applyAlignment="1">
      <alignment horizontal="right" vertical="center"/>
    </xf>
    <xf numFmtId="37" fontId="3" fillId="3" borderId="0" xfId="0" applyNumberFormat="1" applyFont="1" applyFill="1"/>
    <xf numFmtId="164" fontId="3" fillId="2" borderId="0" xfId="0" applyNumberFormat="1" applyFont="1" applyFill="1"/>
    <xf numFmtId="164" fontId="3" fillId="3" borderId="0" xfId="0" applyNumberFormat="1" applyFont="1" applyFill="1"/>
    <xf numFmtId="37" fontId="8" fillId="5" borderId="49" xfId="0" applyNumberFormat="1" applyFont="1" applyFill="1" applyBorder="1" applyAlignment="1">
      <alignment horizontal="right" vertical="center"/>
    </xf>
    <xf numFmtId="171" fontId="14" fillId="5" borderId="83" xfId="0" applyNumberFormat="1" applyFont="1" applyFill="1" applyBorder="1" applyAlignment="1">
      <alignment horizontal="center" vertical="center"/>
    </xf>
    <xf numFmtId="164" fontId="12" fillId="9" borderId="32" xfId="0" applyNumberFormat="1" applyFont="1" applyFill="1" applyBorder="1" applyAlignment="1" applyProtection="1">
      <alignment horizontal="center" vertical="center"/>
      <protection locked="0"/>
    </xf>
    <xf numFmtId="164" fontId="11" fillId="2" borderId="32" xfId="0" applyNumberFormat="1" applyFont="1" applyFill="1" applyBorder="1" applyAlignment="1">
      <alignment horizontal="center" vertical="center"/>
    </xf>
    <xf numFmtId="164" fontId="13" fillId="3" borderId="32" xfId="0" applyNumberFormat="1" applyFont="1" applyFill="1" applyBorder="1" applyAlignment="1">
      <alignment horizontal="center" vertical="center"/>
    </xf>
    <xf numFmtId="41" fontId="15" fillId="2" borderId="69" xfId="0" applyNumberFormat="1" applyFont="1" applyFill="1" applyBorder="1"/>
    <xf numFmtId="41" fontId="15" fillId="2" borderId="71" xfId="0" applyNumberFormat="1" applyFont="1" applyFill="1" applyBorder="1"/>
    <xf numFmtId="41" fontId="38" fillId="3" borderId="20" xfId="0" applyNumberFormat="1" applyFont="1" applyFill="1" applyBorder="1"/>
    <xf numFmtId="37" fontId="9" fillId="2" borderId="0" xfId="0" applyNumberFormat="1" applyFont="1" applyFill="1"/>
    <xf numFmtId="0" fontId="13" fillId="2" borderId="1" xfId="0" applyFont="1" applyFill="1" applyBorder="1" applyAlignment="1">
      <alignment horizontal="right"/>
    </xf>
    <xf numFmtId="0" fontId="3" fillId="2" borderId="1" xfId="0" applyFont="1" applyFill="1" applyBorder="1"/>
    <xf numFmtId="175" fontId="11" fillId="2" borderId="31" xfId="0" applyNumberFormat="1" applyFont="1" applyFill="1" applyBorder="1" applyAlignment="1">
      <alignment horizontal="right"/>
    </xf>
    <xf numFmtId="169" fontId="11" fillId="2" borderId="84" xfId="0" applyNumberFormat="1" applyFont="1" applyFill="1" applyBorder="1" applyAlignment="1">
      <alignment horizontal="right"/>
    </xf>
    <xf numFmtId="169" fontId="11" fillId="2" borderId="31" xfId="0" applyNumberFormat="1" applyFont="1" applyFill="1" applyBorder="1" applyAlignment="1">
      <alignment horizontal="right"/>
    </xf>
    <xf numFmtId="169" fontId="11" fillId="2" borderId="85" xfId="0" applyNumberFormat="1" applyFont="1" applyFill="1" applyBorder="1" applyAlignment="1">
      <alignment horizontal="right"/>
    </xf>
    <xf numFmtId="173" fontId="11" fillId="2" borderId="31" xfId="0" applyNumberFormat="1" applyFont="1" applyFill="1" applyBorder="1"/>
    <xf numFmtId="176" fontId="15" fillId="2" borderId="31" xfId="0" applyNumberFormat="1" applyFont="1" applyFill="1" applyBorder="1"/>
    <xf numFmtId="169" fontId="25" fillId="3" borderId="46" xfId="0" applyNumberFormat="1" applyFont="1" applyFill="1" applyBorder="1" applyAlignment="1">
      <alignment horizontal="right"/>
    </xf>
    <xf numFmtId="0" fontId="13" fillId="2" borderId="31" xfId="0" applyFont="1" applyFill="1" applyBorder="1" applyAlignment="1">
      <alignment horizontal="right"/>
    </xf>
    <xf numFmtId="41" fontId="16" fillId="2" borderId="1" xfId="0" applyNumberFormat="1" applyFont="1" applyFill="1" applyBorder="1"/>
    <xf numFmtId="0" fontId="11" fillId="2" borderId="31" xfId="0" applyFont="1" applyFill="1" applyBorder="1" applyAlignment="1">
      <alignment horizontal="right"/>
    </xf>
    <xf numFmtId="164" fontId="9" fillId="3" borderId="46" xfId="2" applyNumberFormat="1" applyFont="1" applyFill="1" applyBorder="1"/>
    <xf numFmtId="37" fontId="9" fillId="3" borderId="47" xfId="0" applyNumberFormat="1" applyFont="1" applyFill="1" applyBorder="1"/>
    <xf numFmtId="164" fontId="9" fillId="2" borderId="46" xfId="2" applyNumberFormat="1" applyFont="1" applyFill="1" applyBorder="1"/>
    <xf numFmtId="37" fontId="9" fillId="2" borderId="47" xfId="0" applyNumberFormat="1" applyFont="1" applyFill="1" applyBorder="1"/>
    <xf numFmtId="164" fontId="9" fillId="7" borderId="46" xfId="2" applyNumberFormat="1" applyFont="1" applyFill="1" applyBorder="1"/>
    <xf numFmtId="0" fontId="13" fillId="2" borderId="33" xfId="0" applyFont="1" applyFill="1" applyBorder="1" applyAlignment="1">
      <alignment horizontal="right"/>
    </xf>
    <xf numFmtId="174" fontId="15" fillId="2" borderId="31" xfId="0" applyNumberFormat="1" applyFont="1" applyFill="1" applyBorder="1"/>
    <xf numFmtId="37" fontId="12" fillId="9" borderId="32" xfId="0" applyNumberFormat="1" applyFont="1" applyFill="1" applyBorder="1" applyProtection="1">
      <protection locked="0"/>
    </xf>
    <xf numFmtId="169" fontId="9" fillId="3" borderId="46" xfId="0" applyNumberFormat="1" applyFont="1" applyFill="1" applyBorder="1" applyAlignment="1">
      <alignment horizontal="right"/>
    </xf>
    <xf numFmtId="9" fontId="13" fillId="2" borderId="87" xfId="0" applyNumberFormat="1" applyFont="1" applyFill="1" applyBorder="1"/>
    <xf numFmtId="37" fontId="23" fillId="2" borderId="31" xfId="0" applyNumberFormat="1" applyFont="1" applyFill="1" applyBorder="1"/>
    <xf numFmtId="0" fontId="13" fillId="2" borderId="31" xfId="0" applyFont="1" applyFill="1" applyBorder="1"/>
    <xf numFmtId="37" fontId="9" fillId="3" borderId="46" xfId="0" applyNumberFormat="1" applyFont="1" applyFill="1" applyBorder="1"/>
    <xf numFmtId="10" fontId="13" fillId="2" borderId="87" xfId="0" applyNumberFormat="1" applyFont="1" applyFill="1" applyBorder="1"/>
    <xf numFmtId="0" fontId="13" fillId="2" borderId="33" xfId="0" applyFont="1" applyFill="1" applyBorder="1"/>
    <xf numFmtId="169" fontId="11" fillId="2" borderId="31" xfId="0" applyNumberFormat="1" applyFont="1" applyFill="1" applyBorder="1"/>
    <xf numFmtId="169" fontId="9" fillId="4" borderId="40" xfId="0" applyNumberFormat="1" applyFont="1" applyFill="1" applyBorder="1"/>
    <xf numFmtId="41" fontId="11" fillId="2" borderId="32" xfId="0" applyNumberFormat="1" applyFont="1" applyFill="1" applyBorder="1"/>
    <xf numFmtId="41" fontId="11" fillId="2" borderId="45" xfId="0" applyNumberFormat="1" applyFont="1" applyFill="1" applyBorder="1"/>
    <xf numFmtId="41" fontId="9" fillId="3" borderId="47" xfId="0" applyNumberFormat="1" applyFont="1" applyFill="1" applyBorder="1"/>
    <xf numFmtId="178" fontId="13" fillId="2" borderId="32" xfId="0" applyNumberFormat="1" applyFont="1" applyFill="1" applyBorder="1" applyAlignment="1">
      <alignment horizontal="right"/>
    </xf>
    <xf numFmtId="9" fontId="26" fillId="2" borderId="32" xfId="2" applyFont="1" applyFill="1" applyBorder="1"/>
    <xf numFmtId="10" fontId="26" fillId="2" borderId="34" xfId="2" applyNumberFormat="1" applyFont="1" applyFill="1" applyBorder="1"/>
    <xf numFmtId="171" fontId="14" fillId="5" borderId="49" xfId="0" applyNumberFormat="1" applyFont="1" applyFill="1" applyBorder="1" applyAlignment="1">
      <alignment horizontal="right" vertical="center"/>
    </xf>
    <xf numFmtId="171" fontId="14" fillId="5" borderId="81" xfId="0" applyNumberFormat="1" applyFont="1" applyFill="1" applyBorder="1" applyAlignment="1">
      <alignment horizontal="right" vertical="center"/>
    </xf>
    <xf numFmtId="164" fontId="13" fillId="2" borderId="32" xfId="0" applyNumberFormat="1" applyFont="1" applyFill="1" applyBorder="1"/>
    <xf numFmtId="41" fontId="13" fillId="2" borderId="32" xfId="0" applyNumberFormat="1" applyFont="1" applyFill="1" applyBorder="1"/>
    <xf numFmtId="41" fontId="15" fillId="2" borderId="0" xfId="0" applyNumberFormat="1" applyFont="1" applyFill="1" applyAlignment="1">
      <alignment horizontal="right"/>
    </xf>
    <xf numFmtId="37" fontId="12" fillId="9" borderId="0" xfId="0" applyNumberFormat="1" applyFont="1" applyFill="1" applyAlignment="1" applyProtection="1">
      <alignment horizontal="right"/>
      <protection locked="0"/>
    </xf>
    <xf numFmtId="8" fontId="3" fillId="2" borderId="0" xfId="0" applyNumberFormat="1" applyFont="1" applyFill="1"/>
    <xf numFmtId="37" fontId="11" fillId="2" borderId="69" xfId="0" applyNumberFormat="1" applyFont="1" applyFill="1" applyBorder="1"/>
    <xf numFmtId="37" fontId="11" fillId="2" borderId="71" xfId="0" applyNumberFormat="1" applyFont="1" applyFill="1" applyBorder="1"/>
    <xf numFmtId="41" fontId="3" fillId="2" borderId="0" xfId="0" applyNumberFormat="1" applyFont="1" applyFill="1"/>
    <xf numFmtId="41" fontId="3" fillId="2" borderId="2" xfId="0" applyNumberFormat="1" applyFont="1" applyFill="1" applyBorder="1"/>
    <xf numFmtId="0" fontId="6" fillId="3" borderId="35" xfId="0" applyFont="1" applyFill="1" applyBorder="1"/>
    <xf numFmtId="0" fontId="26" fillId="2" borderId="50" xfId="0" applyFont="1" applyFill="1" applyBorder="1"/>
    <xf numFmtId="170" fontId="14" fillId="6" borderId="22" xfId="0" applyNumberFormat="1" applyFont="1" applyFill="1" applyBorder="1" applyAlignment="1">
      <alignment horizontal="center" vertical="center"/>
    </xf>
    <xf numFmtId="0" fontId="3" fillId="3" borderId="35" xfId="0" applyFont="1" applyFill="1" applyBorder="1"/>
    <xf numFmtId="37" fontId="3" fillId="3" borderId="35" xfId="0" applyNumberFormat="1" applyFont="1" applyFill="1" applyBorder="1"/>
    <xf numFmtId="170" fontId="14" fillId="6" borderId="31" xfId="0" applyNumberFormat="1" applyFont="1" applyFill="1" applyBorder="1" applyAlignment="1">
      <alignment horizontal="center" vertical="center"/>
    </xf>
    <xf numFmtId="0" fontId="26" fillId="2" borderId="31" xfId="0" applyFont="1" applyFill="1" applyBorder="1"/>
    <xf numFmtId="9" fontId="11" fillId="2" borderId="31" xfId="2" applyFont="1" applyFill="1" applyBorder="1"/>
    <xf numFmtId="41" fontId="13" fillId="2" borderId="84" xfId="0" applyNumberFormat="1" applyFont="1" applyFill="1" applyBorder="1"/>
    <xf numFmtId="9" fontId="13" fillId="2" borderId="31" xfId="2" applyFont="1" applyFill="1" applyBorder="1"/>
    <xf numFmtId="41" fontId="13" fillId="2" borderId="85" xfId="0" applyNumberFormat="1" applyFont="1" applyFill="1" applyBorder="1"/>
    <xf numFmtId="41" fontId="13" fillId="2" borderId="86" xfId="0" applyNumberFormat="1" applyFont="1" applyFill="1" applyBorder="1"/>
    <xf numFmtId="173" fontId="12" fillId="9" borderId="31" xfId="0" applyNumberFormat="1" applyFont="1" applyFill="1" applyBorder="1"/>
    <xf numFmtId="37" fontId="13" fillId="2" borderId="31" xfId="0" applyNumberFormat="1" applyFont="1" applyFill="1" applyBorder="1"/>
    <xf numFmtId="37" fontId="11" fillId="2" borderId="31" xfId="0" applyNumberFormat="1" applyFont="1" applyFill="1" applyBorder="1"/>
    <xf numFmtId="164" fontId="13" fillId="2" borderId="31" xfId="0" applyNumberFormat="1" applyFont="1" applyFill="1" applyBorder="1"/>
    <xf numFmtId="164" fontId="13" fillId="2" borderId="33" xfId="0" applyNumberFormat="1" applyFont="1" applyFill="1" applyBorder="1"/>
    <xf numFmtId="173" fontId="12" fillId="9" borderId="31" xfId="0" applyNumberFormat="1" applyFont="1" applyFill="1" applyBorder="1" applyProtection="1">
      <protection locked="0"/>
    </xf>
    <xf numFmtId="41" fontId="11" fillId="2" borderId="32" xfId="0" applyNumberFormat="1" applyFont="1" applyFill="1" applyBorder="1" applyAlignment="1">
      <alignment horizontal="right"/>
    </xf>
    <xf numFmtId="0" fontId="26" fillId="2" borderId="33" xfId="0" applyFont="1" applyFill="1" applyBorder="1"/>
    <xf numFmtId="0" fontId="8" fillId="5" borderId="31" xfId="0" applyFont="1" applyFill="1" applyBorder="1" applyAlignment="1">
      <alignment vertical="center"/>
    </xf>
    <xf numFmtId="41" fontId="6" fillId="3" borderId="47" xfId="0" applyNumberFormat="1" applyFont="1" applyFill="1" applyBorder="1"/>
    <xf numFmtId="41" fontId="12" fillId="2" borderId="32" xfId="0" applyNumberFormat="1" applyFont="1" applyFill="1" applyBorder="1"/>
    <xf numFmtId="9" fontId="3" fillId="2" borderId="33" xfId="0" applyNumberFormat="1" applyFont="1" applyFill="1" applyBorder="1"/>
    <xf numFmtId="9" fontId="13" fillId="2" borderId="34" xfId="0" applyNumberFormat="1" applyFont="1" applyFill="1" applyBorder="1"/>
    <xf numFmtId="10" fontId="26" fillId="2" borderId="32" xfId="2" applyNumberFormat="1" applyFont="1" applyFill="1" applyBorder="1"/>
    <xf numFmtId="0" fontId="65" fillId="2" borderId="32" xfId="0" applyFont="1" applyFill="1" applyBorder="1" applyAlignment="1">
      <alignment horizontal="center" vertical="center"/>
    </xf>
    <xf numFmtId="0" fontId="26" fillId="2" borderId="32" xfId="0" applyFont="1" applyFill="1" applyBorder="1" applyAlignment="1">
      <alignment horizontal="right"/>
    </xf>
    <xf numFmtId="41" fontId="13" fillId="2" borderId="34" xfId="0" applyNumberFormat="1" applyFont="1" applyFill="1" applyBorder="1"/>
    <xf numFmtId="0" fontId="24" fillId="8" borderId="88" xfId="0" applyFont="1" applyFill="1" applyBorder="1" applyAlignment="1">
      <alignment vertical="center"/>
    </xf>
    <xf numFmtId="0" fontId="14" fillId="6" borderId="81" xfId="0" applyFont="1" applyFill="1" applyBorder="1" applyAlignment="1">
      <alignment vertical="center"/>
    </xf>
    <xf numFmtId="171" fontId="14" fillId="5" borderId="83" xfId="0" applyNumberFormat="1" applyFont="1" applyFill="1" applyBorder="1" applyAlignment="1">
      <alignment vertical="center"/>
    </xf>
    <xf numFmtId="171" fontId="14" fillId="5" borderId="81" xfId="0" applyNumberFormat="1" applyFont="1" applyFill="1" applyBorder="1" applyAlignment="1">
      <alignment horizontal="center" vertical="center"/>
    </xf>
    <xf numFmtId="164" fontId="13" fillId="2" borderId="32" xfId="2" applyNumberFormat="1" applyFont="1" applyFill="1" applyBorder="1"/>
    <xf numFmtId="164" fontId="13" fillId="2" borderId="34" xfId="0" applyNumberFormat="1" applyFont="1" applyFill="1" applyBorder="1"/>
    <xf numFmtId="37" fontId="9" fillId="3" borderId="47" xfId="0" applyNumberFormat="1" applyFont="1" applyFill="1" applyBorder="1" applyAlignment="1">
      <alignment horizontal="right"/>
    </xf>
    <xf numFmtId="0" fontId="3" fillId="0" borderId="1" xfId="0" applyFont="1" applyBorder="1"/>
    <xf numFmtId="169" fontId="39" fillId="17" borderId="50" xfId="0" applyNumberFormat="1" applyFont="1" applyFill="1" applyBorder="1" applyAlignment="1">
      <alignment horizontal="right"/>
    </xf>
    <xf numFmtId="164" fontId="11" fillId="2" borderId="22" xfId="0" applyNumberFormat="1" applyFont="1" applyFill="1" applyBorder="1"/>
    <xf numFmtId="37" fontId="11" fillId="2" borderId="42" xfId="0" applyNumberFormat="1" applyFont="1" applyFill="1" applyBorder="1"/>
    <xf numFmtId="0" fontId="3" fillId="0" borderId="2" xfId="0" applyFont="1" applyBorder="1"/>
    <xf numFmtId="37" fontId="13" fillId="2" borderId="43" xfId="0" applyNumberFormat="1" applyFont="1" applyFill="1" applyBorder="1"/>
    <xf numFmtId="0" fontId="50" fillId="8" borderId="88" xfId="0" applyFont="1" applyFill="1" applyBorder="1"/>
    <xf numFmtId="0" fontId="3" fillId="5" borderId="81" xfId="0" applyFont="1" applyFill="1" applyBorder="1"/>
    <xf numFmtId="0" fontId="37" fillId="6" borderId="81" xfId="0" applyFont="1" applyFill="1" applyBorder="1" applyAlignment="1">
      <alignment horizontal="right"/>
    </xf>
    <xf numFmtId="171" fontId="18" fillId="5" borderId="89" xfId="0" applyNumberFormat="1" applyFont="1" applyFill="1" applyBorder="1" applyAlignment="1">
      <alignment horizontal="center" vertical="center"/>
    </xf>
    <xf numFmtId="170" fontId="14" fillId="6" borderId="90" xfId="0" applyNumberFormat="1" applyFont="1" applyFill="1" applyBorder="1" applyAlignment="1">
      <alignment horizontal="center" vertical="center"/>
    </xf>
    <xf numFmtId="0" fontId="8" fillId="5" borderId="49" xfId="0" applyFont="1" applyFill="1" applyBorder="1" applyAlignment="1">
      <alignment vertical="center"/>
    </xf>
    <xf numFmtId="171" fontId="14" fillId="5" borderId="90" xfId="0" applyNumberFormat="1" applyFont="1" applyFill="1" applyBorder="1" applyAlignment="1">
      <alignment horizontal="center" vertical="center"/>
    </xf>
    <xf numFmtId="0" fontId="3" fillId="2" borderId="0" xfId="0" applyFont="1" applyFill="1" applyAlignment="1">
      <alignment horizontal="left" vertical="center"/>
    </xf>
    <xf numFmtId="0" fontId="26" fillId="2" borderId="0" xfId="0" applyFont="1" applyFill="1" applyAlignment="1">
      <alignment horizontal="center" vertical="center"/>
    </xf>
    <xf numFmtId="0" fontId="20" fillId="2" borderId="17" xfId="0" applyFont="1" applyFill="1" applyBorder="1" applyAlignment="1">
      <alignment horizontal="left" vertical="center"/>
    </xf>
    <xf numFmtId="0" fontId="20" fillId="2" borderId="2" xfId="0" applyFont="1" applyFill="1" applyBorder="1" applyAlignment="1">
      <alignment horizontal="right" vertical="center"/>
    </xf>
    <xf numFmtId="165" fontId="4" fillId="9" borderId="0" xfId="0" applyNumberFormat="1" applyFont="1" applyFill="1" applyAlignment="1">
      <alignment horizontal="right" vertical="center"/>
    </xf>
    <xf numFmtId="0" fontId="4" fillId="9" borderId="0" xfId="1" applyNumberFormat="1" applyFont="1" applyFill="1" applyBorder="1" applyAlignment="1">
      <alignment horizontal="center" vertical="center"/>
    </xf>
    <xf numFmtId="3" fontId="3" fillId="2" borderId="0" xfId="0" applyNumberFormat="1" applyFont="1" applyFill="1" applyAlignment="1">
      <alignment vertical="center"/>
    </xf>
    <xf numFmtId="164" fontId="4" fillId="9" borderId="0" xfId="2" applyNumberFormat="1" applyFont="1" applyFill="1" applyBorder="1" applyAlignment="1">
      <alignment vertical="center"/>
    </xf>
    <xf numFmtId="10" fontId="4" fillId="9" borderId="0" xfId="2" applyNumberFormat="1" applyFont="1" applyFill="1" applyBorder="1" applyAlignment="1">
      <alignment horizontal="right" vertical="center"/>
    </xf>
    <xf numFmtId="182" fontId="4" fillId="9" borderId="0" xfId="0" applyNumberFormat="1" applyFont="1" applyFill="1" applyAlignment="1">
      <alignment horizontal="right" vertical="center"/>
    </xf>
    <xf numFmtId="179" fontId="20" fillId="2" borderId="2" xfId="0" applyNumberFormat="1" applyFont="1" applyFill="1" applyBorder="1" applyAlignment="1">
      <alignment vertical="center"/>
    </xf>
    <xf numFmtId="1" fontId="4" fillId="9" borderId="0" xfId="0" applyNumberFormat="1" applyFont="1" applyFill="1" applyAlignment="1">
      <alignment vertical="center"/>
    </xf>
    <xf numFmtId="10" fontId="4" fillId="9" borderId="0" xfId="2" applyNumberFormat="1" applyFont="1" applyFill="1" applyBorder="1" applyAlignment="1">
      <alignment vertical="center"/>
    </xf>
    <xf numFmtId="10" fontId="3" fillId="2" borderId="0" xfId="2" applyNumberFormat="1" applyFont="1" applyFill="1" applyBorder="1" applyAlignment="1">
      <alignment horizontal="right" vertical="center"/>
    </xf>
    <xf numFmtId="0" fontId="3" fillId="2" borderId="7" xfId="0" applyFont="1" applyFill="1" applyBorder="1" applyAlignment="1">
      <alignment horizontal="right"/>
    </xf>
    <xf numFmtId="0" fontId="3" fillId="2" borderId="3" xfId="0" applyFont="1" applyFill="1" applyBorder="1" applyAlignment="1">
      <alignment horizontal="left" vertical="center"/>
    </xf>
    <xf numFmtId="0" fontId="6" fillId="2" borderId="3" xfId="0" applyFont="1" applyFill="1" applyBorder="1" applyAlignment="1">
      <alignment vertical="center"/>
    </xf>
    <xf numFmtId="0" fontId="14" fillId="6" borderId="97" xfId="0" applyFont="1" applyFill="1" applyBorder="1" applyAlignment="1">
      <alignment vertical="center"/>
    </xf>
    <xf numFmtId="0" fontId="18" fillId="5" borderId="98" xfId="0" applyFont="1" applyFill="1" applyBorder="1" applyAlignment="1">
      <alignment horizontal="right" vertical="center"/>
    </xf>
    <xf numFmtId="0" fontId="14" fillId="6" borderId="98" xfId="0" applyFont="1" applyFill="1" applyBorder="1" applyAlignment="1">
      <alignment vertical="center"/>
    </xf>
    <xf numFmtId="171" fontId="14" fillId="5" borderId="99" xfId="0" applyNumberFormat="1" applyFont="1" applyFill="1" applyBorder="1" applyAlignment="1">
      <alignment horizontal="right" vertical="center"/>
    </xf>
    <xf numFmtId="171" fontId="14" fillId="5" borderId="98" xfId="0" applyNumberFormat="1" applyFont="1" applyFill="1" applyBorder="1" applyAlignment="1">
      <alignment horizontal="right" vertical="center"/>
    </xf>
    <xf numFmtId="171" fontId="14" fillId="5" borderId="98" xfId="0" applyNumberFormat="1" applyFont="1" applyFill="1" applyBorder="1" applyAlignment="1">
      <alignment horizontal="center" vertical="center"/>
    </xf>
    <xf numFmtId="171" fontId="14" fillId="5" borderId="100" xfId="0" applyNumberFormat="1" applyFont="1" applyFill="1" applyBorder="1" applyAlignment="1">
      <alignment horizontal="center" vertical="center"/>
    </xf>
    <xf numFmtId="171" fontId="12" fillId="2" borderId="98" xfId="0" applyNumberFormat="1" applyFont="1" applyFill="1" applyBorder="1" applyAlignment="1">
      <alignment horizontal="center" vertical="center"/>
    </xf>
    <xf numFmtId="183" fontId="4" fillId="9" borderId="4" xfId="0" applyNumberFormat="1" applyFont="1" applyFill="1" applyBorder="1" applyAlignment="1">
      <alignment horizontal="right" vertical="center"/>
    </xf>
    <xf numFmtId="171" fontId="14" fillId="5" borderId="96" xfId="0" applyNumberFormat="1" applyFont="1" applyFill="1" applyBorder="1" applyAlignment="1">
      <alignment horizontal="center" vertical="center"/>
    </xf>
    <xf numFmtId="0" fontId="46" fillId="0" borderId="0" xfId="5" applyBorder="1" applyAlignment="1"/>
    <xf numFmtId="0" fontId="0" fillId="0" borderId="95" xfId="0" applyBorder="1"/>
    <xf numFmtId="0" fontId="63" fillId="5" borderId="94" xfId="0" applyFont="1" applyFill="1" applyBorder="1" applyAlignment="1">
      <alignment vertical="center" wrapText="1"/>
    </xf>
    <xf numFmtId="0" fontId="63" fillId="5" borderId="0" xfId="0" applyFont="1" applyFill="1" applyAlignment="1">
      <alignment vertical="center" wrapText="1"/>
    </xf>
    <xf numFmtId="0" fontId="63" fillId="5" borderId="95" xfId="0" applyFont="1" applyFill="1" applyBorder="1" applyAlignment="1">
      <alignment vertical="center" wrapText="1"/>
    </xf>
    <xf numFmtId="41" fontId="41" fillId="2" borderId="0" xfId="0" applyNumberFormat="1" applyFont="1" applyFill="1"/>
    <xf numFmtId="41" fontId="13" fillId="2" borderId="101" xfId="0" applyNumberFormat="1" applyFont="1" applyFill="1" applyBorder="1"/>
    <xf numFmtId="0" fontId="0" fillId="20" borderId="94" xfId="0" applyFill="1" applyBorder="1"/>
    <xf numFmtId="0" fontId="66" fillId="0" borderId="0" xfId="5" applyFont="1" applyBorder="1" applyAlignment="1"/>
    <xf numFmtId="191" fontId="0" fillId="0" borderId="0" xfId="9" applyNumberFormat="1" applyFont="1"/>
    <xf numFmtId="191" fontId="0" fillId="0" borderId="0" xfId="0" applyNumberFormat="1"/>
    <xf numFmtId="0" fontId="11" fillId="2" borderId="0" xfId="0" applyFont="1" applyFill="1" applyAlignment="1">
      <alignment horizontal="right" indent="3"/>
    </xf>
    <xf numFmtId="0" fontId="8" fillId="2" borderId="4" xfId="3" applyFont="1" applyFill="1" applyBorder="1" applyAlignment="1">
      <alignment horizontal="right"/>
    </xf>
    <xf numFmtId="0" fontId="8" fillId="2" borderId="4" xfId="0" applyFont="1" applyFill="1" applyBorder="1" applyAlignment="1">
      <alignment horizontal="right"/>
    </xf>
    <xf numFmtId="37" fontId="72" fillId="9" borderId="32" xfId="0" applyNumberFormat="1" applyFont="1" applyFill="1" applyBorder="1"/>
    <xf numFmtId="37" fontId="72" fillId="9" borderId="0" xfId="0" applyNumberFormat="1" applyFont="1" applyFill="1"/>
    <xf numFmtId="37" fontId="72" fillId="9" borderId="4" xfId="0" applyNumberFormat="1" applyFont="1" applyFill="1" applyBorder="1"/>
    <xf numFmtId="1" fontId="72" fillId="9" borderId="0" xfId="0" applyNumberFormat="1" applyFont="1" applyFill="1"/>
    <xf numFmtId="171" fontId="73" fillId="2" borderId="32" xfId="0" applyNumberFormat="1" applyFont="1" applyFill="1" applyBorder="1" applyAlignment="1">
      <alignment horizontal="center" vertical="center"/>
    </xf>
    <xf numFmtId="171" fontId="14" fillId="5" borderId="2" xfId="0" applyNumberFormat="1" applyFont="1" applyFill="1" applyBorder="1" applyAlignment="1">
      <alignment horizontal="right" vertical="center"/>
    </xf>
    <xf numFmtId="171" fontId="14" fillId="5" borderId="44" xfId="0" applyNumberFormat="1" applyFont="1" applyFill="1" applyBorder="1" applyAlignment="1">
      <alignment horizontal="right" vertical="center"/>
    </xf>
    <xf numFmtId="171" fontId="12" fillId="2" borderId="2" xfId="0" applyNumberFormat="1" applyFont="1" applyFill="1" applyBorder="1" applyAlignment="1">
      <alignment horizontal="center" vertical="center"/>
    </xf>
    <xf numFmtId="10" fontId="12" fillId="13" borderId="0" xfId="0" applyNumberFormat="1" applyFont="1" applyFill="1" applyAlignment="1">
      <alignment horizontal="center" vertical="center"/>
    </xf>
    <xf numFmtId="0" fontId="55" fillId="2" borderId="0" xfId="0" applyFont="1" applyFill="1" applyAlignment="1">
      <alignment horizontal="right" vertical="center"/>
    </xf>
    <xf numFmtId="3" fontId="57" fillId="14" borderId="0" xfId="0" applyNumberFormat="1" applyFont="1" applyFill="1" applyAlignment="1">
      <alignment horizontal="center"/>
    </xf>
    <xf numFmtId="8" fontId="55" fillId="0" borderId="0" xfId="0" applyNumberFormat="1" applyFont="1" applyAlignment="1">
      <alignment horizontal="center"/>
    </xf>
    <xf numFmtId="0" fontId="55" fillId="0" borderId="0" xfId="0" applyFont="1" applyAlignment="1">
      <alignment horizontal="right" vertical="center"/>
    </xf>
    <xf numFmtId="167" fontId="57" fillId="14" borderId="0" xfId="0" applyNumberFormat="1" applyFont="1" applyFill="1" applyAlignment="1">
      <alignment horizontal="center"/>
    </xf>
    <xf numFmtId="0" fontId="74" fillId="15" borderId="0" xfId="0" applyFont="1" applyFill="1"/>
    <xf numFmtId="0" fontId="74" fillId="15" borderId="0" xfId="0" applyFont="1" applyFill="1" applyAlignment="1">
      <alignment horizontal="center"/>
    </xf>
    <xf numFmtId="10" fontId="57" fillId="14" borderId="0" xfId="0" applyNumberFormat="1" applyFont="1" applyFill="1" applyAlignment="1">
      <alignment horizontal="center"/>
    </xf>
    <xf numFmtId="0" fontId="57" fillId="0" borderId="0" xfId="0" applyFont="1"/>
    <xf numFmtId="167" fontId="55" fillId="0" borderId="0" xfId="0" applyNumberFormat="1" applyFont="1" applyAlignment="1">
      <alignment horizontal="center"/>
    </xf>
    <xf numFmtId="10" fontId="55" fillId="0" borderId="0" xfId="0" applyNumberFormat="1" applyFont="1" applyAlignment="1">
      <alignment horizontal="right" vertical="center"/>
    </xf>
    <xf numFmtId="10" fontId="54" fillId="13" borderId="0" xfId="0" applyNumberFormat="1" applyFont="1" applyFill="1" applyAlignment="1">
      <alignment horizontal="left" vertical="top"/>
    </xf>
    <xf numFmtId="6" fontId="55" fillId="0" borderId="0" xfId="0" applyNumberFormat="1" applyFont="1" applyAlignment="1">
      <alignment horizontal="center"/>
    </xf>
    <xf numFmtId="6" fontId="57" fillId="14" borderId="0" xfId="0" applyNumberFormat="1" applyFont="1" applyFill="1" applyAlignment="1">
      <alignment horizontal="center"/>
    </xf>
    <xf numFmtId="10" fontId="54" fillId="13" borderId="0" xfId="0" applyNumberFormat="1" applyFont="1" applyFill="1" applyAlignment="1">
      <alignment horizontal="left" vertical="center"/>
    </xf>
    <xf numFmtId="0" fontId="2" fillId="0" borderId="0" xfId="0" applyFont="1"/>
    <xf numFmtId="10" fontId="54" fillId="13" borderId="0" xfId="0" applyNumberFormat="1" applyFont="1" applyFill="1" applyAlignment="1">
      <alignment horizontal="center" vertical="center"/>
    </xf>
    <xf numFmtId="0" fontId="74" fillId="21" borderId="0" xfId="0" applyFont="1" applyFill="1" applyAlignment="1">
      <alignment horizontal="center" vertical="top" wrapText="1"/>
    </xf>
    <xf numFmtId="0" fontId="74" fillId="21" borderId="0" xfId="0" applyFont="1" applyFill="1" applyAlignment="1">
      <alignment horizontal="right" vertical="top" wrapText="1"/>
    </xf>
    <xf numFmtId="0" fontId="74" fillId="21" borderId="0" xfId="0" applyFont="1" applyFill="1" applyAlignment="1">
      <alignment horizontal="right" vertical="top"/>
    </xf>
    <xf numFmtId="0" fontId="37" fillId="22" borderId="0" xfId="0" applyFont="1" applyFill="1" applyAlignment="1">
      <alignment horizontal="center"/>
    </xf>
    <xf numFmtId="44" fontId="37" fillId="22" borderId="0" xfId="0" applyNumberFormat="1" applyFont="1" applyFill="1" applyAlignment="1">
      <alignment horizontal="center"/>
    </xf>
    <xf numFmtId="44" fontId="51" fillId="22" borderId="0" xfId="0" applyNumberFormat="1" applyFont="1" applyFill="1" applyAlignment="1">
      <alignment horizontal="center"/>
    </xf>
    <xf numFmtId="39" fontId="55" fillId="22" borderId="0" xfId="0" applyNumberFormat="1" applyFont="1" applyFill="1"/>
    <xf numFmtId="0" fontId="55" fillId="22" borderId="0" xfId="0" applyFont="1" applyFill="1" applyAlignment="1">
      <alignment horizontal="center"/>
    </xf>
    <xf numFmtId="183" fontId="55" fillId="22" borderId="0" xfId="0" applyNumberFormat="1" applyFont="1" applyFill="1" applyAlignment="1">
      <alignment horizontal="center"/>
    </xf>
    <xf numFmtId="4" fontId="55" fillId="22" borderId="0" xfId="0" applyNumberFormat="1" applyFont="1" applyFill="1" applyAlignment="1">
      <alignment horizontal="right"/>
    </xf>
    <xf numFmtId="0" fontId="55" fillId="0" borderId="0" xfId="0" applyFont="1" applyAlignment="1">
      <alignment horizontal="right"/>
    </xf>
    <xf numFmtId="3" fontId="55" fillId="0" borderId="0" xfId="0" applyNumberFormat="1" applyFont="1" applyAlignment="1">
      <alignment horizontal="center"/>
    </xf>
    <xf numFmtId="0" fontId="0" fillId="9" borderId="0" xfId="0" applyFill="1"/>
    <xf numFmtId="0" fontId="26" fillId="0" borderId="0" xfId="0" applyFont="1" applyAlignment="1">
      <alignment horizontal="right"/>
    </xf>
    <xf numFmtId="0" fontId="3" fillId="0" borderId="3" xfId="0" applyFont="1" applyBorder="1"/>
    <xf numFmtId="0" fontId="3" fillId="0" borderId="7" xfId="0" applyFont="1" applyBorder="1"/>
    <xf numFmtId="0" fontId="40" fillId="2" borderId="37" xfId="3" applyFont="1" applyFill="1" applyBorder="1" applyAlignment="1">
      <alignment wrapText="1"/>
    </xf>
    <xf numFmtId="0" fontId="6" fillId="3" borderId="0" xfId="0" applyFont="1" applyFill="1"/>
    <xf numFmtId="184" fontId="3" fillId="2" borderId="3" xfId="0" applyNumberFormat="1" applyFont="1" applyFill="1" applyBorder="1" applyAlignment="1">
      <alignment vertical="center"/>
    </xf>
    <xf numFmtId="185" fontId="3" fillId="2" borderId="0" xfId="0" applyNumberFormat="1" applyFont="1" applyFill="1" applyAlignment="1">
      <alignment vertical="center"/>
    </xf>
    <xf numFmtId="186" fontId="3" fillId="2" borderId="0" xfId="0" applyNumberFormat="1" applyFont="1" applyFill="1" applyAlignment="1">
      <alignment vertical="center"/>
    </xf>
    <xf numFmtId="187" fontId="3" fillId="2" borderId="4" xfId="0" applyNumberFormat="1" applyFont="1" applyFill="1" applyBorder="1" applyAlignment="1">
      <alignment vertical="center"/>
    </xf>
    <xf numFmtId="1" fontId="14" fillId="5" borderId="30" xfId="0" applyNumberFormat="1" applyFont="1" applyFill="1" applyBorder="1" applyAlignment="1">
      <alignment horizontal="centerContinuous"/>
    </xf>
    <xf numFmtId="1" fontId="14" fillId="5" borderId="11" xfId="0" applyNumberFormat="1" applyFont="1" applyFill="1" applyBorder="1" applyAlignment="1">
      <alignment horizontal="centerContinuous"/>
    </xf>
    <xf numFmtId="1" fontId="14" fillId="5" borderId="64" xfId="0" applyNumberFormat="1" applyFont="1" applyFill="1" applyBorder="1" applyAlignment="1">
      <alignment horizontal="centerContinuous"/>
    </xf>
    <xf numFmtId="1" fontId="14" fillId="5" borderId="16" xfId="0" applyNumberFormat="1" applyFont="1" applyFill="1" applyBorder="1" applyAlignment="1">
      <alignment horizontal="centerContinuous"/>
    </xf>
    <xf numFmtId="41" fontId="6" fillId="3" borderId="38" xfId="0" applyNumberFormat="1" applyFont="1" applyFill="1" applyBorder="1" applyAlignment="1">
      <alignment horizontal="right"/>
    </xf>
    <xf numFmtId="41" fontId="6" fillId="3" borderId="65" xfId="0" applyNumberFormat="1" applyFont="1" applyFill="1" applyBorder="1" applyAlignment="1">
      <alignment horizontal="right"/>
    </xf>
    <xf numFmtId="41" fontId="38" fillId="3" borderId="38" xfId="0" applyNumberFormat="1" applyFont="1" applyFill="1" applyBorder="1"/>
    <xf numFmtId="41" fontId="38" fillId="3" borderId="65" xfId="0" applyNumberFormat="1" applyFont="1" applyFill="1" applyBorder="1"/>
    <xf numFmtId="41" fontId="38" fillId="3" borderId="39" xfId="0" applyNumberFormat="1" applyFont="1" applyFill="1" applyBorder="1"/>
    <xf numFmtId="177" fontId="11" fillId="2" borderId="23" xfId="0" applyNumberFormat="1" applyFont="1" applyFill="1" applyBorder="1"/>
    <xf numFmtId="183" fontId="14" fillId="5" borderId="26" xfId="0" applyNumberFormat="1" applyFont="1" applyFill="1" applyBorder="1" applyAlignment="1">
      <alignment horizontal="right"/>
    </xf>
    <xf numFmtId="183" fontId="14" fillId="5" borderId="5" xfId="0" applyNumberFormat="1" applyFont="1" applyFill="1" applyBorder="1" applyAlignment="1">
      <alignment horizontal="right"/>
    </xf>
    <xf numFmtId="183" fontId="14" fillId="5" borderId="27" xfId="0" applyNumberFormat="1" applyFont="1" applyFill="1" applyBorder="1" applyAlignment="1">
      <alignment horizontal="right"/>
    </xf>
    <xf numFmtId="183" fontId="14" fillId="5" borderId="10" xfId="0" applyNumberFormat="1" applyFont="1" applyFill="1" applyBorder="1" applyAlignment="1">
      <alignment horizontal="right"/>
    </xf>
    <xf numFmtId="177" fontId="11" fillId="2" borderId="0" xfId="0" applyNumberFormat="1" applyFont="1" applyFill="1"/>
    <xf numFmtId="177" fontId="16" fillId="2" borderId="0" xfId="0" applyNumberFormat="1" applyFont="1" applyFill="1"/>
    <xf numFmtId="41" fontId="26" fillId="2" borderId="0" xfId="0" applyNumberFormat="1" applyFont="1" applyFill="1" applyAlignment="1">
      <alignment horizontal="right"/>
    </xf>
    <xf numFmtId="183" fontId="14" fillId="5" borderId="30" xfId="0" applyNumberFormat="1" applyFont="1" applyFill="1" applyBorder="1" applyAlignment="1">
      <alignment horizontal="right"/>
    </xf>
    <xf numFmtId="183" fontId="14" fillId="5" borderId="11" xfId="0" applyNumberFormat="1" applyFont="1" applyFill="1" applyBorder="1" applyAlignment="1">
      <alignment horizontal="right"/>
    </xf>
    <xf numFmtId="183" fontId="14" fillId="5" borderId="64" xfId="0" applyNumberFormat="1" applyFont="1" applyFill="1" applyBorder="1" applyAlignment="1">
      <alignment horizontal="right"/>
    </xf>
    <xf numFmtId="41" fontId="3" fillId="3" borderId="38" xfId="0" applyNumberFormat="1" applyFont="1" applyFill="1" applyBorder="1" applyAlignment="1">
      <alignment horizontal="right"/>
    </xf>
    <xf numFmtId="41" fontId="3" fillId="3" borderId="65" xfId="0" applyNumberFormat="1" applyFont="1" applyFill="1" applyBorder="1" applyAlignment="1">
      <alignment horizontal="right"/>
    </xf>
    <xf numFmtId="41" fontId="3" fillId="3" borderId="103" xfId="0" applyNumberFormat="1" applyFont="1" applyFill="1" applyBorder="1" applyAlignment="1">
      <alignment horizontal="right"/>
    </xf>
    <xf numFmtId="41" fontId="3" fillId="3" borderId="39" xfId="0" applyNumberFormat="1" applyFont="1" applyFill="1" applyBorder="1" applyAlignment="1">
      <alignment horizontal="right"/>
    </xf>
    <xf numFmtId="2" fontId="3" fillId="0" borderId="7" xfId="0" applyNumberFormat="1" applyFont="1" applyBorder="1"/>
    <xf numFmtId="164" fontId="26" fillId="0" borderId="0" xfId="2" applyNumberFormat="1" applyFont="1"/>
    <xf numFmtId="41" fontId="11" fillId="0" borderId="93" xfId="0" applyNumberFormat="1" applyFont="1" applyBorder="1"/>
    <xf numFmtId="41" fontId="11" fillId="0" borderId="54" xfId="0" applyNumberFormat="1" applyFont="1" applyBorder="1"/>
    <xf numFmtId="177" fontId="11" fillId="0" borderId="93" xfId="0" applyNumberFormat="1" applyFont="1" applyBorder="1"/>
    <xf numFmtId="177" fontId="11" fillId="0" borderId="54" xfId="0" applyNumberFormat="1" applyFont="1" applyBorder="1"/>
    <xf numFmtId="41" fontId="16" fillId="0" borderId="93" xfId="0" applyNumberFormat="1" applyFont="1" applyBorder="1"/>
    <xf numFmtId="41" fontId="16" fillId="0" borderId="54" xfId="0" applyNumberFormat="1" applyFont="1" applyBorder="1"/>
    <xf numFmtId="41" fontId="16" fillId="0" borderId="105" xfId="0" applyNumberFormat="1" applyFont="1" applyBorder="1"/>
    <xf numFmtId="41" fontId="16" fillId="0" borderId="53" xfId="0" applyNumberFormat="1" applyFont="1" applyBorder="1"/>
    <xf numFmtId="41" fontId="38" fillId="3" borderId="104" xfId="0" applyNumberFormat="1" applyFont="1" applyFill="1" applyBorder="1"/>
    <xf numFmtId="1" fontId="14" fillId="5" borderId="79" xfId="0" applyNumberFormat="1" applyFont="1" applyFill="1" applyBorder="1" applyAlignment="1">
      <alignment horizontal="centerContinuous"/>
    </xf>
    <xf numFmtId="41" fontId="3" fillId="3" borderId="55" xfId="0" applyNumberFormat="1" applyFont="1" applyFill="1" applyBorder="1" applyAlignment="1">
      <alignment horizontal="right"/>
    </xf>
    <xf numFmtId="177" fontId="26" fillId="3" borderId="55" xfId="0" applyNumberFormat="1" applyFont="1" applyFill="1" applyBorder="1" applyAlignment="1">
      <alignment horizontal="right"/>
    </xf>
    <xf numFmtId="41" fontId="3" fillId="3" borderId="104" xfId="0" applyNumberFormat="1" applyFont="1" applyFill="1" applyBorder="1" applyAlignment="1">
      <alignment horizontal="right"/>
    </xf>
    <xf numFmtId="41" fontId="26" fillId="2" borderId="105" xfId="0" applyNumberFormat="1" applyFont="1" applyFill="1" applyBorder="1" applyAlignment="1">
      <alignment horizontal="right"/>
    </xf>
    <xf numFmtId="41" fontId="26" fillId="2" borderId="42" xfId="0" applyNumberFormat="1" applyFont="1" applyFill="1" applyBorder="1" applyAlignment="1">
      <alignment horizontal="right"/>
    </xf>
    <xf numFmtId="41" fontId="26" fillId="2" borderId="18" xfId="0" applyNumberFormat="1" applyFont="1" applyFill="1" applyBorder="1" applyAlignment="1">
      <alignment horizontal="right"/>
    </xf>
    <xf numFmtId="41" fontId="26" fillId="3" borderId="21" xfId="0" applyNumberFormat="1" applyFont="1" applyFill="1" applyBorder="1" applyAlignment="1">
      <alignment horizontal="right"/>
    </xf>
    <xf numFmtId="164" fontId="3" fillId="0" borderId="0" xfId="2" applyNumberFormat="1" applyFont="1"/>
    <xf numFmtId="1" fontId="18" fillId="5" borderId="5" xfId="0" applyNumberFormat="1" applyFont="1" applyFill="1" applyBorder="1" applyAlignment="1">
      <alignment horizontal="right"/>
    </xf>
    <xf numFmtId="1" fontId="18" fillId="5" borderId="7" xfId="0" applyNumberFormat="1" applyFont="1" applyFill="1" applyBorder="1" applyAlignment="1">
      <alignment horizontal="right"/>
    </xf>
    <xf numFmtId="0" fontId="6" fillId="3" borderId="106" xfId="0" applyFont="1" applyFill="1" applyBorder="1"/>
    <xf numFmtId="177" fontId="3" fillId="3" borderId="107" xfId="0" applyNumberFormat="1" applyFont="1" applyFill="1" applyBorder="1" applyAlignment="1">
      <alignment horizontal="right"/>
    </xf>
    <xf numFmtId="177" fontId="3" fillId="3" borderId="108" xfId="0" applyNumberFormat="1" applyFont="1" applyFill="1" applyBorder="1" applyAlignment="1">
      <alignment horizontal="right"/>
    </xf>
    <xf numFmtId="177" fontId="3" fillId="3" borderId="109" xfId="0" applyNumberFormat="1" applyFont="1" applyFill="1" applyBorder="1" applyAlignment="1">
      <alignment horizontal="right"/>
    </xf>
    <xf numFmtId="41" fontId="3" fillId="3" borderId="107" xfId="0" applyNumberFormat="1" applyFont="1" applyFill="1" applyBorder="1" applyAlignment="1">
      <alignment horizontal="right"/>
    </xf>
    <xf numFmtId="166" fontId="3" fillId="3" borderId="107" xfId="0" applyNumberFormat="1" applyFont="1" applyFill="1" applyBorder="1"/>
    <xf numFmtId="166" fontId="3" fillId="3" borderId="108" xfId="0" applyNumberFormat="1" applyFont="1" applyFill="1" applyBorder="1"/>
    <xf numFmtId="177" fontId="11" fillId="3" borderId="108" xfId="0" applyNumberFormat="1" applyFont="1" applyFill="1" applyBorder="1"/>
    <xf numFmtId="177" fontId="11" fillId="3" borderId="109" xfId="0" applyNumberFormat="1" applyFont="1" applyFill="1" applyBorder="1"/>
    <xf numFmtId="177" fontId="11" fillId="3" borderId="107" xfId="0" applyNumberFormat="1" applyFont="1" applyFill="1" applyBorder="1"/>
    <xf numFmtId="177" fontId="11" fillId="3" borderId="110" xfId="0" applyNumberFormat="1" applyFont="1" applyFill="1" applyBorder="1"/>
    <xf numFmtId="0" fontId="3" fillId="5" borderId="4" xfId="0" applyFont="1" applyFill="1" applyBorder="1"/>
    <xf numFmtId="0" fontId="3" fillId="2" borderId="23" xfId="0" applyFont="1" applyFill="1" applyBorder="1"/>
    <xf numFmtId="0" fontId="3" fillId="2" borderId="43" xfId="0" applyFont="1" applyFill="1" applyBorder="1"/>
    <xf numFmtId="0" fontId="6" fillId="3" borderId="36" xfId="0" applyFont="1" applyFill="1" applyBorder="1"/>
    <xf numFmtId="0" fontId="6" fillId="3" borderId="65" xfId="0" applyFont="1" applyFill="1" applyBorder="1"/>
    <xf numFmtId="0" fontId="6" fillId="3" borderId="78" xfId="0" applyFont="1" applyFill="1" applyBorder="1"/>
    <xf numFmtId="41" fontId="3" fillId="3" borderId="42" xfId="0" applyNumberFormat="1" applyFont="1" applyFill="1" applyBorder="1" applyAlignment="1">
      <alignment horizontal="right"/>
    </xf>
    <xf numFmtId="41" fontId="3" fillId="3" borderId="2" xfId="0" applyNumberFormat="1" applyFont="1" applyFill="1" applyBorder="1" applyAlignment="1">
      <alignment horizontal="right"/>
    </xf>
    <xf numFmtId="41" fontId="3" fillId="3" borderId="43" xfId="0" applyNumberFormat="1" applyFont="1" applyFill="1" applyBorder="1" applyAlignment="1">
      <alignment horizontal="right"/>
    </xf>
    <xf numFmtId="41" fontId="3" fillId="3" borderId="18" xfId="0" applyNumberFormat="1" applyFont="1" applyFill="1" applyBorder="1" applyAlignment="1">
      <alignment horizontal="right"/>
    </xf>
    <xf numFmtId="0" fontId="3" fillId="0" borderId="78" xfId="0" applyFont="1" applyBorder="1" applyAlignment="1">
      <alignment horizontal="left"/>
    </xf>
    <xf numFmtId="41" fontId="11" fillId="0" borderId="42" xfId="0" applyNumberFormat="1" applyFont="1" applyBorder="1" applyAlignment="1">
      <alignment horizontal="right"/>
    </xf>
    <xf numFmtId="41" fontId="11" fillId="0" borderId="2" xfId="0" applyNumberFormat="1" applyFont="1" applyBorder="1" applyAlignment="1">
      <alignment horizontal="right"/>
    </xf>
    <xf numFmtId="41" fontId="11" fillId="0" borderId="43" xfId="0" applyNumberFormat="1" applyFont="1" applyBorder="1" applyAlignment="1">
      <alignment horizontal="right"/>
    </xf>
    <xf numFmtId="41" fontId="11" fillId="0" borderId="105" xfId="0" applyNumberFormat="1" applyFont="1" applyBorder="1"/>
    <xf numFmtId="41" fontId="11" fillId="0" borderId="2" xfId="0" applyNumberFormat="1" applyFont="1" applyBorder="1"/>
    <xf numFmtId="41" fontId="16" fillId="0" borderId="2" xfId="0" applyNumberFormat="1" applyFont="1" applyBorder="1"/>
    <xf numFmtId="41" fontId="16" fillId="0" borderId="43" xfId="0" applyNumberFormat="1" applyFont="1" applyBorder="1"/>
    <xf numFmtId="41" fontId="16" fillId="0" borderId="42" xfId="0" applyNumberFormat="1" applyFont="1" applyBorder="1"/>
    <xf numFmtId="41" fontId="16" fillId="0" borderId="18" xfId="0" applyNumberFormat="1" applyFont="1" applyBorder="1"/>
    <xf numFmtId="0" fontId="84" fillId="0" borderId="0" xfId="0" applyFont="1" applyAlignment="1">
      <alignment horizontal="right"/>
    </xf>
    <xf numFmtId="194" fontId="4" fillId="9" borderId="4" xfId="0" applyNumberFormat="1" applyFont="1" applyFill="1" applyBorder="1" applyAlignment="1">
      <alignment vertical="center"/>
    </xf>
    <xf numFmtId="194" fontId="4" fillId="9" borderId="0" xfId="0" applyNumberFormat="1" applyFont="1" applyFill="1" applyAlignment="1">
      <alignment vertical="center"/>
    </xf>
    <xf numFmtId="0" fontId="6" fillId="3" borderId="111" xfId="0" applyFont="1" applyFill="1" applyBorder="1"/>
    <xf numFmtId="41" fontId="3" fillId="3" borderId="60" xfId="0" applyNumberFormat="1" applyFont="1" applyFill="1" applyBorder="1" applyAlignment="1">
      <alignment horizontal="right"/>
    </xf>
    <xf numFmtId="41" fontId="3" fillId="3" borderId="61" xfId="0" applyNumberFormat="1" applyFont="1" applyFill="1" applyBorder="1" applyAlignment="1">
      <alignment horizontal="right"/>
    </xf>
    <xf numFmtId="41" fontId="3" fillId="3" borderId="62" xfId="0" applyNumberFormat="1" applyFont="1" applyFill="1" applyBorder="1" applyAlignment="1">
      <alignment horizontal="right"/>
    </xf>
    <xf numFmtId="41" fontId="3" fillId="3" borderId="63" xfId="0" applyNumberFormat="1" applyFont="1" applyFill="1" applyBorder="1" applyAlignment="1">
      <alignment horizontal="right"/>
    </xf>
    <xf numFmtId="0" fontId="6" fillId="3" borderId="6" xfId="0" applyFont="1" applyFill="1" applyBorder="1"/>
    <xf numFmtId="177" fontId="3" fillId="3" borderId="24" xfId="0" applyNumberFormat="1" applyFont="1" applyFill="1" applyBorder="1" applyAlignment="1">
      <alignment horizontal="right"/>
    </xf>
    <xf numFmtId="177" fontId="3" fillId="3" borderId="7" xfId="0" applyNumberFormat="1" applyFont="1" applyFill="1" applyBorder="1" applyAlignment="1">
      <alignment horizontal="right"/>
    </xf>
    <xf numFmtId="177" fontId="3" fillId="3" borderId="25" xfId="0" applyNumberFormat="1" applyFont="1" applyFill="1" applyBorder="1" applyAlignment="1">
      <alignment horizontal="right"/>
    </xf>
    <xf numFmtId="3" fontId="36" fillId="0" borderId="0" xfId="0" applyNumberFormat="1" applyFont="1"/>
    <xf numFmtId="167" fontId="29" fillId="5" borderId="11" xfId="0" applyNumberFormat="1" applyFont="1" applyFill="1" applyBorder="1"/>
    <xf numFmtId="2" fontId="26" fillId="2" borderId="38" xfId="0" applyNumberFormat="1" applyFont="1" applyFill="1" applyBorder="1" applyAlignment="1">
      <alignment horizontal="right" vertical="center"/>
    </xf>
    <xf numFmtId="0" fontId="3" fillId="2" borderId="0" xfId="0" quotePrefix="1" applyFont="1" applyFill="1"/>
    <xf numFmtId="8" fontId="26" fillId="2" borderId="0" xfId="0" applyNumberFormat="1" applyFont="1" applyFill="1" applyAlignment="1">
      <alignment horizontal="center"/>
    </xf>
    <xf numFmtId="0" fontId="3" fillId="2" borderId="0" xfId="0" quotePrefix="1" applyFont="1" applyFill="1" applyAlignment="1">
      <alignment horizontal="center"/>
    </xf>
    <xf numFmtId="0" fontId="8" fillId="5" borderId="112" xfId="3" applyFont="1" applyFill="1" applyBorder="1"/>
    <xf numFmtId="0" fontId="40" fillId="0" borderId="102" xfId="3" applyFont="1" applyBorder="1" applyAlignment="1">
      <alignment horizontal="center" wrapText="1"/>
    </xf>
    <xf numFmtId="3" fontId="3" fillId="2" borderId="113" xfId="3" applyNumberFormat="1" applyFont="1" applyFill="1" applyBorder="1" applyAlignment="1">
      <alignment horizontal="center"/>
    </xf>
    <xf numFmtId="3" fontId="3" fillId="2" borderId="114" xfId="3" applyNumberFormat="1" applyFont="1" applyFill="1" applyBorder="1" applyAlignment="1">
      <alignment horizontal="center"/>
    </xf>
    <xf numFmtId="3" fontId="3" fillId="2" borderId="115" xfId="3" applyNumberFormat="1" applyFont="1" applyFill="1" applyBorder="1" applyAlignment="1">
      <alignment horizontal="center"/>
    </xf>
    <xf numFmtId="3" fontId="6" fillId="3" borderId="115" xfId="3" applyNumberFormat="1" applyFont="1" applyFill="1" applyBorder="1" applyAlignment="1">
      <alignment horizontal="center" vertical="center"/>
    </xf>
    <xf numFmtId="0" fontId="29" fillId="5" borderId="82" xfId="0" applyFont="1" applyFill="1" applyBorder="1"/>
    <xf numFmtId="0" fontId="40" fillId="0" borderId="112" xfId="3" applyFont="1" applyBorder="1" applyAlignment="1">
      <alignment horizontal="center" wrapText="1"/>
    </xf>
    <xf numFmtId="1" fontId="18" fillId="5" borderId="0" xfId="0" applyNumberFormat="1" applyFont="1" applyFill="1" applyAlignment="1">
      <alignment horizontal="right"/>
    </xf>
    <xf numFmtId="1" fontId="14" fillId="5" borderId="22" xfId="0" applyNumberFormat="1" applyFont="1" applyFill="1" applyBorder="1" applyAlignment="1">
      <alignment horizontal="right"/>
    </xf>
    <xf numFmtId="1" fontId="14" fillId="5" borderId="0" xfId="0" applyNumberFormat="1" applyFont="1" applyFill="1" applyAlignment="1">
      <alignment horizontal="right"/>
    </xf>
    <xf numFmtId="1" fontId="14" fillId="5" borderId="23" xfId="0" applyNumberFormat="1" applyFont="1" applyFill="1" applyBorder="1" applyAlignment="1">
      <alignment horizontal="right"/>
    </xf>
    <xf numFmtId="1" fontId="14" fillId="5" borderId="4" xfId="0" applyNumberFormat="1" applyFont="1" applyFill="1" applyBorder="1" applyAlignment="1">
      <alignment horizontal="right"/>
    </xf>
    <xf numFmtId="14" fontId="4" fillId="9" borderId="4" xfId="2" applyNumberFormat="1" applyFont="1" applyFill="1" applyBorder="1" applyAlignment="1">
      <alignment horizontal="right" vertical="center"/>
    </xf>
    <xf numFmtId="195" fontId="14" fillId="5" borderId="24" xfId="0" applyNumberFormat="1" applyFont="1" applyFill="1" applyBorder="1" applyAlignment="1">
      <alignment horizontal="right"/>
    </xf>
    <xf numFmtId="195" fontId="14" fillId="5" borderId="7" xfId="0" applyNumberFormat="1" applyFont="1" applyFill="1" applyBorder="1" applyAlignment="1">
      <alignment horizontal="right"/>
    </xf>
    <xf numFmtId="195" fontId="14" fillId="5" borderId="25" xfId="0" applyNumberFormat="1" applyFont="1" applyFill="1" applyBorder="1" applyAlignment="1">
      <alignment horizontal="right"/>
    </xf>
    <xf numFmtId="195" fontId="14" fillId="5" borderId="8" xfId="0" applyNumberFormat="1" applyFont="1" applyFill="1" applyBorder="1" applyAlignment="1">
      <alignment horizontal="right"/>
    </xf>
    <xf numFmtId="0" fontId="30" fillId="5" borderId="0" xfId="0" applyFont="1" applyFill="1" applyAlignment="1">
      <alignment horizontal="right"/>
    </xf>
    <xf numFmtId="1" fontId="18" fillId="5" borderId="27" xfId="0" applyNumberFormat="1" applyFont="1" applyFill="1" applyBorder="1" applyAlignment="1">
      <alignment horizontal="right"/>
    </xf>
    <xf numFmtId="1" fontId="18" fillId="5" borderId="23" xfId="0" applyNumberFormat="1" applyFont="1" applyFill="1" applyBorder="1" applyAlignment="1">
      <alignment horizontal="right"/>
    </xf>
    <xf numFmtId="1" fontId="18" fillId="5" borderId="25" xfId="0" applyNumberFormat="1" applyFont="1" applyFill="1" applyBorder="1" applyAlignment="1">
      <alignment horizontal="right"/>
    </xf>
    <xf numFmtId="0" fontId="3" fillId="2" borderId="0" xfId="0" applyFont="1" applyFill="1" applyAlignment="1">
      <alignment horizontal="right"/>
    </xf>
    <xf numFmtId="196" fontId="26" fillId="0" borderId="0" xfId="2" applyNumberFormat="1" applyFont="1" applyBorder="1" applyAlignment="1">
      <alignment horizontal="right"/>
    </xf>
    <xf numFmtId="0" fontId="0" fillId="5" borderId="0" xfId="0" applyFill="1"/>
    <xf numFmtId="0" fontId="2" fillId="19" borderId="91" xfId="0" applyFont="1" applyFill="1" applyBorder="1" applyAlignment="1">
      <alignment horizontal="center" vertical="top"/>
    </xf>
    <xf numFmtId="14" fontId="2" fillId="19" borderId="73" xfId="0" applyNumberFormat="1" applyFont="1" applyFill="1" applyBorder="1" applyAlignment="1">
      <alignment horizontal="center" vertical="top"/>
    </xf>
    <xf numFmtId="0" fontId="2" fillId="19" borderId="92" xfId="0" applyFont="1" applyFill="1" applyBorder="1" applyAlignment="1">
      <alignment vertical="center" wrapText="1"/>
    </xf>
    <xf numFmtId="164" fontId="26" fillId="0" borderId="0" xfId="2" applyNumberFormat="1" applyFont="1" applyBorder="1"/>
    <xf numFmtId="3" fontId="20" fillId="2" borderId="4" xfId="1" applyNumberFormat="1" applyFont="1" applyFill="1" applyBorder="1" applyAlignment="1">
      <alignment vertical="center"/>
    </xf>
    <xf numFmtId="3" fontId="4" fillId="9" borderId="4" xfId="1" applyNumberFormat="1" applyFont="1" applyFill="1" applyBorder="1" applyAlignment="1">
      <alignment vertical="center"/>
    </xf>
    <xf numFmtId="3" fontId="6" fillId="2" borderId="39" xfId="0" applyNumberFormat="1" applyFont="1" applyFill="1" applyBorder="1"/>
    <xf numFmtId="3" fontId="89" fillId="2" borderId="0" xfId="1" applyNumberFormat="1" applyFont="1" applyFill="1" applyBorder="1" applyAlignment="1">
      <alignment vertical="center"/>
    </xf>
    <xf numFmtId="10" fontId="89" fillId="2" borderId="8" xfId="2" applyNumberFormat="1" applyFont="1" applyFill="1" applyBorder="1" applyAlignment="1">
      <alignment horizontal="right" vertical="center"/>
    </xf>
    <xf numFmtId="41" fontId="90" fillId="2" borderId="0" xfId="0" applyNumberFormat="1" applyFont="1" applyFill="1"/>
    <xf numFmtId="41" fontId="90" fillId="2" borderId="32" xfId="0" applyNumberFormat="1" applyFont="1" applyFill="1" applyBorder="1"/>
    <xf numFmtId="3" fontId="89" fillId="2" borderId="0" xfId="1" applyNumberFormat="1" applyFont="1" applyFill="1" applyBorder="1" applyAlignment="1">
      <alignment horizontal="right" vertical="center"/>
    </xf>
    <xf numFmtId="0" fontId="91" fillId="0" borderId="0" xfId="0" applyFont="1"/>
    <xf numFmtId="0" fontId="92" fillId="0" borderId="0" xfId="0" applyFont="1"/>
    <xf numFmtId="0" fontId="93" fillId="2" borderId="48" xfId="5" applyFont="1" applyFill="1" applyBorder="1" applyAlignment="1">
      <alignment horizontal="right"/>
    </xf>
    <xf numFmtId="0" fontId="93" fillId="0" borderId="0" xfId="5" applyFont="1"/>
    <xf numFmtId="0" fontId="8" fillId="5" borderId="2" xfId="3" applyFont="1" applyFill="1" applyBorder="1" applyAlignment="1">
      <alignment horizontal="left" vertical="center"/>
    </xf>
    <xf numFmtId="0" fontId="11" fillId="2" borderId="0" xfId="0" applyFont="1" applyFill="1" applyAlignment="1">
      <alignment horizontal="left"/>
    </xf>
    <xf numFmtId="0" fontId="11" fillId="2" borderId="0" xfId="0" quotePrefix="1" applyFont="1" applyFill="1" applyAlignment="1">
      <alignment horizontal="left"/>
    </xf>
    <xf numFmtId="0" fontId="25" fillId="7" borderId="20" xfId="0" applyFont="1" applyFill="1" applyBorder="1"/>
    <xf numFmtId="0" fontId="9" fillId="3" borderId="20" xfId="0" applyFont="1" applyFill="1" applyBorder="1" applyAlignment="1">
      <alignment horizontal="left"/>
    </xf>
    <xf numFmtId="0" fontId="9" fillId="2" borderId="20" xfId="0" applyFont="1" applyFill="1" applyBorder="1" applyAlignment="1">
      <alignment horizontal="left"/>
    </xf>
    <xf numFmtId="0" fontId="9" fillId="7" borderId="20" xfId="0" quotePrefix="1" applyFont="1" applyFill="1" applyBorder="1" applyAlignment="1">
      <alignment horizontal="left"/>
    </xf>
    <xf numFmtId="0" fontId="14" fillId="2" borderId="0" xfId="0" applyFont="1" applyFill="1" applyAlignment="1">
      <alignment horizontal="left"/>
    </xf>
    <xf numFmtId="0" fontId="13" fillId="2" borderId="0" xfId="0" applyFont="1" applyFill="1" applyAlignment="1">
      <alignment horizontal="left"/>
    </xf>
    <xf numFmtId="0" fontId="11" fillId="2" borderId="0" xfId="0" applyFont="1" applyFill="1" applyAlignment="1">
      <alignment horizontal="right"/>
    </xf>
    <xf numFmtId="0" fontId="13" fillId="3" borderId="0" xfId="0" applyFont="1" applyFill="1" applyAlignment="1">
      <alignment horizontal="left" vertical="center"/>
    </xf>
    <xf numFmtId="0" fontId="13" fillId="3" borderId="0" xfId="0" applyFont="1" applyFill="1" applyAlignment="1">
      <alignment horizontal="left"/>
    </xf>
    <xf numFmtId="0" fontId="11" fillId="2" borderId="7" xfId="0" applyFont="1" applyFill="1" applyBorder="1" applyAlignment="1">
      <alignment horizontal="left" vertical="center"/>
    </xf>
    <xf numFmtId="0" fontId="24" fillId="8" borderId="81" xfId="0" applyFont="1" applyFill="1" applyBorder="1" applyAlignment="1">
      <alignment vertical="center"/>
    </xf>
    <xf numFmtId="0" fontId="24" fillId="8" borderId="0" xfId="0" applyFont="1" applyFill="1" applyAlignment="1">
      <alignment vertical="center"/>
    </xf>
    <xf numFmtId="0" fontId="3" fillId="2" borderId="0" xfId="0" applyFont="1" applyFill="1" applyAlignment="1">
      <alignment horizontal="left" indent="1"/>
    </xf>
    <xf numFmtId="0" fontId="3" fillId="2" borderId="2" xfId="0" applyFont="1" applyFill="1" applyBorder="1" applyAlignment="1">
      <alignment horizontal="left" indent="1"/>
    </xf>
    <xf numFmtId="0" fontId="6" fillId="2" borderId="0" xfId="0" applyFont="1" applyFill="1" applyAlignment="1">
      <alignment horizontal="left"/>
    </xf>
    <xf numFmtId="0" fontId="6" fillId="3" borderId="20" xfId="0" applyFont="1" applyFill="1" applyBorder="1" applyAlignment="1">
      <alignment horizontal="left"/>
    </xf>
    <xf numFmtId="0" fontId="26" fillId="2" borderId="7" xfId="0" quotePrefix="1" applyFont="1" applyFill="1" applyBorder="1" applyAlignment="1">
      <alignment horizontal="left" indent="1"/>
    </xf>
    <xf numFmtId="0" fontId="50" fillId="8" borderId="81" xfId="0" applyFont="1" applyFill="1" applyBorder="1"/>
    <xf numFmtId="0" fontId="3" fillId="0" borderId="0" xfId="0" applyFont="1" applyAlignment="1">
      <alignment horizontal="left" indent="1"/>
    </xf>
    <xf numFmtId="0" fontId="26" fillId="2" borderId="0" xfId="0" applyFont="1" applyFill="1" applyAlignment="1">
      <alignment horizontal="left" indent="1"/>
    </xf>
    <xf numFmtId="0" fontId="50" fillId="8" borderId="0" xfId="0" applyFont="1" applyFill="1" applyAlignment="1">
      <alignment vertical="center"/>
    </xf>
    <xf numFmtId="16" fontId="89" fillId="2" borderId="58" xfId="3" quotePrefix="1" applyNumberFormat="1" applyFont="1" applyFill="1" applyBorder="1" applyAlignment="1" applyProtection="1">
      <alignment horizontal="left" vertical="center"/>
      <protection locked="0"/>
    </xf>
    <xf numFmtId="16" fontId="89" fillId="2" borderId="12" xfId="3" quotePrefix="1" applyNumberFormat="1" applyFont="1" applyFill="1" applyBorder="1" applyAlignment="1" applyProtection="1">
      <alignment horizontal="left"/>
      <protection locked="0"/>
    </xf>
    <xf numFmtId="16" fontId="89" fillId="2" borderId="59" xfId="3" quotePrefix="1" applyNumberFormat="1" applyFont="1" applyFill="1" applyBorder="1" applyAlignment="1" applyProtection="1">
      <alignment horizontal="left"/>
      <protection locked="0"/>
    </xf>
    <xf numFmtId="16" fontId="4" fillId="9" borderId="5" xfId="3" quotePrefix="1" applyNumberFormat="1" applyFont="1" applyFill="1" applyBorder="1" applyAlignment="1" applyProtection="1">
      <alignment horizontal="center" vertical="center"/>
      <protection locked="0"/>
    </xf>
    <xf numFmtId="16" fontId="4" fillId="9" borderId="13" xfId="3" quotePrefix="1" applyNumberFormat="1" applyFont="1" applyFill="1" applyBorder="1" applyAlignment="1" applyProtection="1">
      <alignment horizontal="center"/>
      <protection locked="0"/>
    </xf>
    <xf numFmtId="16" fontId="4" fillId="9" borderId="7" xfId="3" quotePrefix="1" applyNumberFormat="1" applyFont="1" applyFill="1" applyBorder="1" applyAlignment="1" applyProtection="1">
      <alignment horizontal="center"/>
      <protection locked="0"/>
    </xf>
    <xf numFmtId="164" fontId="90" fillId="2" borderId="0" xfId="0" applyNumberFormat="1" applyFont="1" applyFill="1" applyAlignment="1" applyProtection="1">
      <alignment horizontal="center" vertical="center"/>
      <protection locked="0"/>
    </xf>
    <xf numFmtId="164" fontId="90" fillId="2" borderId="4" xfId="0" applyNumberFormat="1" applyFont="1" applyFill="1" applyBorder="1" applyAlignment="1" applyProtection="1">
      <alignment horizontal="center" vertical="center"/>
      <protection locked="0"/>
    </xf>
    <xf numFmtId="164" fontId="90" fillId="2" borderId="7" xfId="0" applyNumberFormat="1" applyFont="1" applyFill="1" applyBorder="1" applyAlignment="1" applyProtection="1">
      <alignment horizontal="center" vertical="center"/>
      <protection locked="0"/>
    </xf>
    <xf numFmtId="164" fontId="90" fillId="2" borderId="8" xfId="0" applyNumberFormat="1" applyFont="1" applyFill="1" applyBorder="1" applyAlignment="1" applyProtection="1">
      <alignment horizontal="center" vertical="center"/>
      <protection locked="0"/>
    </xf>
    <xf numFmtId="0" fontId="6" fillId="3" borderId="15" xfId="3" applyFont="1" applyFill="1" applyBorder="1" applyAlignment="1">
      <alignment horizontal="left" vertical="center"/>
    </xf>
    <xf numFmtId="0" fontId="6" fillId="3" borderId="11" xfId="3" applyFont="1" applyFill="1" applyBorder="1" applyAlignment="1">
      <alignment horizontal="left" vertical="center"/>
    </xf>
    <xf numFmtId="0" fontId="6" fillId="3" borderId="11" xfId="3" applyFont="1" applyFill="1" applyBorder="1" applyAlignment="1">
      <alignment horizontal="center" vertical="center"/>
    </xf>
    <xf numFmtId="3" fontId="6" fillId="3" borderId="11" xfId="3" applyNumberFormat="1" applyFont="1" applyFill="1" applyBorder="1" applyAlignment="1">
      <alignment horizontal="center" vertical="center"/>
    </xf>
    <xf numFmtId="1" fontId="6" fillId="3" borderId="11" xfId="3" applyNumberFormat="1" applyFont="1" applyFill="1" applyBorder="1" applyAlignment="1">
      <alignment horizontal="center" vertical="center"/>
    </xf>
    <xf numFmtId="168" fontId="6" fillId="3" borderId="11" xfId="3" applyNumberFormat="1" applyFont="1" applyFill="1" applyBorder="1" applyAlignment="1">
      <alignment horizontal="center" vertical="center" wrapText="1"/>
    </xf>
    <xf numFmtId="167" fontId="6" fillId="3" borderId="11" xfId="3" applyNumberFormat="1" applyFont="1" applyFill="1" applyBorder="1" applyAlignment="1">
      <alignment horizontal="center" vertical="center" wrapText="1"/>
    </xf>
    <xf numFmtId="1" fontId="6" fillId="3" borderId="30" xfId="3" applyNumberFormat="1" applyFont="1" applyFill="1" applyBorder="1" applyAlignment="1">
      <alignment horizontal="center" vertical="center" wrapText="1"/>
    </xf>
    <xf numFmtId="9" fontId="6" fillId="3" borderId="64" xfId="2" applyFont="1" applyFill="1" applyBorder="1" applyAlignment="1">
      <alignment horizontal="center" vertical="center"/>
    </xf>
    <xf numFmtId="8" fontId="6" fillId="3" borderId="11" xfId="3" applyNumberFormat="1" applyFont="1" applyFill="1" applyBorder="1" applyAlignment="1">
      <alignment horizontal="center" vertical="center"/>
    </xf>
    <xf numFmtId="0" fontId="3" fillId="2" borderId="0" xfId="0" applyFont="1" applyFill="1" applyAlignment="1">
      <alignment horizontal="center" vertical="center"/>
    </xf>
    <xf numFmtId="0" fontId="3" fillId="0" borderId="0" xfId="0" applyFont="1" applyAlignment="1">
      <alignment horizontal="center" vertical="center"/>
    </xf>
    <xf numFmtId="0" fontId="35" fillId="2" borderId="0" xfId="3" applyFont="1" applyFill="1" applyAlignment="1">
      <alignment horizontal="left"/>
    </xf>
    <xf numFmtId="0" fontId="81" fillId="2" borderId="0" xfId="10" applyFont="1" applyFill="1" applyAlignment="1">
      <alignment vertical="center"/>
    </xf>
    <xf numFmtId="0" fontId="3" fillId="2" borderId="0" xfId="0" applyFont="1" applyFill="1" applyAlignment="1">
      <alignment horizontal="left"/>
    </xf>
    <xf numFmtId="0" fontId="3" fillId="24" borderId="0" xfId="0" applyFont="1" applyFill="1" applyAlignment="1">
      <alignment horizontal="center" vertical="center"/>
    </xf>
    <xf numFmtId="0" fontId="95" fillId="2" borderId="0" xfId="0" applyFont="1" applyFill="1" applyAlignment="1">
      <alignment horizontal="left" vertical="center"/>
    </xf>
    <xf numFmtId="0" fontId="96" fillId="2" borderId="66" xfId="0" applyFont="1" applyFill="1" applyBorder="1" applyAlignment="1">
      <alignment horizontal="center" vertical="center"/>
    </xf>
    <xf numFmtId="0" fontId="98" fillId="0" borderId="54" xfId="11" applyFont="1" applyFill="1" applyBorder="1"/>
    <xf numFmtId="0" fontId="44" fillId="2" borderId="54" xfId="0" applyFont="1" applyFill="1" applyBorder="1" applyAlignment="1">
      <alignment vertical="center"/>
    </xf>
    <xf numFmtId="0" fontId="44" fillId="2" borderId="7" xfId="0" applyFont="1" applyFill="1" applyBorder="1" applyAlignment="1">
      <alignment vertical="center"/>
    </xf>
    <xf numFmtId="0" fontId="44" fillId="2" borderId="80" xfId="0" applyFont="1" applyFill="1" applyBorder="1" applyAlignment="1">
      <alignment vertical="center"/>
    </xf>
    <xf numFmtId="0" fontId="44" fillId="2" borderId="7" xfId="0" applyFont="1" applyFill="1" applyBorder="1" applyAlignment="1">
      <alignment horizontal="center" vertical="center"/>
    </xf>
    <xf numFmtId="0" fontId="44" fillId="2" borderId="54" xfId="0" applyFont="1" applyFill="1" applyBorder="1" applyAlignment="1">
      <alignment horizontal="center" vertical="center"/>
    </xf>
    <xf numFmtId="0" fontId="44" fillId="2" borderId="80" xfId="0" applyFont="1" applyFill="1" applyBorder="1" applyAlignment="1">
      <alignment horizontal="center" vertical="center"/>
    </xf>
    <xf numFmtId="0" fontId="98" fillId="0" borderId="53" xfId="11" applyFont="1" applyFill="1" applyBorder="1"/>
    <xf numFmtId="0" fontId="95" fillId="2" borderId="0" xfId="0" applyFont="1" applyFill="1" applyAlignment="1">
      <alignment horizontal="center"/>
    </xf>
    <xf numFmtId="0" fontId="94" fillId="2" borderId="5" xfId="5" applyFont="1" applyFill="1" applyBorder="1" applyAlignment="1">
      <alignment vertical="center"/>
    </xf>
    <xf numFmtId="0" fontId="94" fillId="2" borderId="5" xfId="5" applyFont="1" applyFill="1" applyBorder="1" applyAlignment="1">
      <alignment horizontal="left" vertical="center"/>
    </xf>
    <xf numFmtId="0" fontId="71" fillId="5" borderId="91" xfId="0" applyFont="1" applyFill="1" applyBorder="1" applyAlignment="1">
      <alignment horizontal="center" vertical="center"/>
    </xf>
    <xf numFmtId="0" fontId="71" fillId="5" borderId="73" xfId="0" applyFont="1" applyFill="1" applyBorder="1" applyAlignment="1">
      <alignment horizontal="center" vertical="center"/>
    </xf>
    <xf numFmtId="0" fontId="71" fillId="5" borderId="92" xfId="0" applyFont="1" applyFill="1" applyBorder="1" applyAlignment="1">
      <alignment horizontal="left" vertical="center"/>
    </xf>
    <xf numFmtId="0" fontId="3" fillId="2" borderId="74" xfId="0" applyFont="1" applyFill="1" applyBorder="1"/>
    <xf numFmtId="37" fontId="11" fillId="2" borderId="23" xfId="0" applyNumberFormat="1" applyFont="1" applyFill="1" applyBorder="1"/>
    <xf numFmtId="37" fontId="12" fillId="9" borderId="23" xfId="0" applyNumberFormat="1" applyFont="1" applyFill="1" applyBorder="1" applyAlignment="1" applyProtection="1">
      <alignment horizontal="right"/>
      <protection locked="0"/>
    </xf>
    <xf numFmtId="37" fontId="12" fillId="9" borderId="43" xfId="0" applyNumberFormat="1" applyFont="1" applyFill="1" applyBorder="1" applyAlignment="1" applyProtection="1">
      <alignment horizontal="right"/>
      <protection locked="0"/>
    </xf>
    <xf numFmtId="193" fontId="3" fillId="2" borderId="0" xfId="2" applyNumberFormat="1" applyFont="1" applyFill="1"/>
    <xf numFmtId="0" fontId="29" fillId="0" borderId="0" xfId="0" applyFont="1" applyAlignment="1">
      <alignment horizontal="right"/>
    </xf>
    <xf numFmtId="0" fontId="8" fillId="5" borderId="97" xfId="0" applyFont="1" applyFill="1" applyBorder="1" applyAlignment="1">
      <alignment horizontal="left" vertical="center"/>
    </xf>
    <xf numFmtId="0" fontId="19" fillId="5" borderId="98" xfId="0" applyFont="1" applyFill="1" applyBorder="1" applyAlignment="1">
      <alignment horizontal="left" vertical="center"/>
    </xf>
    <xf numFmtId="0" fontId="8" fillId="5" borderId="100" xfId="0" applyFont="1" applyFill="1" applyBorder="1" applyAlignment="1">
      <alignment vertical="center"/>
    </xf>
    <xf numFmtId="164" fontId="26" fillId="10" borderId="4" xfId="0" applyNumberFormat="1" applyFont="1" applyFill="1" applyBorder="1" applyAlignment="1">
      <alignment vertical="center"/>
    </xf>
    <xf numFmtId="178" fontId="26" fillId="23" borderId="4" xfId="0" applyNumberFormat="1" applyFont="1" applyFill="1" applyBorder="1" applyAlignment="1">
      <alignment vertical="center"/>
    </xf>
    <xf numFmtId="41" fontId="26" fillId="10" borderId="4" xfId="0" applyNumberFormat="1" applyFont="1" applyFill="1" applyBorder="1" applyAlignment="1">
      <alignment horizontal="right" vertical="center"/>
    </xf>
    <xf numFmtId="0" fontId="20" fillId="2" borderId="0" xfId="0" applyFont="1" applyFill="1" applyAlignment="1">
      <alignment horizontal="left" vertical="center"/>
    </xf>
    <xf numFmtId="0" fontId="19" fillId="5" borderId="0" xfId="0" applyFont="1" applyFill="1" applyAlignment="1">
      <alignment horizontal="left" vertical="center"/>
    </xf>
    <xf numFmtId="3" fontId="6" fillId="2" borderId="21" xfId="0" applyNumberFormat="1" applyFont="1" applyFill="1" applyBorder="1" applyAlignment="1">
      <alignment vertical="center"/>
    </xf>
    <xf numFmtId="0" fontId="3" fillId="0" borderId="4" xfId="0" applyFont="1" applyBorder="1"/>
    <xf numFmtId="3" fontId="6" fillId="2" borderId="39" xfId="0" applyNumberFormat="1" applyFont="1" applyFill="1" applyBorder="1" applyAlignment="1">
      <alignment vertical="center"/>
    </xf>
    <xf numFmtId="0" fontId="8" fillId="5" borderId="98" xfId="0" applyFont="1" applyFill="1" applyBorder="1" applyAlignment="1">
      <alignment vertical="center"/>
    </xf>
    <xf numFmtId="0" fontId="99" fillId="2" borderId="121" xfId="0" applyFont="1" applyFill="1" applyBorder="1" applyAlignment="1">
      <alignment horizontal="left" vertical="center" indent="1"/>
    </xf>
    <xf numFmtId="0" fontId="44" fillId="2" borderId="0" xfId="0" applyFont="1" applyFill="1" applyAlignment="1">
      <alignment vertical="center"/>
    </xf>
    <xf numFmtId="0" fontId="99" fillId="2" borderId="118" xfId="0" applyFont="1" applyFill="1" applyBorder="1" applyAlignment="1">
      <alignment horizontal="left" vertical="center" indent="1"/>
    </xf>
    <xf numFmtId="0" fontId="99" fillId="2" borderId="120" xfId="0" applyFont="1" applyFill="1" applyBorder="1" applyAlignment="1">
      <alignment horizontal="left" vertical="center" indent="1"/>
    </xf>
    <xf numFmtId="0" fontId="44" fillId="2" borderId="0" xfId="0" applyFont="1" applyFill="1" applyAlignment="1">
      <alignment horizontal="center" vertical="center"/>
    </xf>
    <xf numFmtId="0" fontId="8" fillId="25" borderId="116" xfId="10" applyFont="1" applyFill="1" applyBorder="1" applyAlignment="1">
      <alignment horizontal="center" vertical="center"/>
    </xf>
    <xf numFmtId="0" fontId="8" fillId="25" borderId="11" xfId="10" applyFont="1" applyFill="1" applyBorder="1" applyAlignment="1">
      <alignment vertical="center"/>
    </xf>
    <xf numFmtId="0" fontId="8" fillId="25" borderId="79" xfId="10" applyFont="1" applyFill="1" applyBorder="1" applyAlignment="1">
      <alignment vertical="center"/>
    </xf>
    <xf numFmtId="0" fontId="8" fillId="25" borderId="117" xfId="10" applyFont="1" applyFill="1" applyBorder="1" applyAlignment="1">
      <alignment vertical="center"/>
    </xf>
    <xf numFmtId="0" fontId="44" fillId="2" borderId="67" xfId="0" applyFont="1" applyFill="1" applyBorder="1" applyAlignment="1">
      <alignment horizontal="center" vertical="center"/>
    </xf>
    <xf numFmtId="0" fontId="44" fillId="2" borderId="119" xfId="0" applyFont="1" applyFill="1" applyBorder="1" applyAlignment="1">
      <alignment horizontal="center" vertical="center"/>
    </xf>
    <xf numFmtId="37" fontId="12" fillId="9" borderId="0" xfId="0" applyNumberFormat="1" applyFont="1" applyFill="1"/>
    <xf numFmtId="41" fontId="15" fillId="2" borderId="123" xfId="0" applyNumberFormat="1" applyFont="1" applyFill="1" applyBorder="1"/>
    <xf numFmtId="41" fontId="15" fillId="2" borderId="122" xfId="0" applyNumberFormat="1" applyFont="1" applyFill="1" applyBorder="1"/>
    <xf numFmtId="1" fontId="12" fillId="9" borderId="0" xfId="0" applyNumberFormat="1" applyFont="1" applyFill="1" applyAlignment="1" applyProtection="1">
      <alignment horizontal="right"/>
      <protection locked="0"/>
    </xf>
    <xf numFmtId="0" fontId="93" fillId="2" borderId="48" xfId="11" applyFont="1" applyFill="1" applyBorder="1" applyAlignment="1">
      <alignment horizontal="right"/>
    </xf>
    <xf numFmtId="174" fontId="11" fillId="2" borderId="31" xfId="0" applyNumberFormat="1" applyFont="1" applyFill="1" applyBorder="1"/>
    <xf numFmtId="41" fontId="10" fillId="2" borderId="32" xfId="0" applyNumberFormat="1" applyFont="1" applyFill="1" applyBorder="1"/>
    <xf numFmtId="41" fontId="6" fillId="3" borderId="124" xfId="0" applyNumberFormat="1" applyFont="1" applyFill="1" applyBorder="1"/>
    <xf numFmtId="0" fontId="69" fillId="2" borderId="95" xfId="5" applyFont="1" applyFill="1" applyBorder="1" applyAlignment="1">
      <alignment horizontal="center"/>
    </xf>
    <xf numFmtId="0" fontId="67" fillId="5" borderId="94" xfId="0" applyFont="1" applyFill="1" applyBorder="1" applyAlignment="1">
      <alignment horizontal="left" vertical="center" wrapText="1"/>
    </xf>
    <xf numFmtId="0" fontId="67" fillId="5" borderId="0" xfId="0" applyFont="1" applyFill="1" applyAlignment="1">
      <alignment horizontal="left" vertical="center" wrapText="1"/>
    </xf>
    <xf numFmtId="0" fontId="67" fillId="5" borderId="95" xfId="0" applyFont="1" applyFill="1" applyBorder="1" applyAlignment="1">
      <alignment horizontal="left" vertical="center" wrapText="1"/>
    </xf>
    <xf numFmtId="0" fontId="3" fillId="2" borderId="0" xfId="0" applyFont="1" applyFill="1" applyAlignment="1">
      <alignment horizontal="center" vertical="center"/>
    </xf>
    <xf numFmtId="0" fontId="4" fillId="9" borderId="1" xfId="0" applyFont="1" applyFill="1" applyBorder="1" applyAlignment="1">
      <alignment horizontal="left" vertical="center"/>
    </xf>
    <xf numFmtId="0" fontId="4" fillId="9" borderId="76" xfId="0" applyFont="1" applyFill="1" applyBorder="1" applyAlignment="1">
      <alignment horizontal="left" vertical="center"/>
    </xf>
    <xf numFmtId="0" fontId="8" fillId="5" borderId="42" xfId="3" applyFont="1" applyFill="1" applyBorder="1" applyAlignment="1">
      <alignment horizontal="center" vertical="center"/>
    </xf>
    <xf numFmtId="0" fontId="8" fillId="5" borderId="2" xfId="3" applyFont="1" applyFill="1" applyBorder="1" applyAlignment="1">
      <alignment horizontal="center" vertical="center"/>
    </xf>
    <xf numFmtId="0" fontId="8" fillId="5" borderId="43" xfId="3" applyFont="1" applyFill="1" applyBorder="1" applyAlignment="1">
      <alignment horizontal="center" vertical="center"/>
    </xf>
    <xf numFmtId="0" fontId="79" fillId="9" borderId="75" xfId="0" applyFont="1" applyFill="1" applyBorder="1" applyAlignment="1">
      <alignment horizontal="left" vertical="top" wrapText="1"/>
    </xf>
    <xf numFmtId="0" fontId="79" fillId="9" borderId="1" xfId="0" applyFont="1" applyFill="1" applyBorder="1" applyAlignment="1">
      <alignment horizontal="left" vertical="top" wrapText="1"/>
    </xf>
    <xf numFmtId="0" fontId="79" fillId="9" borderId="76" xfId="0" applyFont="1" applyFill="1" applyBorder="1" applyAlignment="1">
      <alignment horizontal="left" vertical="top" wrapText="1"/>
    </xf>
    <xf numFmtId="0" fontId="79" fillId="9" borderId="3" xfId="0" applyFont="1" applyFill="1" applyBorder="1" applyAlignment="1">
      <alignment horizontal="left" vertical="top" wrapText="1"/>
    </xf>
    <xf numFmtId="0" fontId="79" fillId="9" borderId="0" xfId="0" applyFont="1" applyFill="1" applyAlignment="1">
      <alignment horizontal="left" vertical="top" wrapText="1"/>
    </xf>
    <xf numFmtId="0" fontId="79" fillId="9" borderId="4" xfId="0" applyFont="1" applyFill="1" applyBorder="1" applyAlignment="1">
      <alignment horizontal="left" vertical="top" wrapText="1"/>
    </xf>
    <xf numFmtId="0" fontId="79" fillId="9" borderId="6" xfId="0" applyFont="1" applyFill="1" applyBorder="1" applyAlignment="1">
      <alignment horizontal="left" vertical="top" wrapText="1"/>
    </xf>
    <xf numFmtId="0" fontId="79" fillId="9" borderId="7" xfId="0" applyFont="1" applyFill="1" applyBorder="1" applyAlignment="1">
      <alignment horizontal="left" vertical="top" wrapText="1"/>
    </xf>
    <xf numFmtId="0" fontId="79" fillId="9" borderId="8" xfId="0" applyFont="1" applyFill="1" applyBorder="1" applyAlignment="1">
      <alignment horizontal="left" vertical="top" wrapText="1"/>
    </xf>
    <xf numFmtId="0" fontId="4" fillId="9" borderId="0" xfId="1" applyNumberFormat="1" applyFont="1" applyFill="1" applyBorder="1" applyAlignment="1">
      <alignment horizontal="left" vertical="center"/>
    </xf>
    <xf numFmtId="0" fontId="4" fillId="9" borderId="4" xfId="1" applyNumberFormat="1" applyFont="1" applyFill="1" applyBorder="1" applyAlignment="1">
      <alignment horizontal="left" vertical="center"/>
    </xf>
    <xf numFmtId="0" fontId="93" fillId="0" borderId="0" xfId="5" applyFont="1" applyAlignment="1">
      <alignment horizontal="left" vertical="center"/>
    </xf>
    <xf numFmtId="1" fontId="86" fillId="5" borderId="0" xfId="0" applyNumberFormat="1" applyFont="1" applyFill="1" applyAlignment="1">
      <alignment horizontal="left" vertical="top" wrapText="1"/>
    </xf>
    <xf numFmtId="1" fontId="87" fillId="5" borderId="0" xfId="0" applyNumberFormat="1" applyFont="1" applyFill="1" applyAlignment="1">
      <alignment horizontal="left" wrapText="1"/>
    </xf>
    <xf numFmtId="0" fontId="77" fillId="5" borderId="10" xfId="0" applyFont="1" applyFill="1" applyBorder="1" applyAlignment="1">
      <alignment horizontal="center" vertical="top" textRotation="90"/>
    </xf>
    <xf numFmtId="0" fontId="77" fillId="5" borderId="4" xfId="0" applyFont="1" applyFill="1" applyBorder="1" applyAlignment="1">
      <alignment horizontal="center" vertical="top" textRotation="90"/>
    </xf>
    <xf numFmtId="0" fontId="22" fillId="5" borderId="5" xfId="0" applyFont="1" applyFill="1" applyBorder="1" applyAlignment="1">
      <alignment horizontal="right" vertical="center" textRotation="90"/>
    </xf>
    <xf numFmtId="0" fontId="22" fillId="5" borderId="0" xfId="0" applyFont="1" applyFill="1" applyAlignment="1">
      <alignment horizontal="right" vertical="center" textRotation="90"/>
    </xf>
    <xf numFmtId="0" fontId="22" fillId="5" borderId="4" xfId="0" applyFont="1" applyFill="1" applyBorder="1" applyAlignment="1">
      <alignment horizontal="right" vertical="top" textRotation="90"/>
    </xf>
    <xf numFmtId="0" fontId="75" fillId="6" borderId="0" xfId="0" applyFont="1" applyFill="1" applyAlignment="1">
      <alignment horizontal="center" vertical="top"/>
    </xf>
    <xf numFmtId="0" fontId="103" fillId="0" borderId="48" xfId="3" applyFont="1" applyBorder="1" applyAlignment="1">
      <alignment horizontal="right"/>
    </xf>
    <xf numFmtId="0" fontId="103" fillId="0" borderId="48" xfId="10" applyFont="1" applyBorder="1" applyAlignment="1">
      <alignment horizontal="right"/>
    </xf>
  </cellXfs>
  <cellStyles count="12">
    <cellStyle name="Comma" xfId="9" builtinId="3"/>
    <cellStyle name="Currency" xfId="1" builtinId="4"/>
    <cellStyle name="Hyperlink" xfId="5" builtinId="8"/>
    <cellStyle name="Hyperlink 2" xfId="8" xr:uid="{C1DDD830-B884-4797-BCD6-AA7CE49A87C0}"/>
    <cellStyle name="Hyperlink 3" xfId="11" xr:uid="{20ADED00-4BF5-4512-B2A0-5DF9609BF4FC}"/>
    <cellStyle name="Normal" xfId="0" builtinId="0"/>
    <cellStyle name="Normal 2" xfId="10" xr:uid="{C8D6D276-086D-473E-B3B8-43C8BAADA07A}"/>
    <cellStyle name="Normal 2 3" xfId="4" xr:uid="{CD6BF514-45DC-4DD1-ACA8-04330A306E55}"/>
    <cellStyle name="Normal 3" xfId="3" xr:uid="{DAF3CF27-0469-4D43-B1AB-47921B73EB8B}"/>
    <cellStyle name="Normal 4" xfId="6" xr:uid="{63C58005-7B91-41C3-8DE2-2FDE63B16EDF}"/>
    <cellStyle name="Percent" xfId="2" builtinId="5"/>
    <cellStyle name="Percent 2" xfId="7" xr:uid="{583E8745-DFBD-4DE2-ABB5-E08B091F148B}"/>
  </cellStyles>
  <dxfs count="72">
    <dxf>
      <fill>
        <patternFill patternType="none"/>
      </fill>
    </dxf>
    <dxf>
      <fill>
        <patternFill patternType="none"/>
      </fill>
    </dxf>
    <dxf>
      <font>
        <color theme="1"/>
      </font>
      <fill>
        <patternFill>
          <bgColor theme="7" tint="0.59996337778862885"/>
        </patternFill>
      </fill>
    </dxf>
    <dxf>
      <font>
        <color theme="1"/>
      </font>
      <fill>
        <patternFill>
          <bgColor theme="7" tint="0.59996337778862885"/>
        </patternFill>
      </fill>
    </dxf>
    <dxf>
      <font>
        <color theme="1"/>
      </font>
      <fill>
        <patternFill>
          <bgColor theme="7" tint="0.59996337778862885"/>
        </patternFill>
      </fill>
    </dxf>
    <dxf>
      <font>
        <color theme="1"/>
      </font>
      <fill>
        <patternFill>
          <bgColor theme="7" tint="0.59996337778862885"/>
        </patternFill>
      </fill>
    </dxf>
    <dxf>
      <font>
        <color theme="0"/>
      </font>
    </dxf>
    <dxf>
      <fill>
        <patternFill>
          <bgColor rgb="FFFFCCCC"/>
        </patternFill>
      </fill>
    </dxf>
    <dxf>
      <fill>
        <patternFill>
          <bgColor theme="9"/>
        </patternFill>
      </fill>
    </dxf>
    <dxf>
      <fill>
        <patternFill>
          <bgColor theme="9"/>
        </patternFill>
      </fill>
    </dxf>
    <dxf>
      <fill>
        <patternFill>
          <bgColor rgb="FFFFCCCC"/>
        </patternFill>
      </fill>
    </dxf>
    <dxf>
      <fill>
        <patternFill>
          <bgColor theme="9"/>
        </patternFill>
      </fill>
    </dxf>
    <dxf>
      <font>
        <color theme="0" tint="-0.14996795556505021"/>
      </font>
      <fill>
        <patternFill>
          <bgColor theme="0" tint="-4.9989318521683403E-2"/>
        </patternFill>
      </fill>
    </dxf>
    <dxf>
      <fill>
        <patternFill patternType="none"/>
      </fill>
    </dxf>
    <dxf>
      <fill>
        <patternFill patternType="none"/>
      </fill>
    </dxf>
    <dxf>
      <fill>
        <patternFill>
          <bgColor theme="8" tint="0.59996337778862885"/>
        </patternFill>
      </fill>
    </dxf>
    <dxf>
      <fill>
        <patternFill>
          <bgColor rgb="FFFFCCCC"/>
        </patternFill>
      </fill>
    </dxf>
    <dxf>
      <font>
        <b/>
        <i val="0"/>
        <color theme="0"/>
      </font>
      <fill>
        <patternFill>
          <bgColor theme="9" tint="0.39994506668294322"/>
        </patternFill>
      </fill>
    </dxf>
    <dxf>
      <font>
        <b/>
        <i val="0"/>
        <color theme="0"/>
      </font>
      <fill>
        <patternFill>
          <bgColor theme="7" tint="0.39994506668294322"/>
        </patternFill>
      </fill>
    </dxf>
    <dxf>
      <font>
        <b/>
        <i val="0"/>
        <color theme="0"/>
      </font>
      <fill>
        <patternFill>
          <bgColor theme="7" tint="0.39994506668294322"/>
        </patternFill>
      </fill>
    </dxf>
    <dxf>
      <font>
        <b/>
        <i val="0"/>
        <color theme="0"/>
      </font>
      <fill>
        <patternFill>
          <bgColor theme="9" tint="0.39994506668294322"/>
        </patternFill>
      </fill>
    </dxf>
    <dxf>
      <font>
        <color theme="1"/>
      </font>
      <fill>
        <patternFill>
          <bgColor theme="9"/>
        </patternFill>
      </fill>
    </dxf>
    <dxf>
      <font>
        <b val="0"/>
        <i val="0"/>
        <color auto="1"/>
      </font>
      <fill>
        <patternFill>
          <bgColor theme="8" tint="0.79998168889431442"/>
        </patternFill>
      </fill>
    </dxf>
    <dxf>
      <font>
        <color theme="0" tint="-0.14996795556505021"/>
      </font>
      <fill>
        <patternFill>
          <bgColor theme="0" tint="-4.9989318521683403E-2"/>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ont>
        <color theme="1"/>
      </font>
      <fill>
        <patternFill patternType="none"/>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rgb="FFF0F0F0"/>
      </font>
      <fill>
        <patternFill>
          <bgColor rgb="FFF0F0F0"/>
        </patternFill>
      </fill>
    </dxf>
    <dxf>
      <font>
        <color theme="0"/>
      </font>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ill>
        <patternFill>
          <bgColor rgb="FFFFCCCC"/>
        </patternFill>
      </fill>
    </dxf>
    <dxf>
      <font>
        <color theme="0" tint="-0.14996795556505021"/>
      </font>
      <fill>
        <patternFill>
          <bgColor theme="0" tint="-4.9989318521683403E-2"/>
        </patternFill>
      </fill>
    </dxf>
    <dxf>
      <fill>
        <patternFill>
          <bgColor rgb="FFFFCCCC"/>
        </patternFill>
      </fill>
    </dxf>
    <dxf>
      <fill>
        <patternFill>
          <bgColor rgb="FFFFCCCC"/>
        </patternFill>
      </fill>
    </dxf>
    <dxf>
      <font>
        <color theme="1"/>
      </font>
      <fill>
        <patternFill patternType="none"/>
      </fill>
    </dxf>
    <dxf>
      <font>
        <color theme="1"/>
      </font>
      <fill>
        <patternFill patternType="none"/>
      </fill>
    </dxf>
    <dxf>
      <fill>
        <patternFill>
          <bgColor rgb="FFFFCCCC"/>
        </patternFill>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ill>
        <patternFill>
          <bgColor rgb="FFFFCCCC"/>
        </patternFill>
      </fill>
    </dxf>
    <dxf>
      <fill>
        <patternFill>
          <bgColor rgb="FFFFCCCC"/>
        </patternFill>
      </fill>
    </dxf>
    <dxf>
      <font>
        <color theme="0"/>
      </font>
      <fill>
        <patternFill>
          <bgColor theme="0"/>
        </patternFill>
      </fill>
    </dxf>
    <dxf>
      <font>
        <color theme="1"/>
      </font>
      <fill>
        <patternFill patternType="none"/>
      </fill>
    </dxf>
    <dxf>
      <font>
        <color theme="0" tint="-0.14996795556505021"/>
      </font>
      <fill>
        <patternFill>
          <bgColor theme="0" tint="-4.9989318521683403E-2"/>
        </patternFill>
      </fill>
    </dxf>
    <dxf>
      <font>
        <color theme="1"/>
      </font>
      <fill>
        <patternFill patternType="none"/>
      </fill>
    </dxf>
    <dxf>
      <font>
        <color theme="1"/>
      </font>
      <fill>
        <patternFill patternType="none"/>
      </fill>
    </dxf>
    <dxf>
      <font>
        <color theme="1"/>
      </font>
      <fill>
        <patternFill patternType="none"/>
      </fill>
    </dxf>
    <dxf>
      <font>
        <b/>
        <i val="0"/>
        <color rgb="FFFF0000"/>
      </font>
      <fill>
        <patternFill>
          <bgColor rgb="FFFFFF00"/>
        </patternFill>
      </fill>
    </dxf>
    <dxf>
      <font>
        <color theme="0" tint="-0.14996795556505021"/>
      </font>
      <fill>
        <patternFill>
          <bgColor theme="0" tint="-4.9989318521683403E-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b/>
        <i val="0"/>
        <color rgb="FF00B050"/>
      </font>
    </dxf>
    <dxf>
      <fill>
        <patternFill>
          <bgColor theme="9" tint="0.59996337778862885"/>
        </patternFill>
      </fill>
    </dxf>
    <dxf>
      <font>
        <b/>
        <i val="0"/>
        <color rgb="FF00B050"/>
      </font>
    </dxf>
  </dxfs>
  <tableStyles count="0" defaultTableStyle="TableStyleMedium2" defaultPivotStyle="PivotStyleLight16"/>
  <colors>
    <mruColors>
      <color rgb="FFFFFFCC"/>
      <color rgb="FF0000FF"/>
      <color rgb="FF13545E"/>
      <color rgb="FFF0F0F0"/>
      <color rgb="FF2297AA"/>
      <color rgb="FF1A7584"/>
      <color rgb="FFCDE1E7"/>
      <color rgb="FF7CCAD7"/>
      <color rgb="FF95DDE3"/>
      <color rgb="FF25A7B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a:t>
            </a:r>
            <a:r>
              <a:rPr lang="en-US"/>
              <a:t>GPR from </a:t>
            </a:r>
            <a:r>
              <a:rPr lang="en-US" baseline="0"/>
              <a:t>Renovated vs. Non-Renovated Units</a:t>
            </a:r>
            <a:endParaRPr lang="en-US"/>
          </a:p>
        </c:rich>
      </c:tx>
      <c:layout>
        <c:manualLayout>
          <c:xMode val="edge"/>
          <c:yMode val="edge"/>
          <c:x val="0.17124368048533872"/>
          <c:y val="1.86567164179104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8016687499502394E-2"/>
          <c:y val="0.17596368550946057"/>
          <c:w val="0.88868195823348173"/>
          <c:h val="0.71955782113056754"/>
        </c:manualLayout>
      </c:layout>
      <c:barChart>
        <c:barDir val="col"/>
        <c:grouping val="stacked"/>
        <c:varyColors val="0"/>
        <c:ser>
          <c:idx val="1"/>
          <c:order val="0"/>
          <c:tx>
            <c:strRef>
              <c:f>'GPR Logic'!$Q$158</c:f>
              <c:strCache>
                <c:ptCount val="1"/>
                <c:pt idx="0">
                  <c:v>Non-Reno GPR (less reno vacancy)</c:v>
                </c:pt>
              </c:strCache>
            </c:strRef>
          </c:tx>
          <c:spPr>
            <a:solidFill>
              <a:srgbClr val="13545E"/>
            </a:solidFill>
            <a:ln w="6350">
              <a:solidFill>
                <a:srgbClr val="CDE1E7"/>
              </a:solidFill>
            </a:ln>
            <a:effectLst/>
          </c:spPr>
          <c:invertIfNegative val="0"/>
          <c:cat>
            <c:numRef>
              <c:f>'GPR Logic'!$X$3:$CE$3</c:f>
              <c:numCache>
                <c:formatCode>0</c:formatCode>
                <c:ptCount val="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numCache>
            </c:numRef>
          </c:cat>
          <c:val>
            <c:numRef>
              <c:f>'GPR Logic'!$X$158:$CE$158</c:f>
              <c:numCache>
                <c:formatCode>_(* #,##0_);_(* \(#,##0\);_(* "-"_);_(@_)</c:formatCode>
                <c:ptCount val="6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numCache>
            </c:numRef>
          </c:val>
          <c:extLst>
            <c:ext xmlns:c16="http://schemas.microsoft.com/office/drawing/2014/chart" uri="{C3380CC4-5D6E-409C-BE32-E72D297353CC}">
              <c16:uniqueId val="{00000001-3CCF-443F-84C5-FCC436F25ED7}"/>
            </c:ext>
          </c:extLst>
        </c:ser>
        <c:ser>
          <c:idx val="0"/>
          <c:order val="1"/>
          <c:tx>
            <c:strRef>
              <c:f>'GPR Logic'!$Q$21</c:f>
              <c:strCache>
                <c:ptCount val="1"/>
                <c:pt idx="0">
                  <c:v>Reno GPR Total</c:v>
                </c:pt>
              </c:strCache>
            </c:strRef>
          </c:tx>
          <c:spPr>
            <a:solidFill>
              <a:srgbClr val="CDE1E7"/>
            </a:solidFill>
            <a:ln w="6350">
              <a:solidFill>
                <a:srgbClr val="13545E"/>
              </a:solidFill>
            </a:ln>
            <a:effectLst/>
          </c:spPr>
          <c:invertIfNegative val="0"/>
          <c:cat>
            <c:numRef>
              <c:f>'GPR Logic'!$X$3:$CE$3</c:f>
              <c:numCache>
                <c:formatCode>0</c:formatCode>
                <c:ptCount val="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numCache>
            </c:numRef>
          </c:cat>
          <c:val>
            <c:numRef>
              <c:f>'GPR Logic'!$X$21:$CE$21</c:f>
              <c:numCache>
                <c:formatCode>_(* #,##0_);_(* \(#,##0\);_(* "-"_);_(@_)</c:formatCode>
                <c:ptCount val="6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numCache>
            </c:numRef>
          </c:val>
          <c:extLst>
            <c:ext xmlns:c16="http://schemas.microsoft.com/office/drawing/2014/chart" uri="{C3380CC4-5D6E-409C-BE32-E72D297353CC}">
              <c16:uniqueId val="{00000000-3CCF-443F-84C5-FCC436F25ED7}"/>
            </c:ext>
          </c:extLst>
        </c:ser>
        <c:ser>
          <c:idx val="2"/>
          <c:order val="2"/>
          <c:tx>
            <c:strRef>
              <c:f>'GPR Logic'!$Q$53</c:f>
              <c:strCache>
                <c:ptCount val="1"/>
                <c:pt idx="0">
                  <c:v>Reno Vacancy Loss Total</c:v>
                </c:pt>
              </c:strCache>
            </c:strRef>
          </c:tx>
          <c:spPr>
            <a:solidFill>
              <a:srgbClr val="FFCCCC">
                <a:alpha val="48000"/>
              </a:srgbClr>
            </a:solidFill>
            <a:ln w="6350">
              <a:solidFill>
                <a:schemeClr val="bg1">
                  <a:lumMod val="75000"/>
                </a:schemeClr>
              </a:solidFill>
            </a:ln>
            <a:effectLst/>
          </c:spPr>
          <c:invertIfNegative val="0"/>
          <c:val>
            <c:numRef>
              <c:f>'GPR Logic'!$X$53:$CE$53</c:f>
              <c:numCache>
                <c:formatCode>_(* #,##0_);_(* \(#,##0\);_(* "-"_);_(@_)</c:formatCode>
                <c:ptCount val="6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numCache>
            </c:numRef>
          </c:val>
          <c:extLst>
            <c:ext xmlns:c16="http://schemas.microsoft.com/office/drawing/2014/chart" uri="{C3380CC4-5D6E-409C-BE32-E72D297353CC}">
              <c16:uniqueId val="{00000000-237B-4FD5-8ADE-7BC5E4B0C58A}"/>
            </c:ext>
          </c:extLst>
        </c:ser>
        <c:dLbls>
          <c:showLegendKey val="0"/>
          <c:showVal val="0"/>
          <c:showCatName val="0"/>
          <c:showSerName val="0"/>
          <c:showPercent val="0"/>
          <c:showBubbleSize val="0"/>
        </c:dLbls>
        <c:gapWidth val="0"/>
        <c:overlap val="100"/>
        <c:axId val="1726405599"/>
        <c:axId val="1726403935"/>
      </c:barChart>
      <c:lineChart>
        <c:grouping val="standard"/>
        <c:varyColors val="0"/>
        <c:ser>
          <c:idx val="3"/>
          <c:order val="3"/>
          <c:tx>
            <c:strRef>
              <c:f>'GPR Logic'!$Q$157</c:f>
              <c:strCache>
                <c:ptCount val="1"/>
                <c:pt idx="0">
                  <c:v>Baseline (no Reno)</c:v>
                </c:pt>
              </c:strCache>
            </c:strRef>
          </c:tx>
          <c:spPr>
            <a:ln w="9525" cap="rnd">
              <a:solidFill>
                <a:schemeClr val="tx1">
                  <a:lumMod val="65000"/>
                  <a:lumOff val="35000"/>
                </a:schemeClr>
              </a:solidFill>
              <a:prstDash val="dash"/>
              <a:round/>
            </a:ln>
            <a:effectLst/>
          </c:spPr>
          <c:marker>
            <c:symbol val="none"/>
          </c:marker>
          <c:val>
            <c:numRef>
              <c:f>'GPR Logic'!$X$157:$CE$157</c:f>
              <c:numCache>
                <c:formatCode>_(* #,##0_);_(* \(#,##0\);_(* "-"_);_(@_)</c:formatCode>
                <c:ptCount val="6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numCache>
            </c:numRef>
          </c:val>
          <c:smooth val="0"/>
          <c:extLst>
            <c:ext xmlns:c16="http://schemas.microsoft.com/office/drawing/2014/chart" uri="{C3380CC4-5D6E-409C-BE32-E72D297353CC}">
              <c16:uniqueId val="{00000001-237B-4FD5-8ADE-7BC5E4B0C58A}"/>
            </c:ext>
          </c:extLst>
        </c:ser>
        <c:dLbls>
          <c:showLegendKey val="0"/>
          <c:showVal val="0"/>
          <c:showCatName val="0"/>
          <c:showSerName val="0"/>
          <c:showPercent val="0"/>
          <c:showBubbleSize val="0"/>
        </c:dLbls>
        <c:marker val="1"/>
        <c:smooth val="0"/>
        <c:axId val="1726405599"/>
        <c:axId val="1726403935"/>
      </c:lineChart>
      <c:catAx>
        <c:axId val="1726405599"/>
        <c:scaling>
          <c:orientation val="minMax"/>
        </c:scaling>
        <c:delete val="0"/>
        <c:axPos val="b"/>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US" sz="800"/>
                  <a:t>Months</a:t>
                </a:r>
              </a:p>
            </c:rich>
          </c:tx>
          <c:layout>
            <c:manualLayout>
              <c:xMode val="edge"/>
              <c:yMode val="edge"/>
              <c:x val="0.47715532272318334"/>
              <c:y val="0.9435613425416794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726403935"/>
        <c:crosses val="autoZero"/>
        <c:auto val="1"/>
        <c:lblAlgn val="ctr"/>
        <c:lblOffset val="100"/>
        <c:noMultiLvlLbl val="0"/>
      </c:catAx>
      <c:valAx>
        <c:axId val="1726403935"/>
        <c:scaling>
          <c:orientation val="minMax"/>
        </c:scaling>
        <c:delete val="0"/>
        <c:axPos val="l"/>
        <c:majorGridlines>
          <c:spPr>
            <a:ln w="6350" cap="flat" cmpd="sng" algn="ctr">
              <a:solidFill>
                <a:schemeClr val="bg1">
                  <a:lumMod val="85000"/>
                </a:schemeClr>
              </a:solidFill>
              <a:prstDash val="sysDash"/>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726405599"/>
        <c:crosses val="autoZero"/>
        <c:crossBetween val="between"/>
      </c:valAx>
      <c:spPr>
        <a:noFill/>
        <a:ln>
          <a:noFill/>
        </a:ln>
        <a:effectLst/>
      </c:spPr>
    </c:plotArea>
    <c:legend>
      <c:legendPos val="t"/>
      <c:layout>
        <c:manualLayout>
          <c:xMode val="edge"/>
          <c:yMode val="edge"/>
          <c:x val="4.0561451557685722E-2"/>
          <c:y val="9.1533670231519565E-2"/>
          <c:w val="0.92052769440220372"/>
          <c:h val="9.4217299330121046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13545E"/>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fmlaLink="$B$28" lockText="1" noThreeD="1"/>
</file>

<file path=xl/ctrlProps/ctrlProp2.xml><?xml version="1.0" encoding="utf-8"?>
<formControlPr xmlns="http://schemas.microsoft.com/office/spreadsheetml/2009/9/main" objectType="CheckBox" fmlaLink="$B$30" lockText="1" noThreeD="1"/>
</file>

<file path=xl/ctrlProps/ctrlProp3.xml><?xml version="1.0" encoding="utf-8"?>
<formControlPr xmlns="http://schemas.microsoft.com/office/spreadsheetml/2009/9/main" objectType="CheckBox" fmlaLink="$B$29" lockText="1" noThreeD="1"/>
</file>

<file path=xl/ctrlProps/ctrlProp4.xml><?xml version="1.0" encoding="utf-8"?>
<formControlPr xmlns="http://schemas.microsoft.com/office/spreadsheetml/2009/9/main" objectType="CheckBox" fmlaLink="$B$31" lockText="1" noThreeD="1"/>
</file>

<file path=xl/ctrlProps/ctrlProp5.xml><?xml version="1.0" encoding="utf-8"?>
<formControlPr xmlns="http://schemas.microsoft.com/office/spreadsheetml/2009/9/main" objectType="CheckBox" fmlaLink="$B$32" lockText="1" noThreeD="1"/>
</file>

<file path=xl/ctrlProps/ctrlProp6.xml><?xml version="1.0" encoding="utf-8"?>
<formControlPr xmlns="http://schemas.microsoft.com/office/spreadsheetml/2009/9/main" objectType="CheckBox" fmlaLink="$B$33" lockText="1" noThreeD="1"/>
</file>

<file path=xl/ctrlProps/ctrlProp7.xml><?xml version="1.0" encoding="utf-8"?>
<formControlPr xmlns="http://schemas.microsoft.com/office/spreadsheetml/2009/9/main" objectType="CheckBox" fmlaLink="$B$34" lockText="1" noThreeD="1"/>
</file>

<file path=xl/ctrlProps/ctrlProp8.xml><?xml version="1.0" encoding="utf-8"?>
<formControlPr xmlns="http://schemas.microsoft.com/office/spreadsheetml/2009/9/main" objectType="CheckBox" fmlaLink="$B$35" lockText="1" noThreeD="1"/>
</file>

<file path=xl/ctrlProps/ctrlProp9.xml><?xml version="1.0" encoding="utf-8"?>
<formControlPr xmlns="http://schemas.microsoft.com/office/spreadsheetml/2009/9/main" objectType="CheckBox" fmlaLink="$B$36" lockText="1" noThreeD="1"/>
</file>

<file path=xl/ctrlProps/ctrlProp10.xml><?xml version="1.0" encoding="utf-8"?>
<formControlPr xmlns="http://schemas.microsoft.com/office/spreadsheetml/2009/9/main" objectType="CheckBox" fmlaLink="$B$37" lockText="1" noThreeD="1"/>
</file>

<file path=xl/ctrlProps/ctrlProp11.xml><?xml version="1.0" encoding="utf-8"?>
<formControlPr xmlns="http://schemas.microsoft.com/office/spreadsheetml/2009/9/main" objectType="CheckBox" fmlaLink="$B$38" lockText="1" noThreeD="1"/>
</file>

<file path=xl/ctrlProps/ctrlProp12.xml><?xml version="1.0" encoding="utf-8"?>
<formControlPr xmlns="http://schemas.microsoft.com/office/spreadsheetml/2009/9/main" objectType="CheckBox" fmlaLink="$B$39" lockText="1" noThreeD="1"/>
</file>

<file path=xl/ctrlProps/ctrlProp13.xml><?xml version="1.0" encoding="utf-8"?>
<formControlPr xmlns="http://schemas.microsoft.com/office/spreadsheetml/2009/9/main" objectType="CheckBox" fmlaLink="$B$40" lockText="1" noThreeD="1"/>
</file>

<file path=xl/ctrlProps/ctrlProp14.xml><?xml version="1.0" encoding="utf-8"?>
<formControlPr xmlns="http://schemas.microsoft.com/office/spreadsheetml/2009/9/main" objectType="CheckBox" fmlaLink="$B$41" lockText="1" noThreeD="1"/>
</file>

<file path=xl/ctrlProps/ctrlProp15.xml><?xml version="1.0" encoding="utf-8"?>
<formControlPr xmlns="http://schemas.microsoft.com/office/spreadsheetml/2009/9/main" objectType="CheckBox" fmlaLink="$B$42" lockText="1" noThreeD="1"/>
</file>

<file path=xl/ctrlProps/ctrlProp16.xml><?xml version="1.0" encoding="utf-8"?>
<formControlPr xmlns="http://schemas.microsoft.com/office/spreadsheetml/2009/9/main" objectType="CheckBox" fmlaLink="$B$28" lockText="1" noThreeD="1"/>
</file>

<file path=xl/ctrlProps/ctrlProp17.xml><?xml version="1.0" encoding="utf-8"?>
<formControlPr xmlns="http://schemas.microsoft.com/office/spreadsheetml/2009/9/main" objectType="CheckBox" fmlaLink="$B$30" lockText="1" noThreeD="1"/>
</file>

<file path=xl/ctrlProps/ctrlProp18.xml><?xml version="1.0" encoding="utf-8"?>
<formControlPr xmlns="http://schemas.microsoft.com/office/spreadsheetml/2009/9/main" objectType="CheckBox" fmlaLink="$B$29" lockText="1" noThreeD="1"/>
</file>

<file path=xl/ctrlProps/ctrlProp19.xml><?xml version="1.0" encoding="utf-8"?>
<formControlPr xmlns="http://schemas.microsoft.com/office/spreadsheetml/2009/9/main" objectType="CheckBox" fmlaLink="$B$31" lockText="1" noThreeD="1"/>
</file>

<file path=xl/ctrlProps/ctrlProp20.xml><?xml version="1.0" encoding="utf-8"?>
<formControlPr xmlns="http://schemas.microsoft.com/office/spreadsheetml/2009/9/main" objectType="CheckBox" fmlaLink="$B$32" lockText="1" noThreeD="1"/>
</file>

<file path=xl/ctrlProps/ctrlProp21.xml><?xml version="1.0" encoding="utf-8"?>
<formControlPr xmlns="http://schemas.microsoft.com/office/spreadsheetml/2009/9/main" objectType="CheckBox" fmlaLink="$B$33" lockText="1" noThreeD="1"/>
</file>

<file path=xl/ctrlProps/ctrlProp22.xml><?xml version="1.0" encoding="utf-8"?>
<formControlPr xmlns="http://schemas.microsoft.com/office/spreadsheetml/2009/9/main" objectType="CheckBox" fmlaLink="$B$34" lockText="1" noThreeD="1"/>
</file>

<file path=xl/ctrlProps/ctrlProp23.xml><?xml version="1.0" encoding="utf-8"?>
<formControlPr xmlns="http://schemas.microsoft.com/office/spreadsheetml/2009/9/main" objectType="CheckBox" fmlaLink="$B$35" lockText="1" noThreeD="1"/>
</file>

<file path=xl/ctrlProps/ctrlProp24.xml><?xml version="1.0" encoding="utf-8"?>
<formControlPr xmlns="http://schemas.microsoft.com/office/spreadsheetml/2009/9/main" objectType="CheckBox" fmlaLink="$B$36" lockText="1" noThreeD="1"/>
</file>

<file path=xl/ctrlProps/ctrlProp25.xml><?xml version="1.0" encoding="utf-8"?>
<formControlPr xmlns="http://schemas.microsoft.com/office/spreadsheetml/2009/9/main" objectType="CheckBox" fmlaLink="$B$37" lockText="1" noThreeD="1"/>
</file>

<file path=xl/ctrlProps/ctrlProp26.xml><?xml version="1.0" encoding="utf-8"?>
<formControlPr xmlns="http://schemas.microsoft.com/office/spreadsheetml/2009/9/main" objectType="CheckBox" fmlaLink="$B$38" lockText="1" noThreeD="1"/>
</file>

<file path=xl/ctrlProps/ctrlProp27.xml><?xml version="1.0" encoding="utf-8"?>
<formControlPr xmlns="http://schemas.microsoft.com/office/spreadsheetml/2009/9/main" objectType="CheckBox" fmlaLink="$B$39" lockText="1" noThreeD="1"/>
</file>

<file path=xl/ctrlProps/ctrlProp28.xml><?xml version="1.0" encoding="utf-8"?>
<formControlPr xmlns="http://schemas.microsoft.com/office/spreadsheetml/2009/9/main" objectType="CheckBox" fmlaLink="$B$40" lockText="1" noThreeD="1"/>
</file>

<file path=xl/ctrlProps/ctrlProp29.xml><?xml version="1.0" encoding="utf-8"?>
<formControlPr xmlns="http://schemas.microsoft.com/office/spreadsheetml/2009/9/main" objectType="CheckBox" fmlaLink="$B$41" lockText="1" noThreeD="1"/>
</file>

<file path=xl/ctrlProps/ctrlProp30.xml><?xml version="1.0" encoding="utf-8"?>
<formControlPr xmlns="http://schemas.microsoft.com/office/spreadsheetml/2009/9/main" objectType="CheckBox" fmlaLink="$B$42" lockText="1" noThreeD="1"/>
</file>

<file path=xl/ctrlProps/ctrlProp31.xml><?xml version="1.0" encoding="utf-8"?>
<formControlPr xmlns="http://schemas.microsoft.com/office/spreadsheetml/2009/9/main" objectType="Button" lockText="1"/>
</file>

<file path=xl/ctrlProps/ctrlProp32.xml><?xml version="1.0" encoding="utf-8"?>
<formControlPr xmlns="http://schemas.microsoft.com/office/spreadsheetml/2009/9/main" objectType="CheckBox" fmlaLink="$B$28" lockText="1" noThreeD="1"/>
</file>

<file path=xl/ctrlProps/ctrlProp33.xml><?xml version="1.0" encoding="utf-8"?>
<formControlPr xmlns="http://schemas.microsoft.com/office/spreadsheetml/2009/9/main" objectType="CheckBox" fmlaLink="$B$30" lockText="1" noThreeD="1"/>
</file>

<file path=xl/ctrlProps/ctrlProp34.xml><?xml version="1.0" encoding="utf-8"?>
<formControlPr xmlns="http://schemas.microsoft.com/office/spreadsheetml/2009/9/main" objectType="CheckBox" fmlaLink="$B$29" lockText="1" noThreeD="1"/>
</file>

<file path=xl/ctrlProps/ctrlProp35.xml><?xml version="1.0" encoding="utf-8"?>
<formControlPr xmlns="http://schemas.microsoft.com/office/spreadsheetml/2009/9/main" objectType="CheckBox" fmlaLink="$B$31" lockText="1" noThreeD="1"/>
</file>

<file path=xl/ctrlProps/ctrlProp36.xml><?xml version="1.0" encoding="utf-8"?>
<formControlPr xmlns="http://schemas.microsoft.com/office/spreadsheetml/2009/9/main" objectType="CheckBox" fmlaLink="$B$32" lockText="1" noThreeD="1"/>
</file>

<file path=xl/ctrlProps/ctrlProp37.xml><?xml version="1.0" encoding="utf-8"?>
<formControlPr xmlns="http://schemas.microsoft.com/office/spreadsheetml/2009/9/main" objectType="CheckBox" fmlaLink="$B$33" lockText="1" noThreeD="1"/>
</file>

<file path=xl/ctrlProps/ctrlProp38.xml><?xml version="1.0" encoding="utf-8"?>
<formControlPr xmlns="http://schemas.microsoft.com/office/spreadsheetml/2009/9/main" objectType="CheckBox" fmlaLink="$B$34" lockText="1" noThreeD="1"/>
</file>

<file path=xl/ctrlProps/ctrlProp39.xml><?xml version="1.0" encoding="utf-8"?>
<formControlPr xmlns="http://schemas.microsoft.com/office/spreadsheetml/2009/9/main" objectType="CheckBox" fmlaLink="$B$35" lockText="1" noThreeD="1"/>
</file>

<file path=xl/ctrlProps/ctrlProp40.xml><?xml version="1.0" encoding="utf-8"?>
<formControlPr xmlns="http://schemas.microsoft.com/office/spreadsheetml/2009/9/main" objectType="CheckBox" fmlaLink="$B$36" lockText="1" noThreeD="1"/>
</file>

<file path=xl/ctrlProps/ctrlProp41.xml><?xml version="1.0" encoding="utf-8"?>
<formControlPr xmlns="http://schemas.microsoft.com/office/spreadsheetml/2009/9/main" objectType="CheckBox" fmlaLink="$B$37" lockText="1" noThreeD="1"/>
</file>

<file path=xl/ctrlProps/ctrlProp42.xml><?xml version="1.0" encoding="utf-8"?>
<formControlPr xmlns="http://schemas.microsoft.com/office/spreadsheetml/2009/9/main" objectType="CheckBox" fmlaLink="$B$38" lockText="1" noThreeD="1"/>
</file>

<file path=xl/ctrlProps/ctrlProp43.xml><?xml version="1.0" encoding="utf-8"?>
<formControlPr xmlns="http://schemas.microsoft.com/office/spreadsheetml/2009/9/main" objectType="CheckBox" fmlaLink="$B$39" lockText="1" noThreeD="1"/>
</file>

<file path=xl/ctrlProps/ctrlProp44.xml><?xml version="1.0" encoding="utf-8"?>
<formControlPr xmlns="http://schemas.microsoft.com/office/spreadsheetml/2009/9/main" objectType="CheckBox" fmlaLink="$B$40" lockText="1" noThreeD="1"/>
</file>

<file path=xl/ctrlProps/ctrlProp45.xml><?xml version="1.0" encoding="utf-8"?>
<formControlPr xmlns="http://schemas.microsoft.com/office/spreadsheetml/2009/9/main" objectType="CheckBox" fmlaLink="$B$41" lockText="1" noThreeD="1"/>
</file>

<file path=xl/ctrlProps/ctrlProp46.xml><?xml version="1.0" encoding="utf-8"?>
<formControlPr xmlns="http://schemas.microsoft.com/office/spreadsheetml/2009/9/main" objectType="CheckBox" fmlaLink="$B$42" lockText="1" noThreeD="1"/>
</file>

<file path=xl/ctrlProps/ctrlProp47.xml><?xml version="1.0" encoding="utf-8"?>
<formControlPr xmlns="http://schemas.microsoft.com/office/spreadsheetml/2009/9/main" objectType="Button" lockText="1"/>
</file>

<file path=xl/ctrlProps/ctrlProp48.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mfaunderwriting.com/product-support/" TargetMode="Externa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xdr:col>
      <xdr:colOff>504472</xdr:colOff>
      <xdr:row>19</xdr:row>
      <xdr:rowOff>115004</xdr:rowOff>
    </xdr:from>
    <xdr:to>
      <xdr:col>9</xdr:col>
      <xdr:colOff>244122</xdr:colOff>
      <xdr:row>22</xdr:row>
      <xdr:rowOff>52210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0000000-0008-0000-0000-000002000000}"/>
            </a:ext>
          </a:extLst>
        </xdr:cNvPr>
        <xdr:cNvSpPr/>
      </xdr:nvSpPr>
      <xdr:spPr>
        <a:xfrm>
          <a:off x="3002139" y="3007782"/>
          <a:ext cx="3196872" cy="424039"/>
        </a:xfrm>
        <a:prstGeom prst="roundRect">
          <a:avLst>
            <a:gd name="adj" fmla="val 20513"/>
          </a:avLst>
        </a:prstGeom>
        <a:solidFill>
          <a:srgbClr val="13545E"/>
        </a:solidFill>
        <a:ln w="38100">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Click to submit Questions / Feedback</a:t>
          </a:r>
          <a:endParaRPr lang="en-US" sz="1100"/>
        </a:p>
      </xdr:txBody>
    </xdr:sp>
    <xdr:clientData/>
  </xdr:twoCellAnchor>
  <xdr:twoCellAnchor>
    <xdr:from>
      <xdr:col>2</xdr:col>
      <xdr:colOff>232834</xdr:colOff>
      <xdr:row>2</xdr:row>
      <xdr:rowOff>21167</xdr:rowOff>
    </xdr:from>
    <xdr:to>
      <xdr:col>3</xdr:col>
      <xdr:colOff>578556</xdr:colOff>
      <xdr:row>5</xdr:row>
      <xdr:rowOff>169333</xdr:rowOff>
    </xdr:to>
    <xdr:sp macro="" textlink="$N$1">
      <xdr:nvSpPr>
        <xdr:cNvPr id="7" name="TextBox 6">
          <a:extLst>
            <a:ext uri="{FF2B5EF4-FFF2-40B4-BE49-F238E27FC236}">
              <a16:creationId xmlns:a16="http://schemas.microsoft.com/office/drawing/2014/main" id="{00000000-0008-0000-0000-000007000000}"/>
            </a:ext>
          </a:extLst>
        </xdr:cNvPr>
        <xdr:cNvSpPr txBox="1"/>
      </xdr:nvSpPr>
      <xdr:spPr>
        <a:xfrm>
          <a:off x="1594556" y="289278"/>
          <a:ext cx="952500" cy="705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D832D689-A450-4395-A3C2-E9DE6E1B0A66}" type="TxLink">
            <a:rPr lang="en-US" sz="1600" b="0" i="0" u="none" strike="noStrike">
              <a:ln>
                <a:noFill/>
              </a:ln>
              <a:solidFill>
                <a:schemeClr val="bg1"/>
              </a:solidFill>
              <a:effectLst>
                <a:outerShdw blurRad="101600" dist="50800" dir="2700000" algn="tl" rotWithShape="0">
                  <a:prstClr val="black">
                    <a:alpha val="67000"/>
                  </a:prstClr>
                </a:outerShdw>
              </a:effectLst>
              <a:latin typeface="Calibri"/>
              <a:ea typeface="Calibri"/>
              <a:cs typeface="Calibri"/>
            </a:rPr>
            <a:pPr algn="r"/>
            <a:t>Version 1.01</a:t>
          </a:fld>
          <a:endParaRPr lang="en-US" sz="2400" b="0">
            <a:ln>
              <a:noFill/>
            </a:ln>
            <a:solidFill>
              <a:schemeClr val="bg1"/>
            </a:solidFill>
            <a:effectLst>
              <a:outerShdw blurRad="101600" dist="50800" dir="2700000" algn="tl" rotWithShape="0">
                <a:prstClr val="black">
                  <a:alpha val="67000"/>
                </a:prstClr>
              </a:outerShdw>
            </a:effectLst>
          </a:endParaRPr>
        </a:p>
      </xdr:txBody>
    </xdr:sp>
    <xdr:clientData/>
  </xdr:twoCellAnchor>
  <xdr:twoCellAnchor editAs="oneCell">
    <xdr:from>
      <xdr:col>1</xdr:col>
      <xdr:colOff>70555</xdr:colOff>
      <xdr:row>2</xdr:row>
      <xdr:rowOff>63499</xdr:rowOff>
    </xdr:from>
    <xdr:to>
      <xdr:col>3</xdr:col>
      <xdr:colOff>63500</xdr:colOff>
      <xdr:row>8</xdr:row>
      <xdr:rowOff>155222</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6320" r="5557" b="13265"/>
        <a:stretch/>
      </xdr:blipFill>
      <xdr:spPr>
        <a:xfrm>
          <a:off x="183444" y="232832"/>
          <a:ext cx="1770945" cy="119944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150284</xdr:colOff>
          <xdr:row>27</xdr:row>
          <xdr:rowOff>4232</xdr:rowOff>
        </xdr:from>
        <xdr:to>
          <xdr:col>2</xdr:col>
          <xdr:colOff>186973</xdr:colOff>
          <xdr:row>41</xdr:row>
          <xdr:rowOff>179211</xdr:rowOff>
        </xdr:to>
        <xdr:grpSp>
          <xdr:nvGrpSpPr>
            <xdr:cNvPr id="4" name="Group 3">
              <a:extLst>
                <a:ext uri="{FF2B5EF4-FFF2-40B4-BE49-F238E27FC236}">
                  <a16:creationId xmlns:a16="http://schemas.microsoft.com/office/drawing/2014/main" id="{00000000-0008-0000-0200-000004000000}"/>
                </a:ext>
              </a:extLst>
            </xdr:cNvPr>
            <xdr:cNvGrpSpPr/>
          </xdr:nvGrpSpPr>
          <xdr:grpSpPr>
            <a:xfrm>
              <a:off x="74084" y="5166782"/>
              <a:ext cx="189089" cy="2753079"/>
              <a:chOff x="76341" y="0"/>
              <a:chExt cx="836642" cy="4522611"/>
            </a:xfrm>
          </xdr:grpSpPr>
          <xdr:sp macro="" textlink="">
            <xdr:nvSpPr>
              <xdr:cNvPr id="1138" name="Check Box 114" hidden="1">
                <a:extLst>
                  <a:ext uri="{63B3BB69-23CF-44E3-9099-C40C66FF867C}">
                    <a14:compatExt spid="_x0000_s1138"/>
                  </a:ext>
                  <a:ext uri="{FF2B5EF4-FFF2-40B4-BE49-F238E27FC236}">
                    <a16:creationId xmlns:a16="http://schemas.microsoft.com/office/drawing/2014/main" id="{00000000-0008-0000-0200-000072040000}"/>
                  </a:ext>
                </a:extLst>
              </xdr:cNvPr>
              <xdr:cNvSpPr/>
            </xdr:nvSpPr>
            <xdr:spPr bwMode="auto">
              <a:xfrm>
                <a:off x="76341" y="4522611"/>
                <a:ext cx="191908"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141" name="Check Box 117" hidden="1">
                <a:extLst>
                  <a:ext uri="{63B3BB69-23CF-44E3-9099-C40C66FF867C}">
                    <a14:compatExt spid="_x0000_s1141"/>
                  </a:ext>
                  <a:ext uri="{FF2B5EF4-FFF2-40B4-BE49-F238E27FC236}">
                    <a16:creationId xmlns:a16="http://schemas.microsoft.com/office/drawing/2014/main" id="{00000000-0008-0000-0200-000075040000}"/>
                  </a:ext>
                </a:extLst>
              </xdr:cNvPr>
              <xdr:cNvSpPr/>
            </xdr:nvSpPr>
            <xdr:spPr bwMode="auto">
              <a:xfrm>
                <a:off x="77049" y="4522611"/>
                <a:ext cx="190496"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142" name="Check Box 118" hidden="1">
                <a:extLst>
                  <a:ext uri="{63B3BB69-23CF-44E3-9099-C40C66FF867C}">
                    <a14:compatExt spid="_x0000_s1142"/>
                  </a:ext>
                  <a:ext uri="{FF2B5EF4-FFF2-40B4-BE49-F238E27FC236}">
                    <a16:creationId xmlns:a16="http://schemas.microsoft.com/office/drawing/2014/main" id="{00000000-0008-0000-0200-000076040000}"/>
                  </a:ext>
                </a:extLst>
              </xdr:cNvPr>
              <xdr:cNvSpPr/>
            </xdr:nvSpPr>
            <xdr:spPr bwMode="auto">
              <a:xfrm>
                <a:off x="77049" y="4522611"/>
                <a:ext cx="190496"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143" name="Check Box 119" hidden="1">
                <a:extLst>
                  <a:ext uri="{63B3BB69-23CF-44E3-9099-C40C66FF867C}">
                    <a14:compatExt spid="_x0000_s1143"/>
                  </a:ext>
                  <a:ext uri="{FF2B5EF4-FFF2-40B4-BE49-F238E27FC236}">
                    <a16:creationId xmlns:a16="http://schemas.microsoft.com/office/drawing/2014/main" id="{00000000-0008-0000-0200-000077040000}"/>
                  </a:ext>
                </a:extLst>
              </xdr:cNvPr>
              <xdr:cNvSpPr/>
            </xdr:nvSpPr>
            <xdr:spPr bwMode="auto">
              <a:xfrm>
                <a:off x="77049" y="4522611"/>
                <a:ext cx="190496"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144" name="Check Box 120" hidden="1">
                <a:extLst>
                  <a:ext uri="{63B3BB69-23CF-44E3-9099-C40C66FF867C}">
                    <a14:compatExt spid="_x0000_s1144"/>
                  </a:ext>
                  <a:ext uri="{FF2B5EF4-FFF2-40B4-BE49-F238E27FC236}">
                    <a16:creationId xmlns:a16="http://schemas.microsoft.com/office/drawing/2014/main" id="{00000000-0008-0000-0200-000078040000}"/>
                  </a:ext>
                </a:extLst>
              </xdr:cNvPr>
              <xdr:cNvSpPr/>
            </xdr:nvSpPr>
            <xdr:spPr bwMode="auto">
              <a:xfrm>
                <a:off x="77049" y="4522611"/>
                <a:ext cx="190496"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145" name="Check Box 121" hidden="1">
                <a:extLst>
                  <a:ext uri="{63B3BB69-23CF-44E3-9099-C40C66FF867C}">
                    <a14:compatExt spid="_x0000_s1145"/>
                  </a:ext>
                  <a:ext uri="{FF2B5EF4-FFF2-40B4-BE49-F238E27FC236}">
                    <a16:creationId xmlns:a16="http://schemas.microsoft.com/office/drawing/2014/main" id="{00000000-0008-0000-0200-000079040000}"/>
                  </a:ext>
                </a:extLst>
              </xdr:cNvPr>
              <xdr:cNvSpPr/>
            </xdr:nvSpPr>
            <xdr:spPr bwMode="auto">
              <a:xfrm>
                <a:off x="77049" y="4522611"/>
                <a:ext cx="190496"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146" name="Check Box 122" hidden="1">
                <a:extLst>
                  <a:ext uri="{63B3BB69-23CF-44E3-9099-C40C66FF867C}">
                    <a14:compatExt spid="_x0000_s1146"/>
                  </a:ext>
                  <a:ext uri="{FF2B5EF4-FFF2-40B4-BE49-F238E27FC236}">
                    <a16:creationId xmlns:a16="http://schemas.microsoft.com/office/drawing/2014/main" id="{00000000-0008-0000-0200-00007A040000}"/>
                  </a:ext>
                </a:extLst>
              </xdr:cNvPr>
              <xdr:cNvSpPr/>
            </xdr:nvSpPr>
            <xdr:spPr bwMode="auto">
              <a:xfrm>
                <a:off x="78102" y="4522611"/>
                <a:ext cx="188382"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147" name="Check Box 123" hidden="1">
                <a:extLst>
                  <a:ext uri="{63B3BB69-23CF-44E3-9099-C40C66FF867C}">
                    <a14:compatExt spid="_x0000_s1147"/>
                  </a:ext>
                  <a:ext uri="{FF2B5EF4-FFF2-40B4-BE49-F238E27FC236}">
                    <a16:creationId xmlns:a16="http://schemas.microsoft.com/office/drawing/2014/main" id="{00000000-0008-0000-0200-00007B040000}"/>
                  </a:ext>
                </a:extLst>
              </xdr:cNvPr>
              <xdr:cNvSpPr/>
            </xdr:nvSpPr>
            <xdr:spPr bwMode="auto">
              <a:xfrm>
                <a:off x="78102" y="4522611"/>
                <a:ext cx="188382"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148" name="Check Box 124" hidden="1">
                <a:extLst>
                  <a:ext uri="{63B3BB69-23CF-44E3-9099-C40C66FF867C}">
                    <a14:compatExt spid="_x0000_s1148"/>
                  </a:ext>
                  <a:ext uri="{FF2B5EF4-FFF2-40B4-BE49-F238E27FC236}">
                    <a16:creationId xmlns:a16="http://schemas.microsoft.com/office/drawing/2014/main" id="{00000000-0008-0000-0200-00007C040000}"/>
                  </a:ext>
                </a:extLst>
              </xdr:cNvPr>
              <xdr:cNvSpPr/>
            </xdr:nvSpPr>
            <xdr:spPr bwMode="auto">
              <a:xfrm>
                <a:off x="77049" y="4522611"/>
                <a:ext cx="190496"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149" name="Check Box 125" hidden="1">
                <a:extLst>
                  <a:ext uri="{63B3BB69-23CF-44E3-9099-C40C66FF867C}">
                    <a14:compatExt spid="_x0000_s1149"/>
                  </a:ext>
                  <a:ext uri="{FF2B5EF4-FFF2-40B4-BE49-F238E27FC236}">
                    <a16:creationId xmlns:a16="http://schemas.microsoft.com/office/drawing/2014/main" id="{00000000-0008-0000-0200-00007D040000}"/>
                  </a:ext>
                </a:extLst>
              </xdr:cNvPr>
              <xdr:cNvSpPr/>
            </xdr:nvSpPr>
            <xdr:spPr bwMode="auto">
              <a:xfrm>
                <a:off x="77049" y="4522611"/>
                <a:ext cx="190496"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150" name="Check Box 126" hidden="1">
                <a:extLst>
                  <a:ext uri="{63B3BB69-23CF-44E3-9099-C40C66FF867C}">
                    <a14:compatExt spid="_x0000_s1150"/>
                  </a:ext>
                  <a:ext uri="{FF2B5EF4-FFF2-40B4-BE49-F238E27FC236}">
                    <a16:creationId xmlns:a16="http://schemas.microsoft.com/office/drawing/2014/main" id="{00000000-0008-0000-0200-00007E040000}"/>
                  </a:ext>
                </a:extLst>
              </xdr:cNvPr>
              <xdr:cNvSpPr/>
            </xdr:nvSpPr>
            <xdr:spPr bwMode="auto">
              <a:xfrm>
                <a:off x="77049" y="4522611"/>
                <a:ext cx="190496"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151" name="Check Box 127" hidden="1">
                <a:extLst>
                  <a:ext uri="{63B3BB69-23CF-44E3-9099-C40C66FF867C}">
                    <a14:compatExt spid="_x0000_s1151"/>
                  </a:ext>
                  <a:ext uri="{FF2B5EF4-FFF2-40B4-BE49-F238E27FC236}">
                    <a16:creationId xmlns:a16="http://schemas.microsoft.com/office/drawing/2014/main" id="{00000000-0008-0000-0200-00007F040000}"/>
                  </a:ext>
                </a:extLst>
              </xdr:cNvPr>
              <xdr:cNvSpPr/>
            </xdr:nvSpPr>
            <xdr:spPr bwMode="auto">
              <a:xfrm>
                <a:off x="76691" y="4522611"/>
                <a:ext cx="191204"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152" name="Check Box 128" hidden="1">
                <a:extLst>
                  <a:ext uri="{63B3BB69-23CF-44E3-9099-C40C66FF867C}">
                    <a14:compatExt spid="_x0000_s1152"/>
                  </a:ext>
                  <a:ext uri="{FF2B5EF4-FFF2-40B4-BE49-F238E27FC236}">
                    <a16:creationId xmlns:a16="http://schemas.microsoft.com/office/drawing/2014/main" id="{00000000-0008-0000-0200-000080040000}"/>
                  </a:ext>
                </a:extLst>
              </xdr:cNvPr>
              <xdr:cNvSpPr/>
            </xdr:nvSpPr>
            <xdr:spPr bwMode="auto">
              <a:xfrm>
                <a:off x="77049" y="4522611"/>
                <a:ext cx="190496"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154" name="Check Box 130" hidden="1">
                <a:extLst>
                  <a:ext uri="{63B3BB69-23CF-44E3-9099-C40C66FF867C}">
                    <a14:compatExt spid="_x0000_s1154"/>
                  </a:ext>
                  <a:ext uri="{FF2B5EF4-FFF2-40B4-BE49-F238E27FC236}">
                    <a16:creationId xmlns:a16="http://schemas.microsoft.com/office/drawing/2014/main" id="{00000000-0008-0000-0200-000082040000}"/>
                  </a:ext>
                </a:extLst>
              </xdr:cNvPr>
              <xdr:cNvSpPr/>
            </xdr:nvSpPr>
            <xdr:spPr bwMode="auto">
              <a:xfrm>
                <a:off x="77049" y="4522611"/>
                <a:ext cx="190496"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155" name="Check Box 131" hidden="1">
                <a:extLst>
                  <a:ext uri="{63B3BB69-23CF-44E3-9099-C40C66FF867C}">
                    <a14:compatExt spid="_x0000_s1155"/>
                  </a:ext>
                  <a:ext uri="{FF2B5EF4-FFF2-40B4-BE49-F238E27FC236}">
                    <a16:creationId xmlns:a16="http://schemas.microsoft.com/office/drawing/2014/main" id="{00000000-0008-0000-0200-000083040000}"/>
                  </a:ext>
                </a:extLst>
              </xdr:cNvPr>
              <xdr:cNvSpPr/>
            </xdr:nvSpPr>
            <xdr:spPr bwMode="auto">
              <a:xfrm>
                <a:off x="721779" y="0"/>
                <a:ext cx="191204"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2</xdr:col>
          <xdr:colOff>0</xdr:colOff>
          <xdr:row>27</xdr:row>
          <xdr:rowOff>0</xdr:rowOff>
        </xdr:from>
        <xdr:to>
          <xdr:col>2</xdr:col>
          <xdr:colOff>191911</xdr:colOff>
          <xdr:row>41</xdr:row>
          <xdr:rowOff>174979</xdr:rowOff>
        </xdr:to>
        <xdr:grpSp>
          <xdr:nvGrpSpPr>
            <xdr:cNvPr id="3" name="Group 2">
              <a:extLst>
                <a:ext uri="{FF2B5EF4-FFF2-40B4-BE49-F238E27FC236}">
                  <a16:creationId xmlns:a16="http://schemas.microsoft.com/office/drawing/2014/main" id="{00000000-0008-0000-0200-000003000000}"/>
                </a:ext>
              </a:extLst>
            </xdr:cNvPr>
            <xdr:cNvGrpSpPr/>
          </xdr:nvGrpSpPr>
          <xdr:grpSpPr>
            <a:xfrm>
              <a:off x="76200" y="5162550"/>
              <a:ext cx="191911" cy="2753079"/>
              <a:chOff x="81412" y="0"/>
              <a:chExt cx="831584" cy="4522611"/>
            </a:xfrm>
          </xdr:grpSpPr>
          <xdr:sp macro="" textlink="">
            <xdr:nvSpPr>
              <xdr:cNvPr id="1165" name="Check Box 141" hidden="1">
                <a:extLst>
                  <a:ext uri="{63B3BB69-23CF-44E3-9099-C40C66FF867C}">
                    <a14:compatExt spid="_x0000_s1165"/>
                  </a:ext>
                  <a:ext uri="{FF2B5EF4-FFF2-40B4-BE49-F238E27FC236}">
                    <a16:creationId xmlns:a16="http://schemas.microsoft.com/office/drawing/2014/main" id="{00000000-0008-0000-0200-00008D040000}"/>
                  </a:ext>
                </a:extLst>
              </xdr:cNvPr>
              <xdr:cNvSpPr/>
            </xdr:nvSpPr>
            <xdr:spPr bwMode="auto">
              <a:xfrm>
                <a:off x="81412" y="4522611"/>
                <a:ext cx="191912"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166" name="Check Box 142" hidden="1">
                <a:extLst>
                  <a:ext uri="{63B3BB69-23CF-44E3-9099-C40C66FF867C}">
                    <a14:compatExt spid="_x0000_s1166"/>
                  </a:ext>
                  <a:ext uri="{FF2B5EF4-FFF2-40B4-BE49-F238E27FC236}">
                    <a16:creationId xmlns:a16="http://schemas.microsoft.com/office/drawing/2014/main" id="{00000000-0008-0000-0200-00008E040000}"/>
                  </a:ext>
                </a:extLst>
              </xdr:cNvPr>
              <xdr:cNvSpPr/>
            </xdr:nvSpPr>
            <xdr:spPr bwMode="auto">
              <a:xfrm>
                <a:off x="82114" y="4522611"/>
                <a:ext cx="190504"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167" name="Check Box 143" hidden="1">
                <a:extLst>
                  <a:ext uri="{63B3BB69-23CF-44E3-9099-C40C66FF867C}">
                    <a14:compatExt spid="_x0000_s1167"/>
                  </a:ext>
                  <a:ext uri="{FF2B5EF4-FFF2-40B4-BE49-F238E27FC236}">
                    <a16:creationId xmlns:a16="http://schemas.microsoft.com/office/drawing/2014/main" id="{00000000-0008-0000-0200-00008F040000}"/>
                  </a:ext>
                </a:extLst>
              </xdr:cNvPr>
              <xdr:cNvSpPr/>
            </xdr:nvSpPr>
            <xdr:spPr bwMode="auto">
              <a:xfrm>
                <a:off x="82114" y="4522611"/>
                <a:ext cx="190504"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168" name="Check Box 144" hidden="1">
                <a:extLst>
                  <a:ext uri="{63B3BB69-23CF-44E3-9099-C40C66FF867C}">
                    <a14:compatExt spid="_x0000_s1168"/>
                  </a:ext>
                  <a:ext uri="{FF2B5EF4-FFF2-40B4-BE49-F238E27FC236}">
                    <a16:creationId xmlns:a16="http://schemas.microsoft.com/office/drawing/2014/main" id="{00000000-0008-0000-0200-000090040000}"/>
                  </a:ext>
                </a:extLst>
              </xdr:cNvPr>
              <xdr:cNvSpPr/>
            </xdr:nvSpPr>
            <xdr:spPr bwMode="auto">
              <a:xfrm>
                <a:off x="82114" y="4522611"/>
                <a:ext cx="190504"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169" name="Check Box 145" hidden="1">
                <a:extLst>
                  <a:ext uri="{63B3BB69-23CF-44E3-9099-C40C66FF867C}">
                    <a14:compatExt spid="_x0000_s1169"/>
                  </a:ext>
                  <a:ext uri="{FF2B5EF4-FFF2-40B4-BE49-F238E27FC236}">
                    <a16:creationId xmlns:a16="http://schemas.microsoft.com/office/drawing/2014/main" id="{00000000-0008-0000-0200-000091040000}"/>
                  </a:ext>
                </a:extLst>
              </xdr:cNvPr>
              <xdr:cNvSpPr/>
            </xdr:nvSpPr>
            <xdr:spPr bwMode="auto">
              <a:xfrm>
                <a:off x="82114" y="4522611"/>
                <a:ext cx="190504"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170" name="Check Box 146" hidden="1">
                <a:extLst>
                  <a:ext uri="{63B3BB69-23CF-44E3-9099-C40C66FF867C}">
                    <a14:compatExt spid="_x0000_s1170"/>
                  </a:ext>
                  <a:ext uri="{FF2B5EF4-FFF2-40B4-BE49-F238E27FC236}">
                    <a16:creationId xmlns:a16="http://schemas.microsoft.com/office/drawing/2014/main" id="{00000000-0008-0000-0200-000092040000}"/>
                  </a:ext>
                </a:extLst>
              </xdr:cNvPr>
              <xdr:cNvSpPr/>
            </xdr:nvSpPr>
            <xdr:spPr bwMode="auto">
              <a:xfrm>
                <a:off x="82114" y="4522611"/>
                <a:ext cx="190504"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171" name="Check Box 147" hidden="1">
                <a:extLst>
                  <a:ext uri="{63B3BB69-23CF-44E3-9099-C40C66FF867C}">
                    <a14:compatExt spid="_x0000_s1171"/>
                  </a:ext>
                  <a:ext uri="{FF2B5EF4-FFF2-40B4-BE49-F238E27FC236}">
                    <a16:creationId xmlns:a16="http://schemas.microsoft.com/office/drawing/2014/main" id="{00000000-0008-0000-0200-000093040000}"/>
                  </a:ext>
                </a:extLst>
              </xdr:cNvPr>
              <xdr:cNvSpPr/>
            </xdr:nvSpPr>
            <xdr:spPr bwMode="auto">
              <a:xfrm>
                <a:off x="83176" y="4522611"/>
                <a:ext cx="188385"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172" name="Check Box 148" hidden="1">
                <a:extLst>
                  <a:ext uri="{63B3BB69-23CF-44E3-9099-C40C66FF867C}">
                    <a14:compatExt spid="_x0000_s1172"/>
                  </a:ext>
                  <a:ext uri="{FF2B5EF4-FFF2-40B4-BE49-F238E27FC236}">
                    <a16:creationId xmlns:a16="http://schemas.microsoft.com/office/drawing/2014/main" id="{00000000-0008-0000-0200-000094040000}"/>
                  </a:ext>
                </a:extLst>
              </xdr:cNvPr>
              <xdr:cNvSpPr/>
            </xdr:nvSpPr>
            <xdr:spPr bwMode="auto">
              <a:xfrm>
                <a:off x="83176" y="4522611"/>
                <a:ext cx="188385"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173" name="Check Box 149" hidden="1">
                <a:extLst>
                  <a:ext uri="{63B3BB69-23CF-44E3-9099-C40C66FF867C}">
                    <a14:compatExt spid="_x0000_s1173"/>
                  </a:ext>
                  <a:ext uri="{FF2B5EF4-FFF2-40B4-BE49-F238E27FC236}">
                    <a16:creationId xmlns:a16="http://schemas.microsoft.com/office/drawing/2014/main" id="{00000000-0008-0000-0200-000095040000}"/>
                  </a:ext>
                </a:extLst>
              </xdr:cNvPr>
              <xdr:cNvSpPr/>
            </xdr:nvSpPr>
            <xdr:spPr bwMode="auto">
              <a:xfrm>
                <a:off x="82114" y="4522611"/>
                <a:ext cx="190504"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174" name="Check Box 150" hidden="1">
                <a:extLst>
                  <a:ext uri="{63B3BB69-23CF-44E3-9099-C40C66FF867C}">
                    <a14:compatExt spid="_x0000_s1174"/>
                  </a:ext>
                  <a:ext uri="{FF2B5EF4-FFF2-40B4-BE49-F238E27FC236}">
                    <a16:creationId xmlns:a16="http://schemas.microsoft.com/office/drawing/2014/main" id="{00000000-0008-0000-0200-000096040000}"/>
                  </a:ext>
                </a:extLst>
              </xdr:cNvPr>
              <xdr:cNvSpPr/>
            </xdr:nvSpPr>
            <xdr:spPr bwMode="auto">
              <a:xfrm>
                <a:off x="82114" y="4522611"/>
                <a:ext cx="190504"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175" name="Check Box 151" hidden="1">
                <a:extLst>
                  <a:ext uri="{63B3BB69-23CF-44E3-9099-C40C66FF867C}">
                    <a14:compatExt spid="_x0000_s1175"/>
                  </a:ext>
                  <a:ext uri="{FF2B5EF4-FFF2-40B4-BE49-F238E27FC236}">
                    <a16:creationId xmlns:a16="http://schemas.microsoft.com/office/drawing/2014/main" id="{00000000-0008-0000-0200-000097040000}"/>
                  </a:ext>
                </a:extLst>
              </xdr:cNvPr>
              <xdr:cNvSpPr/>
            </xdr:nvSpPr>
            <xdr:spPr bwMode="auto">
              <a:xfrm>
                <a:off x="82114" y="4522611"/>
                <a:ext cx="190504"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176" name="Check Box 152" hidden="1">
                <a:extLst>
                  <a:ext uri="{63B3BB69-23CF-44E3-9099-C40C66FF867C}">
                    <a14:compatExt spid="_x0000_s1176"/>
                  </a:ext>
                  <a:ext uri="{FF2B5EF4-FFF2-40B4-BE49-F238E27FC236}">
                    <a16:creationId xmlns:a16="http://schemas.microsoft.com/office/drawing/2014/main" id="{00000000-0008-0000-0200-000098040000}"/>
                  </a:ext>
                </a:extLst>
              </xdr:cNvPr>
              <xdr:cNvSpPr/>
            </xdr:nvSpPr>
            <xdr:spPr bwMode="auto">
              <a:xfrm>
                <a:off x="81763" y="4522611"/>
                <a:ext cx="191206"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177" name="Check Box 153" hidden="1">
                <a:extLst>
                  <a:ext uri="{63B3BB69-23CF-44E3-9099-C40C66FF867C}">
                    <a14:compatExt spid="_x0000_s1177"/>
                  </a:ext>
                  <a:ext uri="{FF2B5EF4-FFF2-40B4-BE49-F238E27FC236}">
                    <a16:creationId xmlns:a16="http://schemas.microsoft.com/office/drawing/2014/main" id="{00000000-0008-0000-0200-000099040000}"/>
                  </a:ext>
                </a:extLst>
              </xdr:cNvPr>
              <xdr:cNvSpPr/>
            </xdr:nvSpPr>
            <xdr:spPr bwMode="auto">
              <a:xfrm>
                <a:off x="82114" y="4522611"/>
                <a:ext cx="190504"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178" name="Check Box 154" hidden="1">
                <a:extLst>
                  <a:ext uri="{63B3BB69-23CF-44E3-9099-C40C66FF867C}">
                    <a14:compatExt spid="_x0000_s1178"/>
                  </a:ext>
                  <a:ext uri="{FF2B5EF4-FFF2-40B4-BE49-F238E27FC236}">
                    <a16:creationId xmlns:a16="http://schemas.microsoft.com/office/drawing/2014/main" id="{00000000-0008-0000-0200-00009A040000}"/>
                  </a:ext>
                </a:extLst>
              </xdr:cNvPr>
              <xdr:cNvSpPr/>
            </xdr:nvSpPr>
            <xdr:spPr bwMode="auto">
              <a:xfrm>
                <a:off x="82114" y="4522611"/>
                <a:ext cx="190504"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179" name="Check Box 155" hidden="1">
                <a:extLst>
                  <a:ext uri="{63B3BB69-23CF-44E3-9099-C40C66FF867C}">
                    <a14:compatExt spid="_x0000_s1179"/>
                  </a:ext>
                  <a:ext uri="{FF2B5EF4-FFF2-40B4-BE49-F238E27FC236}">
                    <a16:creationId xmlns:a16="http://schemas.microsoft.com/office/drawing/2014/main" id="{00000000-0008-0000-0200-00009B040000}"/>
                  </a:ext>
                </a:extLst>
              </xdr:cNvPr>
              <xdr:cNvSpPr/>
            </xdr:nvSpPr>
            <xdr:spPr bwMode="auto">
              <a:xfrm>
                <a:off x="721786" y="0"/>
                <a:ext cx="19121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xdr:twoCellAnchor>
    </mc:Choice>
    <mc:Fallback/>
  </mc:AlternateContent>
  <xdr:twoCellAnchor>
    <xdr:from>
      <xdr:col>1</xdr:col>
      <xdr:colOff>148167</xdr:colOff>
      <xdr:row>26</xdr:row>
      <xdr:rowOff>472722</xdr:rowOff>
    </xdr:from>
    <xdr:to>
      <xdr:col>2</xdr:col>
      <xdr:colOff>184856</xdr:colOff>
      <xdr:row>41</xdr:row>
      <xdr:rowOff>174979</xdr:rowOff>
    </xdr:to>
    <xdr:grpSp>
      <xdr:nvGrpSpPr>
        <xdr:cNvPr id="2" name="Group 1">
          <a:extLst>
            <a:ext uri="{FF2B5EF4-FFF2-40B4-BE49-F238E27FC236}">
              <a16:creationId xmlns:a16="http://schemas.microsoft.com/office/drawing/2014/main" id="{00000000-0008-0000-0200-000002000000}"/>
            </a:ext>
          </a:extLst>
        </xdr:cNvPr>
        <xdr:cNvGrpSpPr/>
      </xdr:nvGrpSpPr>
      <xdr:grpSpPr>
        <a:xfrm>
          <a:off x="78317" y="5165372"/>
          <a:ext cx="182739" cy="2750257"/>
          <a:chOff x="74221" y="0"/>
          <a:chExt cx="838770" cy="1199444"/>
        </a:xfrm>
      </xdr:grpSpPr>
      <xdr:sp macro="" textlink="">
        <xdr:nvSpPr>
          <xdr:cNvPr id="1181" name="Check Box 157" hidden="1">
            <a:extLst>
              <a:ext uri="{63B3BB69-23CF-44E3-9099-C40C66FF867C}">
                <a14:compatExt xmlns:a14="http://schemas.microsoft.com/office/drawing/2010/main" spid="_x0000_s1181"/>
              </a:ext>
              <a:ext uri="{FF2B5EF4-FFF2-40B4-BE49-F238E27FC236}">
                <a16:creationId xmlns:a16="http://schemas.microsoft.com/office/drawing/2014/main" id="{00000000-0008-0000-0200-00009D040000}"/>
              </a:ext>
            </a:extLst>
          </xdr:cNvPr>
          <xdr:cNvSpPr/>
        </xdr:nvSpPr>
        <xdr:spPr bwMode="auto">
          <a:xfrm>
            <a:off x="74221" y="1199444"/>
            <a:ext cx="191914"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sp macro="" textlink="">
        <xdr:nvSpPr>
          <xdr:cNvPr id="1182" name="Check Box 158" hidden="1">
            <a:extLst>
              <a:ext uri="{63B3BB69-23CF-44E3-9099-C40C66FF867C}">
                <a14:compatExt xmlns:a14="http://schemas.microsoft.com/office/drawing/2010/main" spid="_x0000_s1182"/>
              </a:ext>
              <a:ext uri="{FF2B5EF4-FFF2-40B4-BE49-F238E27FC236}">
                <a16:creationId xmlns:a16="http://schemas.microsoft.com/office/drawing/2014/main" id="{00000000-0008-0000-0200-00009E040000}"/>
              </a:ext>
            </a:extLst>
          </xdr:cNvPr>
          <xdr:cNvSpPr/>
        </xdr:nvSpPr>
        <xdr:spPr bwMode="auto">
          <a:xfrm>
            <a:off x="74885" y="1199444"/>
            <a:ext cx="190498"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sp macro="" textlink="">
        <xdr:nvSpPr>
          <xdr:cNvPr id="1183" name="Check Box 159" hidden="1">
            <a:extLst>
              <a:ext uri="{63B3BB69-23CF-44E3-9099-C40C66FF867C}">
                <a14:compatExt xmlns:a14="http://schemas.microsoft.com/office/drawing/2010/main" spid="_x0000_s1183"/>
              </a:ext>
              <a:ext uri="{FF2B5EF4-FFF2-40B4-BE49-F238E27FC236}">
                <a16:creationId xmlns:a16="http://schemas.microsoft.com/office/drawing/2014/main" id="{00000000-0008-0000-0200-00009F040000}"/>
              </a:ext>
            </a:extLst>
          </xdr:cNvPr>
          <xdr:cNvSpPr/>
        </xdr:nvSpPr>
        <xdr:spPr bwMode="auto">
          <a:xfrm>
            <a:off x="74885" y="1199444"/>
            <a:ext cx="190498"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sp macro="" textlink="">
        <xdr:nvSpPr>
          <xdr:cNvPr id="1184" name="Check Box 160" hidden="1">
            <a:extLst>
              <a:ext uri="{63B3BB69-23CF-44E3-9099-C40C66FF867C}">
                <a14:compatExt xmlns:a14="http://schemas.microsoft.com/office/drawing/2010/main" spid="_x0000_s1184"/>
              </a:ext>
              <a:ext uri="{FF2B5EF4-FFF2-40B4-BE49-F238E27FC236}">
                <a16:creationId xmlns:a16="http://schemas.microsoft.com/office/drawing/2014/main" id="{00000000-0008-0000-0200-0000A0040000}"/>
              </a:ext>
            </a:extLst>
          </xdr:cNvPr>
          <xdr:cNvSpPr/>
        </xdr:nvSpPr>
        <xdr:spPr bwMode="auto">
          <a:xfrm>
            <a:off x="74885" y="1199444"/>
            <a:ext cx="190498"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sp macro="" textlink="">
        <xdr:nvSpPr>
          <xdr:cNvPr id="1185" name="Check Box 161" hidden="1">
            <a:extLst>
              <a:ext uri="{63B3BB69-23CF-44E3-9099-C40C66FF867C}">
                <a14:compatExt xmlns:a14="http://schemas.microsoft.com/office/drawing/2010/main" spid="_x0000_s1185"/>
              </a:ext>
              <a:ext uri="{FF2B5EF4-FFF2-40B4-BE49-F238E27FC236}">
                <a16:creationId xmlns:a16="http://schemas.microsoft.com/office/drawing/2014/main" id="{00000000-0008-0000-0200-0000A1040000}"/>
              </a:ext>
            </a:extLst>
          </xdr:cNvPr>
          <xdr:cNvSpPr/>
        </xdr:nvSpPr>
        <xdr:spPr bwMode="auto">
          <a:xfrm>
            <a:off x="74885" y="1199444"/>
            <a:ext cx="190498"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sp macro="" textlink="">
        <xdr:nvSpPr>
          <xdr:cNvPr id="1186" name="Check Box 162" hidden="1">
            <a:extLst>
              <a:ext uri="{63B3BB69-23CF-44E3-9099-C40C66FF867C}">
                <a14:compatExt xmlns:a14="http://schemas.microsoft.com/office/drawing/2010/main" spid="_x0000_s1186"/>
              </a:ext>
              <a:ext uri="{FF2B5EF4-FFF2-40B4-BE49-F238E27FC236}">
                <a16:creationId xmlns:a16="http://schemas.microsoft.com/office/drawing/2014/main" id="{00000000-0008-0000-0200-0000A2040000}"/>
              </a:ext>
            </a:extLst>
          </xdr:cNvPr>
          <xdr:cNvSpPr/>
        </xdr:nvSpPr>
        <xdr:spPr bwMode="auto">
          <a:xfrm>
            <a:off x="74885" y="1199444"/>
            <a:ext cx="190498"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sp macro="" textlink="">
        <xdr:nvSpPr>
          <xdr:cNvPr id="1187" name="Check Box 163" hidden="1">
            <a:extLst>
              <a:ext uri="{63B3BB69-23CF-44E3-9099-C40C66FF867C}">
                <a14:compatExt xmlns:a14="http://schemas.microsoft.com/office/drawing/2010/main" spid="_x0000_s1187"/>
              </a:ext>
              <a:ext uri="{FF2B5EF4-FFF2-40B4-BE49-F238E27FC236}">
                <a16:creationId xmlns:a16="http://schemas.microsoft.com/office/drawing/2014/main" id="{00000000-0008-0000-0200-0000A3040000}"/>
              </a:ext>
            </a:extLst>
          </xdr:cNvPr>
          <xdr:cNvSpPr/>
        </xdr:nvSpPr>
        <xdr:spPr bwMode="auto">
          <a:xfrm>
            <a:off x="75882" y="1199444"/>
            <a:ext cx="188387"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sp macro="" textlink="">
        <xdr:nvSpPr>
          <xdr:cNvPr id="1188" name="Check Box 164" hidden="1">
            <a:extLst>
              <a:ext uri="{63B3BB69-23CF-44E3-9099-C40C66FF867C}">
                <a14:compatExt xmlns:a14="http://schemas.microsoft.com/office/drawing/2010/main" spid="_x0000_s1188"/>
              </a:ext>
              <a:ext uri="{FF2B5EF4-FFF2-40B4-BE49-F238E27FC236}">
                <a16:creationId xmlns:a16="http://schemas.microsoft.com/office/drawing/2014/main" id="{00000000-0008-0000-0200-0000A4040000}"/>
              </a:ext>
            </a:extLst>
          </xdr:cNvPr>
          <xdr:cNvSpPr/>
        </xdr:nvSpPr>
        <xdr:spPr bwMode="auto">
          <a:xfrm>
            <a:off x="75882" y="1199444"/>
            <a:ext cx="188387"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sp macro="" textlink="">
        <xdr:nvSpPr>
          <xdr:cNvPr id="1189" name="Check Box 165" hidden="1">
            <a:extLst>
              <a:ext uri="{63B3BB69-23CF-44E3-9099-C40C66FF867C}">
                <a14:compatExt xmlns:a14="http://schemas.microsoft.com/office/drawing/2010/main" spid="_x0000_s1189"/>
              </a:ext>
              <a:ext uri="{FF2B5EF4-FFF2-40B4-BE49-F238E27FC236}">
                <a16:creationId xmlns:a16="http://schemas.microsoft.com/office/drawing/2014/main" id="{00000000-0008-0000-0200-0000A5040000}"/>
              </a:ext>
            </a:extLst>
          </xdr:cNvPr>
          <xdr:cNvSpPr/>
        </xdr:nvSpPr>
        <xdr:spPr bwMode="auto">
          <a:xfrm>
            <a:off x="74885" y="1199444"/>
            <a:ext cx="190498"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sp macro="" textlink="">
        <xdr:nvSpPr>
          <xdr:cNvPr id="1190" name="Check Box 166" hidden="1">
            <a:extLst>
              <a:ext uri="{63B3BB69-23CF-44E3-9099-C40C66FF867C}">
                <a14:compatExt xmlns:a14="http://schemas.microsoft.com/office/drawing/2010/main" spid="_x0000_s1190"/>
              </a:ext>
              <a:ext uri="{FF2B5EF4-FFF2-40B4-BE49-F238E27FC236}">
                <a16:creationId xmlns:a16="http://schemas.microsoft.com/office/drawing/2014/main" id="{00000000-0008-0000-0200-0000A6040000}"/>
              </a:ext>
            </a:extLst>
          </xdr:cNvPr>
          <xdr:cNvSpPr/>
        </xdr:nvSpPr>
        <xdr:spPr bwMode="auto">
          <a:xfrm>
            <a:off x="74885" y="1199444"/>
            <a:ext cx="190498"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sp macro="" textlink="">
        <xdr:nvSpPr>
          <xdr:cNvPr id="1191" name="Check Box 167" hidden="1">
            <a:extLst>
              <a:ext uri="{63B3BB69-23CF-44E3-9099-C40C66FF867C}">
                <a14:compatExt xmlns:a14="http://schemas.microsoft.com/office/drawing/2010/main" spid="_x0000_s1191"/>
              </a:ext>
              <a:ext uri="{FF2B5EF4-FFF2-40B4-BE49-F238E27FC236}">
                <a16:creationId xmlns:a16="http://schemas.microsoft.com/office/drawing/2014/main" id="{00000000-0008-0000-0200-0000A7040000}"/>
              </a:ext>
            </a:extLst>
          </xdr:cNvPr>
          <xdr:cNvSpPr/>
        </xdr:nvSpPr>
        <xdr:spPr bwMode="auto">
          <a:xfrm>
            <a:off x="74885" y="1199444"/>
            <a:ext cx="190498"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sp macro="" textlink="">
        <xdr:nvSpPr>
          <xdr:cNvPr id="1192" name="Check Box 168" hidden="1">
            <a:extLst>
              <a:ext uri="{63B3BB69-23CF-44E3-9099-C40C66FF867C}">
                <a14:compatExt xmlns:a14="http://schemas.microsoft.com/office/drawing/2010/main" spid="_x0000_s1192"/>
              </a:ext>
              <a:ext uri="{FF2B5EF4-FFF2-40B4-BE49-F238E27FC236}">
                <a16:creationId xmlns:a16="http://schemas.microsoft.com/office/drawing/2014/main" id="{00000000-0008-0000-0200-0000A8040000}"/>
              </a:ext>
            </a:extLst>
          </xdr:cNvPr>
          <xdr:cNvSpPr/>
        </xdr:nvSpPr>
        <xdr:spPr bwMode="auto">
          <a:xfrm>
            <a:off x="74553" y="1199444"/>
            <a:ext cx="191206"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sp macro="" textlink="">
        <xdr:nvSpPr>
          <xdr:cNvPr id="1193" name="Check Box 169" hidden="1">
            <a:extLst>
              <a:ext uri="{63B3BB69-23CF-44E3-9099-C40C66FF867C}">
                <a14:compatExt xmlns:a14="http://schemas.microsoft.com/office/drawing/2010/main" spid="_x0000_s1193"/>
              </a:ext>
              <a:ext uri="{FF2B5EF4-FFF2-40B4-BE49-F238E27FC236}">
                <a16:creationId xmlns:a16="http://schemas.microsoft.com/office/drawing/2014/main" id="{00000000-0008-0000-0200-0000A9040000}"/>
              </a:ext>
            </a:extLst>
          </xdr:cNvPr>
          <xdr:cNvSpPr/>
        </xdr:nvSpPr>
        <xdr:spPr bwMode="auto">
          <a:xfrm>
            <a:off x="74885" y="1199444"/>
            <a:ext cx="190498"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sp macro="" textlink="">
        <xdr:nvSpPr>
          <xdr:cNvPr id="1194" name="Check Box 170" hidden="1">
            <a:extLst>
              <a:ext uri="{63B3BB69-23CF-44E3-9099-C40C66FF867C}">
                <a14:compatExt xmlns:a14="http://schemas.microsoft.com/office/drawing/2010/main" spid="_x0000_s1194"/>
              </a:ext>
              <a:ext uri="{FF2B5EF4-FFF2-40B4-BE49-F238E27FC236}">
                <a16:creationId xmlns:a16="http://schemas.microsoft.com/office/drawing/2014/main" id="{00000000-0008-0000-0200-0000AA040000}"/>
              </a:ext>
            </a:extLst>
          </xdr:cNvPr>
          <xdr:cNvSpPr/>
        </xdr:nvSpPr>
        <xdr:spPr bwMode="auto">
          <a:xfrm>
            <a:off x="74885" y="1199444"/>
            <a:ext cx="190498"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sp macro="" textlink="">
        <xdr:nvSpPr>
          <xdr:cNvPr id="1195" name="Check Box 171" hidden="1">
            <a:extLst>
              <a:ext uri="{63B3BB69-23CF-44E3-9099-C40C66FF867C}">
                <a14:compatExt xmlns:a14="http://schemas.microsoft.com/office/drawing/2010/main" spid="_x0000_s1195"/>
              </a:ext>
              <a:ext uri="{FF2B5EF4-FFF2-40B4-BE49-F238E27FC236}">
                <a16:creationId xmlns:a16="http://schemas.microsoft.com/office/drawing/2014/main" id="{00000000-0008-0000-0200-0000AB040000}"/>
              </a:ext>
            </a:extLst>
          </xdr:cNvPr>
          <xdr:cNvSpPr/>
        </xdr:nvSpPr>
        <xdr:spPr bwMode="auto">
          <a:xfrm>
            <a:off x="721785" y="0"/>
            <a:ext cx="191206"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grpSp>
    <xdr:clientData/>
  </xdr:twoCellAnchor>
  <mc:AlternateContent xmlns:mc="http://schemas.openxmlformats.org/markup-compatibility/2006">
    <mc:Choice xmlns:a14="http://schemas.microsoft.com/office/drawing/2010/main" Requires="a14">
      <xdr:twoCellAnchor>
        <xdr:from>
          <xdr:col>2</xdr:col>
          <xdr:colOff>895350</xdr:colOff>
          <xdr:row>26</xdr:row>
          <xdr:rowOff>31750</xdr:rowOff>
        </xdr:from>
        <xdr:to>
          <xdr:col>4</xdr:col>
          <xdr:colOff>609600</xdr:colOff>
          <xdr:row>26</xdr:row>
          <xdr:rowOff>203200</xdr:rowOff>
        </xdr:to>
        <xdr:sp macro="" textlink="">
          <xdr:nvSpPr>
            <xdr:cNvPr id="1222" name="Button 198" hidden="1">
              <a:extLst>
                <a:ext uri="{63B3BB69-23CF-44E3-9099-C40C66FF867C}">
                  <a14:compatExt spid="_x0000_s1222"/>
                </a:ext>
                <a:ext uri="{FF2B5EF4-FFF2-40B4-BE49-F238E27FC236}">
                  <a16:creationId xmlns:a16="http://schemas.microsoft.com/office/drawing/2014/main" id="{00000000-0008-0000-0200-0000C60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800" b="0" i="0" u="none" strike="noStrike" baseline="0">
                  <a:solidFill>
                    <a:srgbClr val="000000"/>
                  </a:solidFill>
                  <a:latin typeface="Calibri"/>
                  <a:ea typeface="Calibri"/>
                  <a:cs typeface="Calibri"/>
                </a:rPr>
                <a:t>Unhide Rows</a:t>
              </a:r>
            </a:p>
          </xdr:txBody>
        </xdr:sp>
        <xdr:clientData fPrintsWithSheet="0"/>
      </xdr:twoCellAnchor>
    </mc:Choice>
    <mc:Fallback/>
  </mc:AlternateContent>
  <xdr:twoCellAnchor editAs="oneCell">
    <xdr:from>
      <xdr:col>2</xdr:col>
      <xdr:colOff>28222</xdr:colOff>
      <xdr:row>1</xdr:row>
      <xdr:rowOff>28221</xdr:rowOff>
    </xdr:from>
    <xdr:to>
      <xdr:col>2</xdr:col>
      <xdr:colOff>543277</xdr:colOff>
      <xdr:row>2</xdr:row>
      <xdr:rowOff>157515</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7151" r="7151" b="16574"/>
        <a:stretch/>
      </xdr:blipFill>
      <xdr:spPr>
        <a:xfrm>
          <a:off x="183444" y="91721"/>
          <a:ext cx="515055" cy="312738"/>
        </a:xfrm>
        <a:prstGeom prst="rect">
          <a:avLst/>
        </a:prstGeom>
      </xdr:spPr>
    </xdr:pic>
    <xdr:clientData/>
  </xdr:twoCellAnchor>
  <mc:AlternateContent xmlns:mc="http://schemas.openxmlformats.org/markup-compatibility/2006">
    <mc:Choice xmlns:a14="http://schemas.microsoft.com/office/drawing/2010/main" Requires="a14">
      <xdr:twoCellAnchor>
        <xdr:from>
          <xdr:col>1</xdr:col>
          <xdr:colOff>146050</xdr:colOff>
          <xdr:row>26</xdr:row>
          <xdr:rowOff>469900</xdr:rowOff>
        </xdr:from>
        <xdr:to>
          <xdr:col>2</xdr:col>
          <xdr:colOff>184150</xdr:colOff>
          <xdr:row>41</xdr:row>
          <xdr:rowOff>177800</xdr:rowOff>
        </xdr:to>
        <xdr:grpSp>
          <xdr:nvGrpSpPr>
            <xdr:cNvPr id="1278" name="Group 254">
              <a:extLst>
                <a:ext uri="{FF2B5EF4-FFF2-40B4-BE49-F238E27FC236}">
                  <a16:creationId xmlns:a16="http://schemas.microsoft.com/office/drawing/2014/main" id="{00000000-0008-0000-0200-0000FE040000}"/>
                </a:ext>
              </a:extLst>
            </xdr:cNvPr>
            <xdr:cNvGrpSpPr>
              <a:grpSpLocks/>
            </xdr:cNvGrpSpPr>
          </xdr:nvGrpSpPr>
          <xdr:grpSpPr bwMode="auto">
            <a:xfrm>
              <a:off x="76200" y="5162550"/>
              <a:ext cx="184150" cy="2755900"/>
              <a:chOff x="7216" y="0"/>
              <a:chExt cx="332562" cy="4522611"/>
            </a:xfrm>
          </xdr:grpSpPr>
          <xdr:sp macro="" textlink="">
            <xdr:nvSpPr>
              <xdr:cNvPr id="5" name="Check Box 157" hidden="1">
                <a:extLst>
                  <a:ext uri="{63B3BB69-23CF-44E3-9099-C40C66FF867C}">
                    <a14:compatExt spid="_x0000_s1181"/>
                  </a:ext>
                  <a:ext uri="{FF2B5EF4-FFF2-40B4-BE49-F238E27FC236}">
                    <a16:creationId xmlns:a16="http://schemas.microsoft.com/office/drawing/2014/main" id="{00000000-0008-0000-0200-000005000000}"/>
                  </a:ext>
                </a:extLst>
              </xdr:cNvPr>
              <xdr:cNvSpPr/>
            </xdr:nvSpPr>
            <xdr:spPr bwMode="auto">
              <a:xfrm>
                <a:off x="337858" y="4522611"/>
                <a:ext cx="192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6" name="Check Box 158" hidden="1">
                <a:extLst>
                  <a:ext uri="{63B3BB69-23CF-44E3-9099-C40C66FF867C}">
                    <a14:compatExt spid="_x0000_s1182"/>
                  </a:ext>
                  <a:ext uri="{FF2B5EF4-FFF2-40B4-BE49-F238E27FC236}">
                    <a16:creationId xmlns:a16="http://schemas.microsoft.com/office/drawing/2014/main" id="{00000000-0008-0000-0200-000006000000}"/>
                  </a:ext>
                </a:extLst>
              </xdr:cNvPr>
              <xdr:cNvSpPr/>
            </xdr:nvSpPr>
            <xdr:spPr bwMode="auto">
              <a:xfrm>
                <a:off x="337855" y="4522611"/>
                <a:ext cx="1903"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7" name="Check Box 159" hidden="1">
                <a:extLst>
                  <a:ext uri="{63B3BB69-23CF-44E3-9099-C40C66FF867C}">
                    <a14:compatExt spid="_x0000_s1183"/>
                  </a:ext>
                  <a:ext uri="{FF2B5EF4-FFF2-40B4-BE49-F238E27FC236}">
                    <a16:creationId xmlns:a16="http://schemas.microsoft.com/office/drawing/2014/main" id="{00000000-0008-0000-0200-000007000000}"/>
                  </a:ext>
                </a:extLst>
              </xdr:cNvPr>
              <xdr:cNvSpPr/>
            </xdr:nvSpPr>
            <xdr:spPr bwMode="auto">
              <a:xfrm>
                <a:off x="337855" y="4522611"/>
                <a:ext cx="1903"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8" name="Check Box 160" hidden="1">
                <a:extLst>
                  <a:ext uri="{63B3BB69-23CF-44E3-9099-C40C66FF867C}">
                    <a14:compatExt spid="_x0000_s1184"/>
                  </a:ext>
                  <a:ext uri="{FF2B5EF4-FFF2-40B4-BE49-F238E27FC236}">
                    <a16:creationId xmlns:a16="http://schemas.microsoft.com/office/drawing/2014/main" id="{00000000-0008-0000-0200-000008000000}"/>
                  </a:ext>
                </a:extLst>
              </xdr:cNvPr>
              <xdr:cNvSpPr/>
            </xdr:nvSpPr>
            <xdr:spPr bwMode="auto">
              <a:xfrm>
                <a:off x="337855" y="4522611"/>
                <a:ext cx="1903"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0" name="Check Box 161" hidden="1">
                <a:extLst>
                  <a:ext uri="{63B3BB69-23CF-44E3-9099-C40C66FF867C}">
                    <a14:compatExt spid="_x0000_s1185"/>
                  </a:ext>
                  <a:ext uri="{FF2B5EF4-FFF2-40B4-BE49-F238E27FC236}">
                    <a16:creationId xmlns:a16="http://schemas.microsoft.com/office/drawing/2014/main" id="{00000000-0008-0000-0200-00000A000000}"/>
                  </a:ext>
                </a:extLst>
              </xdr:cNvPr>
              <xdr:cNvSpPr/>
            </xdr:nvSpPr>
            <xdr:spPr bwMode="auto">
              <a:xfrm>
                <a:off x="337855" y="4522611"/>
                <a:ext cx="1903"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1" name="Check Box 162" hidden="1">
                <a:extLst>
                  <a:ext uri="{63B3BB69-23CF-44E3-9099-C40C66FF867C}">
                    <a14:compatExt spid="_x0000_s1186"/>
                  </a:ext>
                  <a:ext uri="{FF2B5EF4-FFF2-40B4-BE49-F238E27FC236}">
                    <a16:creationId xmlns:a16="http://schemas.microsoft.com/office/drawing/2014/main" id="{00000000-0008-0000-0200-00000B000000}"/>
                  </a:ext>
                </a:extLst>
              </xdr:cNvPr>
              <xdr:cNvSpPr/>
            </xdr:nvSpPr>
            <xdr:spPr bwMode="auto">
              <a:xfrm>
                <a:off x="337855" y="4522611"/>
                <a:ext cx="1903"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2" name="Check Box 163" hidden="1">
                <a:extLst>
                  <a:ext uri="{63B3BB69-23CF-44E3-9099-C40C66FF867C}">
                    <a14:compatExt spid="_x0000_s1187"/>
                  </a:ext>
                  <a:ext uri="{FF2B5EF4-FFF2-40B4-BE49-F238E27FC236}">
                    <a16:creationId xmlns:a16="http://schemas.microsoft.com/office/drawing/2014/main" id="{00000000-0008-0000-0200-00000C000000}"/>
                  </a:ext>
                </a:extLst>
              </xdr:cNvPr>
              <xdr:cNvSpPr/>
            </xdr:nvSpPr>
            <xdr:spPr bwMode="auto">
              <a:xfrm>
                <a:off x="337856" y="4522611"/>
                <a:ext cx="1884"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3" name="Check Box 164" hidden="1">
                <a:extLst>
                  <a:ext uri="{63B3BB69-23CF-44E3-9099-C40C66FF867C}">
                    <a14:compatExt spid="_x0000_s1188"/>
                  </a:ext>
                  <a:ext uri="{FF2B5EF4-FFF2-40B4-BE49-F238E27FC236}">
                    <a16:creationId xmlns:a16="http://schemas.microsoft.com/office/drawing/2014/main" id="{00000000-0008-0000-0200-00000D000000}"/>
                  </a:ext>
                </a:extLst>
              </xdr:cNvPr>
              <xdr:cNvSpPr/>
            </xdr:nvSpPr>
            <xdr:spPr bwMode="auto">
              <a:xfrm>
                <a:off x="337856" y="4522611"/>
                <a:ext cx="1884"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4" name="Check Box 165" hidden="1">
                <a:extLst>
                  <a:ext uri="{63B3BB69-23CF-44E3-9099-C40C66FF867C}">
                    <a14:compatExt spid="_x0000_s1189"/>
                  </a:ext>
                  <a:ext uri="{FF2B5EF4-FFF2-40B4-BE49-F238E27FC236}">
                    <a16:creationId xmlns:a16="http://schemas.microsoft.com/office/drawing/2014/main" id="{00000000-0008-0000-0200-00000E000000}"/>
                  </a:ext>
                </a:extLst>
              </xdr:cNvPr>
              <xdr:cNvSpPr/>
            </xdr:nvSpPr>
            <xdr:spPr bwMode="auto">
              <a:xfrm>
                <a:off x="337855" y="4522611"/>
                <a:ext cx="1903"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5" name="Check Box 166" hidden="1">
                <a:extLst>
                  <a:ext uri="{63B3BB69-23CF-44E3-9099-C40C66FF867C}">
                    <a14:compatExt spid="_x0000_s1190"/>
                  </a:ext>
                  <a:ext uri="{FF2B5EF4-FFF2-40B4-BE49-F238E27FC236}">
                    <a16:creationId xmlns:a16="http://schemas.microsoft.com/office/drawing/2014/main" id="{00000000-0008-0000-0200-00000F000000}"/>
                  </a:ext>
                </a:extLst>
              </xdr:cNvPr>
              <xdr:cNvSpPr/>
            </xdr:nvSpPr>
            <xdr:spPr bwMode="auto">
              <a:xfrm>
                <a:off x="337855" y="4522611"/>
                <a:ext cx="1903"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6" name="Check Box 167" hidden="1">
                <a:extLst>
                  <a:ext uri="{63B3BB69-23CF-44E3-9099-C40C66FF867C}">
                    <a14:compatExt spid="_x0000_s1191"/>
                  </a:ext>
                  <a:ext uri="{FF2B5EF4-FFF2-40B4-BE49-F238E27FC236}">
                    <a16:creationId xmlns:a16="http://schemas.microsoft.com/office/drawing/2014/main" id="{00000000-0008-0000-0200-000010000000}"/>
                  </a:ext>
                </a:extLst>
              </xdr:cNvPr>
              <xdr:cNvSpPr/>
            </xdr:nvSpPr>
            <xdr:spPr bwMode="auto">
              <a:xfrm>
                <a:off x="337855" y="4522611"/>
                <a:ext cx="1903"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 name="Check Box 168" hidden="1">
                <a:extLst>
                  <a:ext uri="{63B3BB69-23CF-44E3-9099-C40C66FF867C}">
                    <a14:compatExt spid="_x0000_s1192"/>
                  </a:ext>
                  <a:ext uri="{FF2B5EF4-FFF2-40B4-BE49-F238E27FC236}">
                    <a16:creationId xmlns:a16="http://schemas.microsoft.com/office/drawing/2014/main" id="{00000000-0008-0000-0200-000011000000}"/>
                  </a:ext>
                </a:extLst>
              </xdr:cNvPr>
              <xdr:cNvSpPr/>
            </xdr:nvSpPr>
            <xdr:spPr bwMode="auto">
              <a:xfrm>
                <a:off x="337856" y="4522611"/>
                <a:ext cx="1911"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8" name="Check Box 169" hidden="1">
                <a:extLst>
                  <a:ext uri="{63B3BB69-23CF-44E3-9099-C40C66FF867C}">
                    <a14:compatExt spid="_x0000_s1193"/>
                  </a:ext>
                  <a:ext uri="{FF2B5EF4-FFF2-40B4-BE49-F238E27FC236}">
                    <a16:creationId xmlns:a16="http://schemas.microsoft.com/office/drawing/2014/main" id="{00000000-0008-0000-0200-000012000000}"/>
                  </a:ext>
                </a:extLst>
              </xdr:cNvPr>
              <xdr:cNvSpPr/>
            </xdr:nvSpPr>
            <xdr:spPr bwMode="auto">
              <a:xfrm>
                <a:off x="337855" y="4522611"/>
                <a:ext cx="1903"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9" name="Check Box 170" hidden="1">
                <a:extLst>
                  <a:ext uri="{63B3BB69-23CF-44E3-9099-C40C66FF867C}">
                    <a14:compatExt spid="_x0000_s1194"/>
                  </a:ext>
                  <a:ext uri="{FF2B5EF4-FFF2-40B4-BE49-F238E27FC236}">
                    <a16:creationId xmlns:a16="http://schemas.microsoft.com/office/drawing/2014/main" id="{00000000-0008-0000-0200-000013000000}"/>
                  </a:ext>
                </a:extLst>
              </xdr:cNvPr>
              <xdr:cNvSpPr/>
            </xdr:nvSpPr>
            <xdr:spPr bwMode="auto">
              <a:xfrm>
                <a:off x="337855" y="4522611"/>
                <a:ext cx="1903"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20" name="Check Box 171" hidden="1">
                <a:extLst>
                  <a:ext uri="{63B3BB69-23CF-44E3-9099-C40C66FF867C}">
                    <a14:compatExt spid="_x0000_s1195"/>
                  </a:ext>
                  <a:ext uri="{FF2B5EF4-FFF2-40B4-BE49-F238E27FC236}">
                    <a16:creationId xmlns:a16="http://schemas.microsoft.com/office/drawing/2014/main" id="{00000000-0008-0000-0200-000014000000}"/>
                  </a:ext>
                </a:extLst>
              </xdr:cNvPr>
              <xdr:cNvSpPr/>
            </xdr:nvSpPr>
            <xdr:spPr bwMode="auto">
              <a:xfrm>
                <a:off x="7216" y="0"/>
                <a:ext cx="191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171450</xdr:rowOff>
    </xdr:from>
    <xdr:to>
      <xdr:col>4</xdr:col>
      <xdr:colOff>604737</xdr:colOff>
      <xdr:row>12</xdr:row>
      <xdr:rowOff>55740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71450"/>
          <a:ext cx="3043137" cy="209409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12700</xdr:colOff>
      <xdr:row>4</xdr:row>
      <xdr:rowOff>44450</xdr:rowOff>
    </xdr:from>
    <xdr:to>
      <xdr:col>13</xdr:col>
      <xdr:colOff>444500</xdr:colOff>
      <xdr:row>22</xdr:row>
      <xdr:rowOff>133350</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xdr:from>
          <xdr:col>16</xdr:col>
          <xdr:colOff>19050</xdr:colOff>
          <xdr:row>2</xdr:row>
          <xdr:rowOff>127000</xdr:rowOff>
        </xdr:from>
        <xdr:to>
          <xdr:col>16</xdr:col>
          <xdr:colOff>971550</xdr:colOff>
          <xdr:row>3</xdr:row>
          <xdr:rowOff>139700</xdr:rowOff>
        </xdr:to>
        <xdr:sp macro="" textlink="">
          <xdr:nvSpPr>
            <xdr:cNvPr id="5126" name="Button 6" hidden="1">
              <a:extLst>
                <a:ext uri="{63B3BB69-23CF-44E3-9099-C40C66FF867C}">
                  <a14:compatExt spid="_x0000_s5126"/>
                </a:ext>
                <a:ext uri="{FF2B5EF4-FFF2-40B4-BE49-F238E27FC236}">
                  <a16:creationId xmlns:a16="http://schemas.microsoft.com/office/drawing/2014/main" id="{00000000-0008-0000-0500-0000061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800" b="0" i="0" u="none" strike="noStrike" baseline="0">
                  <a:solidFill>
                    <a:srgbClr val="000000"/>
                  </a:solidFill>
                  <a:latin typeface="Calibri"/>
                  <a:ea typeface="Calibri"/>
                  <a:cs typeface="Calibri"/>
                </a:rPr>
                <a:t>Show All Rows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16</xdr:col>
          <xdr:colOff>12700</xdr:colOff>
          <xdr:row>2</xdr:row>
          <xdr:rowOff>57150</xdr:rowOff>
        </xdr:from>
        <xdr:to>
          <xdr:col>16</xdr:col>
          <xdr:colOff>965200</xdr:colOff>
          <xdr:row>3</xdr:row>
          <xdr:rowOff>133350</xdr:rowOff>
        </xdr:to>
        <xdr:sp macro="" textlink="">
          <xdr:nvSpPr>
            <xdr:cNvPr id="5127" name="Button 7" hidden="1">
              <a:extLst>
                <a:ext uri="{63B3BB69-23CF-44E3-9099-C40C66FF867C}">
                  <a14:compatExt spid="_x0000_s5127"/>
                </a:ext>
                <a:ext uri="{FF2B5EF4-FFF2-40B4-BE49-F238E27FC236}">
                  <a16:creationId xmlns:a16="http://schemas.microsoft.com/office/drawing/2014/main" id="{00000000-0008-0000-0500-0000071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800" b="0" i="0" u="none" strike="noStrike" baseline="0">
                  <a:solidFill>
                    <a:srgbClr val="000000"/>
                  </a:solidFill>
                  <a:latin typeface="Calibri"/>
                  <a:ea typeface="Calibri"/>
                  <a:cs typeface="Calibri"/>
                </a:rPr>
                <a:t>Hide Unused Rows</a:t>
              </a:r>
            </a:p>
          </xdr:txBody>
        </xdr:sp>
        <xdr:clientData fPrintsWithSheet="0"/>
      </xdr:twoCellAnchor>
    </mc:Choice>
    <mc:Fallback/>
  </mc:AlternateContent>
</xdr:wsDr>
</file>

<file path=xl/drawings/drawing5.xml><?xml version="1.0" encoding="utf-8"?>
<xdr:wsDr xmlns:xdr="http://schemas.openxmlformats.org/drawingml/2006/spreadsheetDrawing" xmlns:a="http://schemas.openxmlformats.org/drawingml/2006/main">
  <xdr:twoCellAnchor editAs="oneCell">
    <xdr:from>
      <xdr:col>4</xdr:col>
      <xdr:colOff>25400</xdr:colOff>
      <xdr:row>5</xdr:row>
      <xdr:rowOff>6350</xdr:rowOff>
    </xdr:from>
    <xdr:to>
      <xdr:col>4</xdr:col>
      <xdr:colOff>564440</xdr:colOff>
      <xdr:row>6</xdr:row>
      <xdr:rowOff>139774</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stretch>
          <a:fillRect/>
        </a:stretch>
      </xdr:blipFill>
      <xdr:spPr>
        <a:xfrm>
          <a:off x="2133600" y="1060450"/>
          <a:ext cx="539040" cy="317574"/>
        </a:xfrm>
        <a:prstGeom prst="rect">
          <a:avLst/>
        </a:prstGeom>
      </xdr:spPr>
    </xdr:pic>
    <xdr:clientData/>
  </xdr:twoCellAnchor>
</xdr:wsDr>
</file>

<file path=xl/theme/theme1.xml><?xml version="1.0" encoding="utf-8"?>
<a:theme xmlns:a="http://schemas.openxmlformats.org/drawingml/2006/main" name="Office Theme">
  <a:themeElements>
    <a:clrScheme name="MFA">
      <a:dk1>
        <a:sysClr val="windowText" lastClr="000000"/>
      </a:dk1>
      <a:lt1>
        <a:sysClr val="window" lastClr="FFFFFF"/>
      </a:lt1>
      <a:dk2>
        <a:srgbClr val="44546A"/>
      </a:dk2>
      <a:lt2>
        <a:srgbClr val="E7E6E6"/>
      </a:lt2>
      <a:accent1>
        <a:srgbClr val="13545E"/>
      </a:accent1>
      <a:accent2>
        <a:srgbClr val="2297AA"/>
      </a:accent2>
      <a:accent3>
        <a:srgbClr val="CDE1E7"/>
      </a:accent3>
      <a:accent4>
        <a:srgbClr val="EBF3F5"/>
      </a:accent4>
      <a:accent5>
        <a:srgbClr val="C65911"/>
      </a:accent5>
      <a:accent6>
        <a:srgbClr val="C6E0B4"/>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85"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1413F98-DE17-4767-B649-B3419F2900DA}">
  <we:reference id="e3b9ab04-4eb9-450e-bdba-9383582a2751" version="1.0.0.1" store="EXCatalog" storeType="EXCatalog"/>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mfaunderwriting.com/"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mr-UOs-j1RQ" TargetMode="External"/><Relationship Id="rId7" Type="http://schemas.openxmlformats.org/officeDocument/2006/relationships/comments" Target="../comments1.xml"/><Relationship Id="rId2" Type="http://schemas.openxmlformats.org/officeDocument/2006/relationships/hyperlink" Target="https://youtu.be/yEpQW0EM8VY" TargetMode="External"/><Relationship Id="rId1" Type="http://schemas.openxmlformats.org/officeDocument/2006/relationships/hyperlink" Target="https://www.youtube.com/watch?v=8ukvM33uqTA" TargetMode="External"/><Relationship Id="rId6" Type="http://schemas.openxmlformats.org/officeDocument/2006/relationships/vmlDrawing" Target="../drawings/vmlDrawing1.vml"/><Relationship Id="rId5" Type="http://schemas.openxmlformats.org/officeDocument/2006/relationships/hyperlink" Target="https://youtu.be/mr-UOs-j1RQ" TargetMode="External"/><Relationship Id="rId4" Type="http://schemas.openxmlformats.org/officeDocument/2006/relationships/hyperlink" Target="https://youtu.be/mr-UOs-j1RQ" TargetMode="External"/></Relationships>
</file>

<file path=xl/worksheets/_rels/sheet3.xml.rels><?xml version="1.0" encoding="UTF-8" standalone="yes"?>
<Relationships xmlns="http://schemas.openxmlformats.org/package/2006/relationships"><Relationship Id="rId13" Type="http://schemas.openxmlformats.org/officeDocument/2006/relationships/ctrlProp" Target="../ctrlProps/ctrlProp1.xml"/><Relationship Id="rId18" Type="http://schemas.openxmlformats.org/officeDocument/2006/relationships/ctrlProp" Target="../ctrlProps/ctrlProp6.xml"/><Relationship Id="rId26" Type="http://schemas.openxmlformats.org/officeDocument/2006/relationships/ctrlProp" Target="../ctrlProps/ctrlProp14.xml"/><Relationship Id="rId39" Type="http://schemas.openxmlformats.org/officeDocument/2006/relationships/ctrlProp" Target="../ctrlProps/ctrlProp27.xml"/><Relationship Id="rId21" Type="http://schemas.openxmlformats.org/officeDocument/2006/relationships/ctrlProp" Target="../ctrlProps/ctrlProp9.xml"/><Relationship Id="rId34" Type="http://schemas.openxmlformats.org/officeDocument/2006/relationships/ctrlProp" Target="../ctrlProps/ctrlProp22.xml"/><Relationship Id="rId42" Type="http://schemas.openxmlformats.org/officeDocument/2006/relationships/ctrlProp" Target="../ctrlProps/ctrlProp30.xml"/><Relationship Id="rId47" Type="http://schemas.openxmlformats.org/officeDocument/2006/relationships/ctrlProp" Target="../ctrlProps/ctrlProp35.xml"/><Relationship Id="rId50" Type="http://schemas.openxmlformats.org/officeDocument/2006/relationships/ctrlProp" Target="../ctrlProps/ctrlProp38.xml"/><Relationship Id="rId55" Type="http://schemas.openxmlformats.org/officeDocument/2006/relationships/ctrlProp" Target="../ctrlProps/ctrlProp43.xml"/><Relationship Id="rId7" Type="http://schemas.openxmlformats.org/officeDocument/2006/relationships/hyperlink" Target="https://www.youtube.com/watch?v=pLVmPOph0GU&amp;t=19s" TargetMode="External"/><Relationship Id="rId2" Type="http://schemas.openxmlformats.org/officeDocument/2006/relationships/hyperlink" Target="https://www.youtube.com/watch?v=mr-UOs-j1RQ" TargetMode="External"/><Relationship Id="rId16" Type="http://schemas.openxmlformats.org/officeDocument/2006/relationships/ctrlProp" Target="../ctrlProps/ctrlProp4.xml"/><Relationship Id="rId29" Type="http://schemas.openxmlformats.org/officeDocument/2006/relationships/ctrlProp" Target="../ctrlProps/ctrlProp17.xml"/><Relationship Id="rId11" Type="http://schemas.openxmlformats.org/officeDocument/2006/relationships/drawing" Target="../drawings/drawing2.xml"/><Relationship Id="rId24" Type="http://schemas.openxmlformats.org/officeDocument/2006/relationships/ctrlProp" Target="../ctrlProps/ctrlProp12.xml"/><Relationship Id="rId32" Type="http://schemas.openxmlformats.org/officeDocument/2006/relationships/ctrlProp" Target="../ctrlProps/ctrlProp20.xml"/><Relationship Id="rId37" Type="http://schemas.openxmlformats.org/officeDocument/2006/relationships/ctrlProp" Target="../ctrlProps/ctrlProp25.xml"/><Relationship Id="rId40" Type="http://schemas.openxmlformats.org/officeDocument/2006/relationships/ctrlProp" Target="../ctrlProps/ctrlProp28.xml"/><Relationship Id="rId45" Type="http://schemas.openxmlformats.org/officeDocument/2006/relationships/ctrlProp" Target="../ctrlProps/ctrlProp33.xml"/><Relationship Id="rId53" Type="http://schemas.openxmlformats.org/officeDocument/2006/relationships/ctrlProp" Target="../ctrlProps/ctrlProp41.xml"/><Relationship Id="rId58" Type="http://schemas.openxmlformats.org/officeDocument/2006/relationships/ctrlProp" Target="../ctrlProps/ctrlProp46.xml"/><Relationship Id="rId5" Type="http://schemas.openxmlformats.org/officeDocument/2006/relationships/hyperlink" Target="https://www.youtube.com/watch?v=mr-UOs-j1RQ&amp;t=421s" TargetMode="External"/><Relationship Id="rId19" Type="http://schemas.openxmlformats.org/officeDocument/2006/relationships/ctrlProp" Target="../ctrlProps/ctrlProp7.xml"/><Relationship Id="rId4" Type="http://schemas.openxmlformats.org/officeDocument/2006/relationships/hyperlink" Target="https://www.youtube.com/watch?v=mr-UOs-j1RQ&amp;t=291s" TargetMode="External"/><Relationship Id="rId9" Type="http://schemas.openxmlformats.org/officeDocument/2006/relationships/hyperlink" Target="https://www.youtube.com/watch?v=pLVmPOph0GU&amp;t=134s" TargetMode="External"/><Relationship Id="rId14" Type="http://schemas.openxmlformats.org/officeDocument/2006/relationships/ctrlProp" Target="../ctrlProps/ctrlProp2.xml"/><Relationship Id="rId22" Type="http://schemas.openxmlformats.org/officeDocument/2006/relationships/ctrlProp" Target="../ctrlProps/ctrlProp10.xml"/><Relationship Id="rId27" Type="http://schemas.openxmlformats.org/officeDocument/2006/relationships/ctrlProp" Target="../ctrlProps/ctrlProp15.xml"/><Relationship Id="rId30" Type="http://schemas.openxmlformats.org/officeDocument/2006/relationships/ctrlProp" Target="../ctrlProps/ctrlProp18.xml"/><Relationship Id="rId35" Type="http://schemas.openxmlformats.org/officeDocument/2006/relationships/ctrlProp" Target="../ctrlProps/ctrlProp23.xml"/><Relationship Id="rId43" Type="http://schemas.openxmlformats.org/officeDocument/2006/relationships/ctrlProp" Target="../ctrlProps/ctrlProp31.xml"/><Relationship Id="rId48" Type="http://schemas.openxmlformats.org/officeDocument/2006/relationships/ctrlProp" Target="../ctrlProps/ctrlProp36.xml"/><Relationship Id="rId56" Type="http://schemas.openxmlformats.org/officeDocument/2006/relationships/ctrlProp" Target="../ctrlProps/ctrlProp44.xml"/><Relationship Id="rId8" Type="http://schemas.openxmlformats.org/officeDocument/2006/relationships/hyperlink" Target="https://www.youtube.com/watch?v=pLVmPOph0GU&amp;t=51s" TargetMode="External"/><Relationship Id="rId51" Type="http://schemas.openxmlformats.org/officeDocument/2006/relationships/ctrlProp" Target="../ctrlProps/ctrlProp39.xml"/><Relationship Id="rId3" Type="http://schemas.openxmlformats.org/officeDocument/2006/relationships/hyperlink" Target="https://www.youtube.com/watch?v=8ukvM33uqTA" TargetMode="External"/><Relationship Id="rId12" Type="http://schemas.openxmlformats.org/officeDocument/2006/relationships/vmlDrawing" Target="../drawings/vmlDrawing2.vml"/><Relationship Id="rId17" Type="http://schemas.openxmlformats.org/officeDocument/2006/relationships/ctrlProp" Target="../ctrlProps/ctrlProp5.xml"/><Relationship Id="rId25" Type="http://schemas.openxmlformats.org/officeDocument/2006/relationships/ctrlProp" Target="../ctrlProps/ctrlProp13.xml"/><Relationship Id="rId33" Type="http://schemas.openxmlformats.org/officeDocument/2006/relationships/ctrlProp" Target="../ctrlProps/ctrlProp21.xml"/><Relationship Id="rId38" Type="http://schemas.openxmlformats.org/officeDocument/2006/relationships/ctrlProp" Target="../ctrlProps/ctrlProp26.xml"/><Relationship Id="rId46" Type="http://schemas.openxmlformats.org/officeDocument/2006/relationships/ctrlProp" Target="../ctrlProps/ctrlProp34.xml"/><Relationship Id="rId59" Type="http://schemas.openxmlformats.org/officeDocument/2006/relationships/comments" Target="../comments2.xml"/><Relationship Id="rId20" Type="http://schemas.openxmlformats.org/officeDocument/2006/relationships/ctrlProp" Target="../ctrlProps/ctrlProp8.xml"/><Relationship Id="rId41" Type="http://schemas.openxmlformats.org/officeDocument/2006/relationships/ctrlProp" Target="../ctrlProps/ctrlProp29.xml"/><Relationship Id="rId54" Type="http://schemas.openxmlformats.org/officeDocument/2006/relationships/ctrlProp" Target="../ctrlProps/ctrlProp42.xml"/><Relationship Id="rId1" Type="http://schemas.openxmlformats.org/officeDocument/2006/relationships/hyperlink" Target="https://youtu.be/yEpQW0EM8VY" TargetMode="External"/><Relationship Id="rId6" Type="http://schemas.openxmlformats.org/officeDocument/2006/relationships/hyperlink" Target="https://www.youtube.com/watch?v=pLVmPOph0GU&amp;t=5s" TargetMode="External"/><Relationship Id="rId15" Type="http://schemas.openxmlformats.org/officeDocument/2006/relationships/ctrlProp" Target="../ctrlProps/ctrlProp3.xml"/><Relationship Id="rId23" Type="http://schemas.openxmlformats.org/officeDocument/2006/relationships/ctrlProp" Target="../ctrlProps/ctrlProp11.xml"/><Relationship Id="rId28" Type="http://schemas.openxmlformats.org/officeDocument/2006/relationships/ctrlProp" Target="../ctrlProps/ctrlProp16.xml"/><Relationship Id="rId36" Type="http://schemas.openxmlformats.org/officeDocument/2006/relationships/ctrlProp" Target="../ctrlProps/ctrlProp24.xml"/><Relationship Id="rId49" Type="http://schemas.openxmlformats.org/officeDocument/2006/relationships/ctrlProp" Target="../ctrlProps/ctrlProp37.xml"/><Relationship Id="rId57" Type="http://schemas.openxmlformats.org/officeDocument/2006/relationships/ctrlProp" Target="../ctrlProps/ctrlProp45.xml"/><Relationship Id="rId10" Type="http://schemas.openxmlformats.org/officeDocument/2006/relationships/printerSettings" Target="../printerSettings/printerSettings1.bin"/><Relationship Id="rId31" Type="http://schemas.openxmlformats.org/officeDocument/2006/relationships/ctrlProp" Target="../ctrlProps/ctrlProp19.xml"/><Relationship Id="rId44" Type="http://schemas.openxmlformats.org/officeDocument/2006/relationships/ctrlProp" Target="../ctrlProps/ctrlProp32.xml"/><Relationship Id="rId52" Type="http://schemas.openxmlformats.org/officeDocument/2006/relationships/ctrlProp" Target="../ctrlProps/ctrlProp40.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7" Type="http://schemas.openxmlformats.org/officeDocument/2006/relationships/comments" Target="../comments3.xml"/><Relationship Id="rId2" Type="http://schemas.openxmlformats.org/officeDocument/2006/relationships/printerSettings" Target="../printerSettings/printerSettings2.bin"/><Relationship Id="rId1" Type="http://schemas.openxmlformats.org/officeDocument/2006/relationships/hyperlink" Target="https://www.youtube.com/watch?v=2tTQ_ElR9Mw" TargetMode="External"/><Relationship Id="rId6" Type="http://schemas.openxmlformats.org/officeDocument/2006/relationships/ctrlProp" Target="../ctrlProps/ctrlProp48.xml"/><Relationship Id="rId5" Type="http://schemas.openxmlformats.org/officeDocument/2006/relationships/ctrlProp" Target="../ctrlProps/ctrlProp47.xml"/><Relationship Id="rId4"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5EA12-1F50-4BEC-A887-7B53495D8588}">
  <sheetPr codeName="Sheet1">
    <tabColor theme="1"/>
  </sheetPr>
  <dimension ref="B1:R32"/>
  <sheetViews>
    <sheetView showGridLines="0" tabSelected="1" zoomScale="90" zoomScaleNormal="90" workbookViewId="0">
      <selection activeCell="K30" sqref="K30"/>
    </sheetView>
  </sheetViews>
  <sheetFormatPr defaultRowHeight="14.5" x14ac:dyDescent="0.35"/>
  <cols>
    <col min="1" max="1" width="1.6328125" customWidth="1"/>
    <col min="2" max="2" width="16.7265625" customWidth="1"/>
    <col min="7" max="7" width="14.7265625" customWidth="1"/>
    <col min="10" max="10" width="7.81640625" customWidth="1"/>
    <col min="11" max="11" width="11.54296875" customWidth="1"/>
    <col min="18" max="18" width="12.54296875" bestFit="1" customWidth="1"/>
  </cols>
  <sheetData>
    <row r="1" spans="2:14" ht="7" customHeight="1" thickBot="1" x14ac:dyDescent="0.4">
      <c r="N1" s="876" t="str">
        <f>"Version "&amp;MAX(Version!B2:B1000)</f>
        <v>Version 1.01</v>
      </c>
    </row>
    <row r="2" spans="2:14" ht="6" customHeight="1" thickTop="1" thickBot="1" x14ac:dyDescent="0.4">
      <c r="B2" s="614"/>
      <c r="C2" s="614"/>
      <c r="D2" s="614"/>
      <c r="E2" s="614"/>
      <c r="F2" s="614"/>
      <c r="G2" s="614"/>
      <c r="H2" s="614"/>
      <c r="I2" s="614"/>
      <c r="J2" s="614"/>
      <c r="K2" s="614"/>
      <c r="L2" s="614"/>
      <c r="M2" s="614"/>
      <c r="N2" s="614"/>
    </row>
    <row r="3" spans="2:14" ht="15" customHeight="1" thickTop="1" x14ac:dyDescent="0.35">
      <c r="B3" s="609"/>
      <c r="C3" s="609"/>
      <c r="D3" s="609"/>
      <c r="E3" s="909" t="s">
        <v>333</v>
      </c>
      <c r="F3" s="909"/>
      <c r="G3" s="909"/>
      <c r="H3" s="909"/>
      <c r="I3" s="909"/>
      <c r="J3" s="909"/>
      <c r="K3" s="909"/>
      <c r="L3" s="909"/>
      <c r="M3" s="909"/>
      <c r="N3" s="909"/>
    </row>
    <row r="4" spans="2:14" ht="14.5" customHeight="1" x14ac:dyDescent="0.35">
      <c r="B4" s="610"/>
      <c r="C4" s="610"/>
      <c r="D4" s="610"/>
      <c r="E4" s="910"/>
      <c r="F4" s="910"/>
      <c r="G4" s="910"/>
      <c r="H4" s="910"/>
      <c r="I4" s="910"/>
      <c r="J4" s="910"/>
      <c r="K4" s="910"/>
      <c r="L4" s="910"/>
      <c r="M4" s="910"/>
      <c r="N4" s="910"/>
    </row>
    <row r="5" spans="2:14" ht="14.5" customHeight="1" x14ac:dyDescent="0.35">
      <c r="B5" s="610"/>
      <c r="C5" s="610"/>
      <c r="D5" s="610"/>
      <c r="E5" s="910"/>
      <c r="F5" s="910"/>
      <c r="G5" s="910"/>
      <c r="H5" s="910"/>
      <c r="I5" s="910"/>
      <c r="J5" s="910"/>
      <c r="K5" s="910"/>
      <c r="L5" s="910"/>
      <c r="M5" s="910"/>
      <c r="N5" s="910"/>
    </row>
    <row r="6" spans="2:14" ht="14.5" customHeight="1" x14ac:dyDescent="0.35">
      <c r="B6" s="610"/>
      <c r="C6" s="610"/>
      <c r="D6" s="610"/>
      <c r="E6" s="910"/>
      <c r="F6" s="910"/>
      <c r="G6" s="910"/>
      <c r="H6" s="910"/>
      <c r="I6" s="910"/>
      <c r="J6" s="910"/>
      <c r="K6" s="910"/>
      <c r="L6" s="910"/>
      <c r="M6" s="910"/>
      <c r="N6" s="910"/>
    </row>
    <row r="7" spans="2:14" ht="14.5" customHeight="1" x14ac:dyDescent="0.35">
      <c r="B7" s="610"/>
      <c r="C7" s="610"/>
      <c r="D7" s="610"/>
      <c r="E7" s="910"/>
      <c r="F7" s="910"/>
      <c r="G7" s="910"/>
      <c r="H7" s="910"/>
      <c r="I7" s="910"/>
      <c r="J7" s="910"/>
      <c r="K7" s="910"/>
      <c r="L7" s="910"/>
      <c r="M7" s="910"/>
      <c r="N7" s="910"/>
    </row>
    <row r="8" spans="2:14" ht="14.5" customHeight="1" x14ac:dyDescent="0.35">
      <c r="B8" s="610"/>
      <c r="C8" s="610"/>
      <c r="D8" s="610"/>
      <c r="E8" s="910"/>
      <c r="F8" s="910"/>
      <c r="G8" s="910"/>
      <c r="H8" s="910"/>
      <c r="I8" s="910"/>
      <c r="J8" s="910"/>
      <c r="K8" s="910"/>
      <c r="L8" s="910"/>
      <c r="M8" s="910"/>
      <c r="N8" s="910"/>
    </row>
    <row r="9" spans="2:14" ht="14.5" customHeight="1" thickBot="1" x14ac:dyDescent="0.4">
      <c r="B9" s="611"/>
      <c r="C9" s="611"/>
      <c r="D9" s="611"/>
      <c r="E9" s="911"/>
      <c r="F9" s="911"/>
      <c r="G9" s="911"/>
      <c r="H9" s="911"/>
      <c r="I9" s="911"/>
      <c r="J9" s="911"/>
      <c r="K9" s="911"/>
      <c r="L9" s="911"/>
      <c r="M9" s="911"/>
      <c r="N9" s="911"/>
    </row>
    <row r="10" spans="2:14" ht="6" customHeight="1" thickTop="1" x14ac:dyDescent="0.35">
      <c r="B10" s="614"/>
      <c r="C10" s="614"/>
      <c r="D10" s="614"/>
      <c r="E10" s="614"/>
      <c r="F10" s="614"/>
      <c r="G10" s="614"/>
      <c r="H10" s="614"/>
      <c r="I10" s="614"/>
      <c r="J10" s="614"/>
      <c r="K10" s="614"/>
      <c r="L10" s="614"/>
      <c r="M10" s="614"/>
      <c r="N10" s="614"/>
    </row>
    <row r="11" spans="2:14" ht="9.5" customHeight="1" x14ac:dyDescent="0.35"/>
    <row r="12" spans="2:14" x14ac:dyDescent="0.35">
      <c r="B12" s="459" t="s">
        <v>289</v>
      </c>
      <c r="C12" s="801" t="s">
        <v>337</v>
      </c>
    </row>
    <row r="13" spans="2:14" ht="11" customHeight="1" thickBot="1" x14ac:dyDescent="0.4">
      <c r="B13" s="608"/>
      <c r="C13" s="608"/>
      <c r="D13" s="608"/>
      <c r="E13" s="608"/>
      <c r="F13" s="608"/>
      <c r="G13" s="608"/>
      <c r="H13" s="608"/>
      <c r="I13" s="608"/>
      <c r="J13" s="608"/>
      <c r="K13" s="608"/>
      <c r="L13" s="608"/>
      <c r="M13" s="608"/>
      <c r="N13" s="608"/>
    </row>
    <row r="14" spans="2:14" ht="9.5" customHeight="1" thickTop="1" x14ac:dyDescent="0.35"/>
    <row r="15" spans="2:14" x14ac:dyDescent="0.35">
      <c r="B15" s="459" t="s">
        <v>252</v>
      </c>
      <c r="C15" s="659" t="s">
        <v>231</v>
      </c>
      <c r="D15" t="s">
        <v>241</v>
      </c>
    </row>
    <row r="16" spans="2:14" x14ac:dyDescent="0.35">
      <c r="C16" s="802" t="s">
        <v>227</v>
      </c>
      <c r="D16" t="s">
        <v>228</v>
      </c>
    </row>
    <row r="17" spans="2:18" x14ac:dyDescent="0.35">
      <c r="C17" s="459" t="s">
        <v>229</v>
      </c>
      <c r="D17" t="s">
        <v>230</v>
      </c>
    </row>
    <row r="18" spans="2:18" ht="9.5" customHeight="1" thickBot="1" x14ac:dyDescent="0.4">
      <c r="B18" s="608"/>
      <c r="C18" s="608"/>
      <c r="D18" s="608"/>
      <c r="E18" s="608"/>
      <c r="F18" s="608"/>
      <c r="G18" s="608"/>
      <c r="H18" s="608"/>
      <c r="I18" s="608"/>
      <c r="J18" s="608"/>
      <c r="K18" s="608"/>
      <c r="L18" s="608"/>
      <c r="M18" s="608"/>
      <c r="N18" s="608"/>
    </row>
    <row r="19" spans="2:18" ht="9.5" customHeight="1" thickTop="1" x14ac:dyDescent="0.35"/>
    <row r="20" spans="2:18" ht="9.5" customHeight="1" x14ac:dyDescent="0.35"/>
    <row r="21" spans="2:18" x14ac:dyDescent="0.35">
      <c r="B21" s="459"/>
      <c r="C21" s="615"/>
      <c r="D21" s="615"/>
      <c r="E21" s="615"/>
      <c r="F21" s="615"/>
      <c r="G21" s="607"/>
      <c r="H21" s="607"/>
    </row>
    <row r="23" spans="2:18" ht="12.5" customHeight="1" x14ac:dyDescent="0.35"/>
    <row r="24" spans="2:18" ht="20" customHeight="1" thickBot="1" x14ac:dyDescent="0.4">
      <c r="B24" s="908" t="s">
        <v>242</v>
      </c>
      <c r="C24" s="908"/>
      <c r="D24" s="908"/>
      <c r="E24" s="908"/>
      <c r="F24" s="908"/>
      <c r="G24" s="908"/>
      <c r="H24" s="908"/>
      <c r="I24" s="908"/>
      <c r="J24" s="908"/>
      <c r="K24" s="908"/>
      <c r="L24" s="908"/>
      <c r="M24" s="908"/>
      <c r="N24" s="908"/>
    </row>
    <row r="25" spans="2:18" ht="15" thickTop="1" x14ac:dyDescent="0.35"/>
    <row r="30" spans="2:18" x14ac:dyDescent="0.35">
      <c r="R30" s="616"/>
    </row>
    <row r="32" spans="2:18" x14ac:dyDescent="0.35">
      <c r="R32" s="617"/>
    </row>
  </sheetData>
  <mergeCells count="2">
    <mergeCell ref="B24:N24"/>
    <mergeCell ref="E3:N9"/>
  </mergeCells>
  <hyperlinks>
    <hyperlink ref="B24:N24" r:id="rId1" display="Copyright © MFA 2022 - MFAUnderwriting.com" xr:uid="{158CAF58-5FD5-430C-A5F2-ACA5851EB47E}"/>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BA412-7913-476F-B8A9-C3F77677458A}">
  <sheetPr codeName="Sheet19">
    <tabColor theme="4"/>
  </sheetPr>
  <dimension ref="A1:BI77"/>
  <sheetViews>
    <sheetView showGridLines="0" topLeftCell="B1" zoomScaleNormal="100" workbookViewId="0">
      <pane xSplit="1" ySplit="3" topLeftCell="C4" activePane="bottomRight" state="frozen"/>
      <selection activeCell="B1" sqref="B1"/>
      <selection pane="topRight" activeCell="C1" sqref="C1"/>
      <selection pane="bottomLeft" activeCell="B4" sqref="B4"/>
      <selection pane="bottomRight" activeCell="B1" sqref="B1"/>
    </sheetView>
  </sheetViews>
  <sheetFormatPr defaultColWidth="6.7265625" defaultRowHeight="12" x14ac:dyDescent="0.35"/>
  <cols>
    <col min="1" max="1" width="9.54296875" style="850" hidden="1" customWidth="1"/>
    <col min="2" max="2" width="1.54296875" style="850" customWidth="1"/>
    <col min="3" max="3" width="10.36328125" style="850" customWidth="1"/>
    <col min="4" max="4" width="44.453125" style="850" customWidth="1"/>
    <col min="5" max="5" width="38.26953125" style="850" customWidth="1"/>
    <col min="6" max="6" width="32.453125" style="850" customWidth="1"/>
    <col min="7" max="7" width="4.26953125" style="850" customWidth="1"/>
    <col min="8" max="31" width="13.08984375" style="850" customWidth="1"/>
    <col min="32" max="32" width="17.453125" style="850" bestFit="1" customWidth="1"/>
    <col min="33" max="33" width="17.54296875" style="850" bestFit="1" customWidth="1"/>
    <col min="34" max="37" width="6.7265625" style="850"/>
    <col min="38" max="38" width="12.26953125" style="850" customWidth="1"/>
    <col min="39" max="16384" width="6.7265625" style="850"/>
  </cols>
  <sheetData>
    <row r="1" spans="1:61" ht="4.5" customHeight="1" x14ac:dyDescent="0.35">
      <c r="A1" s="849"/>
      <c r="B1" s="849"/>
      <c r="C1" s="849"/>
      <c r="D1" s="849"/>
      <c r="E1" s="849"/>
      <c r="F1" s="849"/>
      <c r="G1" s="849"/>
      <c r="H1" s="849"/>
      <c r="I1" s="849"/>
      <c r="J1" s="849"/>
      <c r="K1" s="849"/>
      <c r="L1" s="849"/>
      <c r="M1" s="849"/>
      <c r="N1" s="849"/>
      <c r="O1" s="849"/>
      <c r="P1" s="849"/>
      <c r="Q1" s="849"/>
      <c r="R1" s="849"/>
      <c r="S1" s="849"/>
      <c r="T1" s="849"/>
      <c r="U1" s="849"/>
      <c r="V1" s="849"/>
      <c r="W1" s="849"/>
      <c r="X1" s="849"/>
      <c r="Y1" s="849"/>
      <c r="Z1" s="849"/>
      <c r="AA1" s="849"/>
      <c r="AB1" s="849"/>
      <c r="AC1" s="849"/>
      <c r="AD1" s="849"/>
      <c r="AE1" s="849"/>
      <c r="AF1" s="849"/>
      <c r="AG1" s="849"/>
      <c r="AH1" s="849"/>
      <c r="AI1" s="849"/>
      <c r="AJ1" s="849"/>
      <c r="AK1" s="849"/>
      <c r="AL1" s="849"/>
      <c r="AM1" s="849"/>
      <c r="AN1" s="849"/>
      <c r="AO1" s="849"/>
      <c r="AP1" s="849"/>
      <c r="AQ1" s="849"/>
      <c r="AR1" s="849"/>
      <c r="AS1" s="849"/>
      <c r="AT1" s="849"/>
      <c r="AU1" s="849"/>
      <c r="AV1" s="849"/>
      <c r="AW1" s="849"/>
      <c r="AX1" s="849"/>
      <c r="AY1" s="849"/>
      <c r="AZ1" s="849"/>
    </row>
    <row r="2" spans="1:61" ht="19" thickBot="1" x14ac:dyDescent="0.5">
      <c r="A2" s="849"/>
      <c r="B2" s="849"/>
      <c r="C2" s="851" t="s">
        <v>299</v>
      </c>
      <c r="D2" s="852"/>
      <c r="E2" s="852"/>
      <c r="F2" s="852"/>
      <c r="G2" s="849"/>
      <c r="H2" s="849"/>
      <c r="I2" s="849"/>
      <c r="J2" s="849"/>
      <c r="K2" s="849"/>
      <c r="L2" s="849"/>
      <c r="M2" s="849"/>
      <c r="N2" s="849"/>
      <c r="O2" s="849"/>
      <c r="P2" s="849"/>
      <c r="Q2" s="849"/>
      <c r="R2" s="849"/>
      <c r="S2" s="849"/>
      <c r="T2" s="849"/>
      <c r="U2" s="849"/>
      <c r="V2" s="849"/>
      <c r="W2" s="849"/>
      <c r="X2" s="849"/>
      <c r="Y2" s="849"/>
      <c r="Z2" s="849"/>
      <c r="AA2" s="849"/>
      <c r="AB2" s="849"/>
      <c r="AC2" s="849"/>
      <c r="AD2" s="849"/>
      <c r="AE2" s="849"/>
      <c r="AF2" s="580"/>
      <c r="AG2" s="580"/>
      <c r="AH2" s="853"/>
      <c r="AI2" s="14"/>
      <c r="AJ2" s="14"/>
      <c r="AK2" s="849"/>
      <c r="AL2" s="849"/>
      <c r="AM2" s="849"/>
      <c r="AN2" s="849"/>
      <c r="AO2" s="849"/>
      <c r="AP2" s="849"/>
      <c r="AQ2" s="849"/>
      <c r="AR2" s="849"/>
      <c r="AS2" s="849"/>
      <c r="AT2" s="849"/>
      <c r="AU2" s="849"/>
      <c r="AV2" s="849"/>
      <c r="AW2" s="849"/>
      <c r="AX2" s="849"/>
      <c r="AY2" s="849"/>
      <c r="AZ2" s="849"/>
      <c r="BA2" s="854"/>
      <c r="BB2" s="854"/>
      <c r="BC2" s="854"/>
      <c r="BD2" s="854"/>
      <c r="BE2" s="854"/>
      <c r="BF2" s="854"/>
      <c r="BG2" s="854"/>
      <c r="BH2" s="854"/>
      <c r="BI2" s="854"/>
    </row>
    <row r="3" spans="1:61" ht="12.5" thickBot="1" x14ac:dyDescent="0.35">
      <c r="A3" s="849"/>
      <c r="B3" s="849"/>
      <c r="C3" s="894" t="s">
        <v>302</v>
      </c>
      <c r="D3" s="895" t="s">
        <v>345</v>
      </c>
      <c r="E3" s="896" t="s">
        <v>303</v>
      </c>
      <c r="F3" s="897" t="s">
        <v>304</v>
      </c>
      <c r="G3" s="849"/>
      <c r="H3" s="849"/>
      <c r="I3" s="849"/>
      <c r="J3" s="849"/>
      <c r="K3" s="849"/>
      <c r="L3" s="849"/>
      <c r="M3" s="849"/>
      <c r="N3" s="849"/>
      <c r="O3" s="849"/>
      <c r="P3" s="849"/>
      <c r="Q3" s="849"/>
      <c r="R3" s="849"/>
      <c r="S3" s="849"/>
      <c r="T3" s="849"/>
      <c r="U3" s="849"/>
      <c r="V3" s="849"/>
      <c r="W3" s="849"/>
      <c r="X3" s="849"/>
      <c r="Y3" s="849"/>
      <c r="Z3" s="849"/>
      <c r="AA3" s="849"/>
      <c r="AB3" s="849"/>
      <c r="AC3" s="849"/>
      <c r="AD3" s="849"/>
      <c r="AE3" s="849"/>
      <c r="AF3" s="580"/>
      <c r="AG3" s="580"/>
      <c r="AH3" s="853" t="s">
        <v>292</v>
      </c>
      <c r="AI3" s="14" t="s">
        <v>300</v>
      </c>
      <c r="AJ3" s="14" t="s">
        <v>301</v>
      </c>
      <c r="AK3" s="14" t="s">
        <v>305</v>
      </c>
      <c r="AL3" s="849"/>
      <c r="AM3" s="849"/>
      <c r="AN3" s="849"/>
      <c r="AO3" s="849"/>
      <c r="AP3" s="849"/>
      <c r="AQ3" s="849"/>
      <c r="AR3" s="849"/>
      <c r="AS3" s="849"/>
      <c r="AT3" s="849"/>
      <c r="AU3" s="849"/>
      <c r="AV3" s="849"/>
      <c r="AW3" s="849"/>
      <c r="AX3" s="849"/>
      <c r="AY3" s="849"/>
      <c r="AZ3" s="849"/>
      <c r="BA3" s="854"/>
      <c r="BB3" s="854"/>
      <c r="BC3" s="854"/>
      <c r="BD3" s="854"/>
      <c r="BE3" s="854"/>
      <c r="BF3" s="854"/>
      <c r="BG3" s="854"/>
      <c r="BH3" s="854"/>
      <c r="BI3" s="854"/>
    </row>
    <row r="4" spans="1:61" ht="13" x14ac:dyDescent="0.3">
      <c r="A4" s="855">
        <f t="shared" ref="A4:A37" si="0">AJ4</f>
        <v>0</v>
      </c>
      <c r="B4" s="855"/>
      <c r="C4" s="856" t="s">
        <v>306</v>
      </c>
      <c r="D4" s="866" t="s">
        <v>290</v>
      </c>
      <c r="E4" s="857" t="s">
        <v>296</v>
      </c>
      <c r="F4" s="889" t="str">
        <f t="shared" ref="F4:F37" si="1">IF(AJ4=1,"✅ "&amp;AG4,"⬜ "&amp;AG4)</f>
        <v>⬜ Property Info</v>
      </c>
      <c r="G4" s="849"/>
      <c r="H4" s="849"/>
      <c r="I4" s="849"/>
      <c r="J4" s="849"/>
      <c r="K4" s="849"/>
      <c r="L4" s="849"/>
      <c r="M4" s="849"/>
      <c r="N4" s="849"/>
      <c r="O4" s="849"/>
      <c r="P4" s="849"/>
      <c r="Q4" s="849"/>
      <c r="R4" s="849"/>
      <c r="S4" s="849"/>
      <c r="T4" s="849"/>
      <c r="U4" s="849"/>
      <c r="V4" s="849"/>
      <c r="W4" s="849"/>
      <c r="X4" s="849"/>
      <c r="Y4" s="849"/>
      <c r="Z4" s="849"/>
      <c r="AA4" s="849"/>
      <c r="AB4" s="849"/>
      <c r="AC4" s="849"/>
      <c r="AD4" s="849"/>
      <c r="AE4" s="849"/>
      <c r="AF4" s="580" t="s">
        <v>296</v>
      </c>
      <c r="AG4" s="580" t="s">
        <v>253</v>
      </c>
      <c r="AH4" s="580">
        <v>4</v>
      </c>
      <c r="AI4" s="849">
        <f>COUNTA('UW Model'!E7:G7,'UW Model'!E8:G8,'UW Model'!E9,'UW Model'!G9)</f>
        <v>1</v>
      </c>
      <c r="AJ4" s="849">
        <f>IF(AI4=AH4,1,0)</f>
        <v>0</v>
      </c>
      <c r="AK4" s="849">
        <f ca="1">IF(SUM(AJ4:AJ10)=7,1,0)</f>
        <v>0</v>
      </c>
      <c r="AL4" s="849"/>
      <c r="AM4" s="849"/>
      <c r="AN4" s="849"/>
      <c r="AO4" s="849"/>
      <c r="AP4" s="849"/>
      <c r="AQ4" s="849"/>
      <c r="AR4" s="849"/>
      <c r="AS4" s="849"/>
      <c r="AT4" s="849"/>
      <c r="AU4" s="849"/>
      <c r="AV4" s="849"/>
      <c r="AW4" s="849"/>
      <c r="AX4" s="849"/>
      <c r="AY4" s="849"/>
      <c r="AZ4" s="849"/>
      <c r="BA4" s="854"/>
      <c r="BB4" s="854"/>
      <c r="BC4" s="854"/>
      <c r="BD4" s="854"/>
      <c r="BE4" s="854"/>
      <c r="BF4" s="854"/>
      <c r="BG4" s="854"/>
      <c r="BH4" s="854"/>
      <c r="BI4" s="854"/>
    </row>
    <row r="5" spans="1:61" ht="13" x14ac:dyDescent="0.35">
      <c r="A5" s="855">
        <f t="shared" ca="1" si="0"/>
        <v>0</v>
      </c>
      <c r="B5" s="855"/>
      <c r="C5" s="898"/>
      <c r="D5" s="890"/>
      <c r="E5" s="858"/>
      <c r="F5" s="891" t="str">
        <f t="shared" ca="1" si="1"/>
        <v>⬜ Purchase Assumptions</v>
      </c>
      <c r="G5" s="849"/>
      <c r="H5" s="849"/>
      <c r="I5" s="849"/>
      <c r="J5" s="849"/>
      <c r="K5" s="849"/>
      <c r="L5" s="849"/>
      <c r="M5" s="849"/>
      <c r="N5" s="849"/>
      <c r="O5" s="849"/>
      <c r="P5" s="849"/>
      <c r="Q5" s="849"/>
      <c r="R5" s="849"/>
      <c r="S5" s="849"/>
      <c r="T5" s="849"/>
      <c r="U5" s="849"/>
      <c r="V5" s="849"/>
      <c r="W5" s="849"/>
      <c r="X5" s="849"/>
      <c r="Y5" s="849"/>
      <c r="Z5" s="849"/>
      <c r="AA5" s="849"/>
      <c r="AB5" s="849"/>
      <c r="AC5" s="849"/>
      <c r="AD5" s="849"/>
      <c r="AE5" s="849"/>
      <c r="AF5" s="580"/>
      <c r="AG5" s="580" t="s">
        <v>307</v>
      </c>
      <c r="AH5" s="580">
        <v>7</v>
      </c>
      <c r="AI5" s="849">
        <f ca="1">COUNTA('UW Model'!G11:G14,'UW Model'!G16:G18)</f>
        <v>5</v>
      </c>
      <c r="AJ5" s="849">
        <f t="shared" ref="AJ5:AJ37" ca="1" si="2">IF(AI5=AH5,1,0)</f>
        <v>0</v>
      </c>
      <c r="AK5" s="849"/>
      <c r="AL5" s="849"/>
      <c r="AM5" s="849"/>
      <c r="AN5" s="849"/>
      <c r="AO5" s="849"/>
      <c r="AP5" s="849"/>
      <c r="AQ5" s="849"/>
      <c r="AR5" s="849"/>
      <c r="AS5" s="849"/>
      <c r="AT5" s="849"/>
      <c r="AU5" s="849"/>
      <c r="AV5" s="849"/>
      <c r="AW5" s="849"/>
      <c r="AX5" s="849"/>
      <c r="AY5" s="849"/>
      <c r="AZ5" s="849"/>
      <c r="BA5" s="854"/>
      <c r="BB5" s="854"/>
      <c r="BC5" s="854"/>
      <c r="BD5" s="854"/>
      <c r="BE5" s="854"/>
      <c r="BF5" s="854"/>
      <c r="BG5" s="854"/>
      <c r="BH5" s="854"/>
      <c r="BI5" s="854"/>
    </row>
    <row r="6" spans="1:61" ht="13" x14ac:dyDescent="0.35">
      <c r="A6" s="855">
        <f t="shared" si="0"/>
        <v>1</v>
      </c>
      <c r="B6" s="855"/>
      <c r="C6" s="898"/>
      <c r="D6" s="890"/>
      <c r="E6" s="858"/>
      <c r="F6" s="891" t="str">
        <f t="shared" si="1"/>
        <v>✅ Exit Assumptions</v>
      </c>
      <c r="G6" s="849"/>
      <c r="H6" s="849"/>
      <c r="I6" s="849"/>
      <c r="J6" s="912"/>
      <c r="K6" s="912"/>
      <c r="L6" s="849"/>
      <c r="M6" s="849"/>
      <c r="N6" s="849"/>
      <c r="O6" s="849"/>
      <c r="P6" s="849"/>
      <c r="Q6" s="849"/>
      <c r="R6" s="849"/>
      <c r="S6" s="849"/>
      <c r="T6" s="849"/>
      <c r="U6" s="849"/>
      <c r="V6" s="849"/>
      <c r="W6" s="849"/>
      <c r="X6" s="849"/>
      <c r="Y6" s="849"/>
      <c r="Z6" s="849"/>
      <c r="AA6" s="849"/>
      <c r="AB6" s="849"/>
      <c r="AC6" s="849"/>
      <c r="AD6" s="849"/>
      <c r="AE6" s="849"/>
      <c r="AF6" s="580"/>
      <c r="AG6" s="580" t="s">
        <v>279</v>
      </c>
      <c r="AH6" s="580">
        <v>4</v>
      </c>
      <c r="AI6" s="849">
        <f>COUNTA('UW Model'!G20:G22,'UW Model'!F23)</f>
        <v>4</v>
      </c>
      <c r="AJ6" s="849">
        <f t="shared" si="2"/>
        <v>1</v>
      </c>
      <c r="AK6" s="849"/>
      <c r="AL6" s="849"/>
      <c r="AM6" s="849"/>
      <c r="AN6" s="849"/>
      <c r="AO6" s="849"/>
      <c r="AP6" s="849"/>
      <c r="AQ6" s="849"/>
      <c r="AR6" s="849"/>
      <c r="AS6" s="849"/>
      <c r="AT6" s="849"/>
      <c r="AU6" s="849"/>
      <c r="AV6" s="849"/>
      <c r="AW6" s="849"/>
      <c r="AX6" s="849"/>
      <c r="AY6" s="849"/>
      <c r="AZ6" s="849"/>
      <c r="BA6" s="854"/>
      <c r="BB6" s="854"/>
      <c r="BC6" s="854"/>
      <c r="BD6" s="854"/>
      <c r="BE6" s="854"/>
      <c r="BF6" s="854"/>
      <c r="BG6" s="854"/>
      <c r="BH6" s="854"/>
      <c r="BI6" s="854"/>
    </row>
    <row r="7" spans="1:61" ht="13" x14ac:dyDescent="0.35">
      <c r="A7" s="855">
        <f t="shared" si="0"/>
        <v>0</v>
      </c>
      <c r="B7" s="855"/>
      <c r="C7" s="898"/>
      <c r="D7" s="890"/>
      <c r="E7" s="858"/>
      <c r="F7" s="891" t="str">
        <f t="shared" si="1"/>
        <v>⬜ Debt Structure</v>
      </c>
      <c r="G7" s="849"/>
      <c r="H7" s="849"/>
      <c r="I7" s="849"/>
      <c r="J7" s="849"/>
      <c r="K7" s="849"/>
      <c r="L7" s="849"/>
      <c r="M7" s="849"/>
      <c r="N7" s="849"/>
      <c r="O7" s="849"/>
      <c r="P7" s="849"/>
      <c r="Q7" s="849"/>
      <c r="R7" s="849"/>
      <c r="S7" s="849"/>
      <c r="T7" s="849"/>
      <c r="U7" s="849"/>
      <c r="V7" s="849"/>
      <c r="W7" s="849"/>
      <c r="X7" s="849"/>
      <c r="Y7" s="849"/>
      <c r="Z7" s="849"/>
      <c r="AA7" s="849"/>
      <c r="AB7" s="849"/>
      <c r="AC7" s="849"/>
      <c r="AD7" s="849"/>
      <c r="AE7" s="849"/>
      <c r="AF7" s="580"/>
      <c r="AG7" s="580" t="s">
        <v>308</v>
      </c>
      <c r="AH7" s="580">
        <v>1</v>
      </c>
      <c r="AI7" s="849">
        <f>IF('UW Model'!K8&gt;0,1,0)</f>
        <v>0</v>
      </c>
      <c r="AJ7" s="849">
        <f t="shared" si="2"/>
        <v>0</v>
      </c>
      <c r="AK7" s="849"/>
      <c r="AL7" s="849"/>
      <c r="AM7" s="849"/>
      <c r="AN7" s="849"/>
      <c r="AO7" s="849"/>
      <c r="AP7" s="849"/>
      <c r="AQ7" s="849"/>
      <c r="AR7" s="849"/>
      <c r="AS7" s="849"/>
      <c r="AT7" s="849"/>
      <c r="AU7" s="849"/>
      <c r="AV7" s="849"/>
      <c r="AW7" s="849"/>
      <c r="AX7" s="849"/>
      <c r="AY7" s="849"/>
      <c r="AZ7" s="849"/>
      <c r="BA7" s="854"/>
      <c r="BB7" s="854"/>
      <c r="BC7" s="854"/>
      <c r="BD7" s="854"/>
      <c r="BE7" s="854"/>
      <c r="BF7" s="854"/>
      <c r="BG7" s="854"/>
      <c r="BH7" s="854"/>
      <c r="BI7" s="854"/>
    </row>
    <row r="8" spans="1:61" ht="13" x14ac:dyDescent="0.35">
      <c r="A8" s="855">
        <f t="shared" si="0"/>
        <v>1</v>
      </c>
      <c r="B8" s="855"/>
      <c r="C8" s="898"/>
      <c r="D8" s="890"/>
      <c r="E8" s="858"/>
      <c r="F8" s="891" t="str">
        <f t="shared" si="1"/>
        <v>✅ Deal Structure</v>
      </c>
      <c r="G8" s="849"/>
      <c r="H8" s="849"/>
      <c r="I8" s="849"/>
      <c r="J8" s="849"/>
      <c r="K8" s="849"/>
      <c r="L8" s="849"/>
      <c r="M8" s="849"/>
      <c r="N8" s="849"/>
      <c r="O8" s="849"/>
      <c r="P8" s="849"/>
      <c r="Q8" s="849"/>
      <c r="R8" s="849"/>
      <c r="S8" s="849"/>
      <c r="T8" s="849"/>
      <c r="U8" s="849"/>
      <c r="V8" s="849"/>
      <c r="W8" s="849"/>
      <c r="X8" s="849"/>
      <c r="Y8" s="849"/>
      <c r="Z8" s="849"/>
      <c r="AA8" s="849"/>
      <c r="AB8" s="849"/>
      <c r="AC8" s="849"/>
      <c r="AD8" s="849"/>
      <c r="AE8" s="849"/>
      <c r="AF8" s="580"/>
      <c r="AG8" s="580" t="s">
        <v>309</v>
      </c>
      <c r="AH8" s="580">
        <v>6</v>
      </c>
      <c r="AI8" s="849">
        <f>COUNTA('UW Model'!O7:O12)</f>
        <v>6</v>
      </c>
      <c r="AJ8" s="849">
        <f t="shared" si="2"/>
        <v>1</v>
      </c>
      <c r="AK8" s="849"/>
      <c r="AL8" s="849"/>
      <c r="AM8" s="849"/>
      <c r="AN8" s="849"/>
      <c r="AO8" s="849"/>
      <c r="AP8" s="849"/>
      <c r="AQ8" s="849"/>
      <c r="AR8" s="849"/>
      <c r="AS8" s="849"/>
      <c r="AT8" s="849"/>
      <c r="AU8" s="849"/>
      <c r="AV8" s="849"/>
      <c r="AW8" s="849"/>
      <c r="AX8" s="849"/>
      <c r="AY8" s="849"/>
      <c r="AZ8" s="849"/>
      <c r="BA8" s="854"/>
      <c r="BB8" s="854"/>
      <c r="BC8" s="854"/>
      <c r="BD8" s="854"/>
      <c r="BE8" s="854"/>
      <c r="BF8" s="854"/>
      <c r="BG8" s="854"/>
      <c r="BH8" s="854"/>
      <c r="BI8" s="854"/>
    </row>
    <row r="9" spans="1:61" ht="13" x14ac:dyDescent="0.35">
      <c r="A9" s="855">
        <f t="shared" si="0"/>
        <v>0</v>
      </c>
      <c r="B9" s="855"/>
      <c r="C9" s="898"/>
      <c r="D9" s="890"/>
      <c r="E9" s="858"/>
      <c r="F9" s="891" t="str">
        <f t="shared" si="1"/>
        <v>⬜ Renovation Assumptions</v>
      </c>
      <c r="G9" s="849"/>
      <c r="H9" s="849"/>
      <c r="I9" s="849"/>
      <c r="J9" s="849"/>
      <c r="K9" s="849"/>
      <c r="L9" s="849"/>
      <c r="M9" s="849"/>
      <c r="N9" s="849"/>
      <c r="O9" s="849"/>
      <c r="P9" s="849"/>
      <c r="Q9" s="849"/>
      <c r="R9" s="849"/>
      <c r="S9" s="849"/>
      <c r="T9" s="849"/>
      <c r="U9" s="849"/>
      <c r="V9" s="849"/>
      <c r="W9" s="849"/>
      <c r="X9" s="849"/>
      <c r="Y9" s="849"/>
      <c r="Z9" s="849"/>
      <c r="AA9" s="849"/>
      <c r="AB9" s="849"/>
      <c r="AC9" s="849"/>
      <c r="AD9" s="849"/>
      <c r="AE9" s="849"/>
      <c r="AF9" s="580"/>
      <c r="AG9" s="580" t="s">
        <v>310</v>
      </c>
      <c r="AH9" s="580">
        <v>1</v>
      </c>
      <c r="AI9" s="849">
        <f>IF(AND('UW Model'!O15&gt;'UW Model'!O14,'UW Model'!O23&gt;0),1,0)</f>
        <v>0</v>
      </c>
      <c r="AJ9" s="849">
        <f t="shared" si="2"/>
        <v>0</v>
      </c>
      <c r="AK9" s="849"/>
      <c r="AL9" s="849"/>
      <c r="AM9" s="849"/>
      <c r="AN9" s="849"/>
      <c r="AO9" s="849"/>
      <c r="AP9" s="849"/>
      <c r="AQ9" s="849"/>
      <c r="AR9" s="849"/>
      <c r="AS9" s="849"/>
      <c r="AT9" s="849"/>
      <c r="AU9" s="849"/>
      <c r="AV9" s="849"/>
      <c r="AW9" s="849"/>
      <c r="AX9" s="849"/>
      <c r="AY9" s="849"/>
      <c r="AZ9" s="849"/>
      <c r="BA9" s="854"/>
      <c r="BB9" s="854"/>
      <c r="BC9" s="854"/>
      <c r="BD9" s="854"/>
      <c r="BE9" s="854"/>
      <c r="BF9" s="854"/>
      <c r="BG9" s="854"/>
      <c r="BH9" s="854"/>
      <c r="BI9" s="854"/>
    </row>
    <row r="10" spans="1:61" ht="13.5" thickBot="1" x14ac:dyDescent="0.4">
      <c r="A10" s="855">
        <f t="shared" si="0"/>
        <v>1</v>
      </c>
      <c r="B10" s="855"/>
      <c r="C10" s="899"/>
      <c r="D10" s="859"/>
      <c r="E10" s="860"/>
      <c r="F10" s="892" t="str">
        <f t="shared" si="1"/>
        <v>✅ KPIs</v>
      </c>
      <c r="G10" s="849"/>
      <c r="H10" s="849"/>
      <c r="I10" s="849"/>
      <c r="J10" s="849"/>
      <c r="K10" s="849"/>
      <c r="L10" s="849"/>
      <c r="M10" s="849"/>
      <c r="N10" s="849"/>
      <c r="O10" s="849"/>
      <c r="P10" s="849"/>
      <c r="Q10" s="849"/>
      <c r="R10" s="849"/>
      <c r="S10" s="849"/>
      <c r="T10" s="849"/>
      <c r="U10" s="849"/>
      <c r="V10" s="849"/>
      <c r="W10" s="849"/>
      <c r="X10" s="849"/>
      <c r="Y10" s="849"/>
      <c r="Z10" s="849"/>
      <c r="AA10" s="849"/>
      <c r="AB10" s="849"/>
      <c r="AC10" s="849"/>
      <c r="AD10" s="849"/>
      <c r="AE10" s="849"/>
      <c r="AF10" s="580"/>
      <c r="AG10" s="580" t="s">
        <v>123</v>
      </c>
      <c r="AH10" s="580">
        <v>4</v>
      </c>
      <c r="AI10" s="849">
        <f>COUNTA('UW Model'!R7:R10)</f>
        <v>4</v>
      </c>
      <c r="AJ10" s="849">
        <f t="shared" si="2"/>
        <v>1</v>
      </c>
      <c r="AK10" s="849"/>
      <c r="AL10" s="849"/>
      <c r="AM10" s="849"/>
      <c r="AN10" s="849"/>
      <c r="AO10" s="849"/>
      <c r="AP10" s="849"/>
      <c r="AQ10" s="849"/>
      <c r="AR10" s="849"/>
      <c r="AS10" s="849"/>
      <c r="AT10" s="849"/>
      <c r="AU10" s="849"/>
      <c r="AV10" s="849"/>
      <c r="AW10" s="849"/>
      <c r="AX10" s="849"/>
      <c r="AY10" s="849"/>
      <c r="AZ10" s="849"/>
      <c r="BA10" s="854"/>
      <c r="BB10" s="854"/>
      <c r="BC10" s="854"/>
      <c r="BD10" s="854"/>
      <c r="BE10" s="854"/>
      <c r="BF10" s="854"/>
      <c r="BG10" s="854"/>
      <c r="BH10" s="854"/>
      <c r="BI10" s="854"/>
    </row>
    <row r="11" spans="1:61" ht="13" x14ac:dyDescent="0.3">
      <c r="A11" s="855">
        <f t="shared" si="0"/>
        <v>0</v>
      </c>
      <c r="B11" s="855"/>
      <c r="C11" s="856" t="s">
        <v>311</v>
      </c>
      <c r="D11" s="866" t="s">
        <v>314</v>
      </c>
      <c r="E11" s="857" t="s">
        <v>250</v>
      </c>
      <c r="F11" s="889" t="str">
        <f t="shared" si="1"/>
        <v>⬜ Bed</v>
      </c>
      <c r="G11" s="849"/>
      <c r="H11" s="849"/>
      <c r="I11" s="849"/>
      <c r="J11" s="849"/>
      <c r="K11" s="849"/>
      <c r="L11" s="849"/>
      <c r="M11" s="849"/>
      <c r="N11" s="849"/>
      <c r="O11" s="849"/>
      <c r="P11" s="849"/>
      <c r="Q11" s="849"/>
      <c r="R11" s="849"/>
      <c r="S11" s="849"/>
      <c r="T11" s="849"/>
      <c r="U11" s="849"/>
      <c r="V11" s="849"/>
      <c r="W11" s="849"/>
      <c r="X11" s="849"/>
      <c r="Y11" s="849"/>
      <c r="Z11" s="849"/>
      <c r="AA11" s="849"/>
      <c r="AB11" s="849"/>
      <c r="AC11" s="849"/>
      <c r="AD11" s="849"/>
      <c r="AE11" s="849"/>
      <c r="AF11" s="580" t="s">
        <v>315</v>
      </c>
      <c r="AG11" s="580" t="s">
        <v>207</v>
      </c>
      <c r="AH11" s="580">
        <v>1</v>
      </c>
      <c r="AI11" s="849">
        <f>IF(COUNTA(UW_Beds)&gt;0,1,0)</f>
        <v>0</v>
      </c>
      <c r="AJ11" s="849">
        <f t="shared" si="2"/>
        <v>0</v>
      </c>
      <c r="AK11" s="849">
        <f>IF(SUM(AJ11:AJ17)=7,1,0)</f>
        <v>0</v>
      </c>
      <c r="AL11" s="849"/>
      <c r="AM11" s="849"/>
      <c r="AN11" s="849"/>
      <c r="AO11" s="849"/>
      <c r="AP11" s="849"/>
      <c r="AQ11" s="849"/>
      <c r="AR11" s="849"/>
      <c r="AS11" s="849"/>
      <c r="AT11" s="849"/>
      <c r="AU11" s="849"/>
      <c r="AV11" s="849"/>
      <c r="AW11" s="849"/>
      <c r="AX11" s="849"/>
      <c r="AY11" s="849"/>
      <c r="AZ11" s="849"/>
      <c r="BA11" s="854"/>
      <c r="BB11" s="854"/>
      <c r="BC11" s="854"/>
      <c r="BD11" s="854"/>
      <c r="BE11" s="854"/>
      <c r="BF11" s="854"/>
      <c r="BG11" s="854"/>
      <c r="BH11" s="854"/>
      <c r="BI11" s="854"/>
    </row>
    <row r="12" spans="1:61" ht="13" x14ac:dyDescent="0.35">
      <c r="A12" s="855">
        <f t="shared" si="0"/>
        <v>0</v>
      </c>
      <c r="B12" s="855"/>
      <c r="C12" s="898"/>
      <c r="D12" s="893"/>
      <c r="E12" s="862"/>
      <c r="F12" s="891" t="str">
        <f t="shared" si="1"/>
        <v>⬜ Bath</v>
      </c>
      <c r="G12" s="849"/>
      <c r="H12" s="849"/>
      <c r="I12" s="849"/>
      <c r="J12" s="849"/>
      <c r="K12" s="849"/>
      <c r="L12" s="849"/>
      <c r="M12" s="849"/>
      <c r="N12" s="849"/>
      <c r="O12" s="849"/>
      <c r="P12" s="849"/>
      <c r="Q12" s="849"/>
      <c r="R12" s="849"/>
      <c r="S12" s="849"/>
      <c r="T12" s="849"/>
      <c r="U12" s="849"/>
      <c r="V12" s="849"/>
      <c r="W12" s="849"/>
      <c r="X12" s="849"/>
      <c r="Y12" s="849"/>
      <c r="Z12" s="849"/>
      <c r="AA12" s="849"/>
      <c r="AB12" s="849"/>
      <c r="AC12" s="849"/>
      <c r="AD12" s="849"/>
      <c r="AE12" s="849"/>
      <c r="AF12" s="580"/>
      <c r="AG12" s="580" t="s">
        <v>316</v>
      </c>
      <c r="AH12" s="580">
        <v>1</v>
      </c>
      <c r="AI12" s="849">
        <f>IF(COUNTA(UW_Baths)&gt;0,1,0)</f>
        <v>0</v>
      </c>
      <c r="AJ12" s="849">
        <f t="shared" si="2"/>
        <v>0</v>
      </c>
      <c r="AK12" s="849"/>
      <c r="AL12" s="849"/>
      <c r="AM12" s="849"/>
      <c r="AN12" s="849"/>
      <c r="AO12" s="849"/>
      <c r="AP12" s="849"/>
      <c r="AQ12" s="849"/>
      <c r="AR12" s="849"/>
      <c r="AS12" s="849"/>
      <c r="AT12" s="849"/>
      <c r="AU12" s="849"/>
      <c r="AV12" s="849"/>
      <c r="AW12" s="849"/>
      <c r="AX12" s="849"/>
      <c r="AY12" s="849"/>
      <c r="AZ12" s="849"/>
      <c r="BA12" s="854"/>
      <c r="BB12" s="854"/>
      <c r="BC12" s="854"/>
      <c r="BD12" s="854"/>
      <c r="BE12" s="854"/>
      <c r="BF12" s="854"/>
      <c r="BG12" s="854"/>
      <c r="BH12" s="854"/>
      <c r="BI12" s="854"/>
    </row>
    <row r="13" spans="1:61" ht="13" x14ac:dyDescent="0.35">
      <c r="A13" s="855">
        <f t="shared" si="0"/>
        <v>0</v>
      </c>
      <c r="B13" s="855"/>
      <c r="C13" s="898"/>
      <c r="D13" s="893"/>
      <c r="E13" s="862"/>
      <c r="F13" s="891" t="str">
        <f t="shared" si="1"/>
        <v>⬜ Sqft</v>
      </c>
      <c r="G13" s="849"/>
      <c r="H13" s="849"/>
      <c r="I13" s="849"/>
      <c r="J13" s="849"/>
      <c r="K13" s="849"/>
      <c r="L13" s="849"/>
      <c r="M13" s="849"/>
      <c r="N13" s="849"/>
      <c r="O13" s="849"/>
      <c r="P13" s="849"/>
      <c r="Q13" s="849"/>
      <c r="R13" s="849"/>
      <c r="S13" s="849"/>
      <c r="T13" s="849"/>
      <c r="U13" s="849"/>
      <c r="V13" s="849"/>
      <c r="W13" s="849"/>
      <c r="X13" s="849"/>
      <c r="Y13" s="849"/>
      <c r="Z13" s="849"/>
      <c r="AA13" s="849"/>
      <c r="AB13" s="849"/>
      <c r="AC13" s="849"/>
      <c r="AD13" s="849"/>
      <c r="AE13" s="849"/>
      <c r="AF13" s="580"/>
      <c r="AG13" s="580" t="s">
        <v>317</v>
      </c>
      <c r="AH13" s="580">
        <v>1</v>
      </c>
      <c r="AI13" s="849">
        <f>IF(COUNTA(UW_SF)&gt;0,1,0)</f>
        <v>0</v>
      </c>
      <c r="AJ13" s="849">
        <f t="shared" si="2"/>
        <v>0</v>
      </c>
      <c r="AK13" s="849"/>
      <c r="AL13" s="849"/>
      <c r="AM13" s="849"/>
      <c r="AN13" s="849"/>
      <c r="AO13" s="849"/>
      <c r="AP13" s="849"/>
      <c r="AQ13" s="849"/>
      <c r="AR13" s="849"/>
      <c r="AS13" s="849"/>
      <c r="AT13" s="849"/>
      <c r="AU13" s="849"/>
      <c r="AV13" s="849"/>
      <c r="AW13" s="849"/>
      <c r="AX13" s="849"/>
      <c r="AY13" s="849"/>
      <c r="AZ13" s="849"/>
      <c r="BA13" s="854"/>
      <c r="BB13" s="854"/>
      <c r="BC13" s="854"/>
      <c r="BD13" s="854"/>
      <c r="BE13" s="854"/>
      <c r="BF13" s="854"/>
      <c r="BG13" s="854"/>
      <c r="BH13" s="854"/>
      <c r="BI13" s="854"/>
    </row>
    <row r="14" spans="1:61" ht="13" x14ac:dyDescent="0.35">
      <c r="A14" s="855">
        <f t="shared" si="0"/>
        <v>0</v>
      </c>
      <c r="B14" s="855"/>
      <c r="C14" s="898"/>
      <c r="D14" s="893"/>
      <c r="E14" s="862"/>
      <c r="F14" s="891" t="str">
        <f t="shared" si="1"/>
        <v>⬜ Units</v>
      </c>
      <c r="G14" s="849"/>
      <c r="H14" s="849"/>
      <c r="I14" s="849"/>
      <c r="J14" s="849"/>
      <c r="K14" s="849"/>
      <c r="L14" s="849"/>
      <c r="M14" s="849"/>
      <c r="N14" s="849"/>
      <c r="O14" s="849"/>
      <c r="P14" s="849"/>
      <c r="Q14" s="849"/>
      <c r="R14" s="849"/>
      <c r="S14" s="849"/>
      <c r="T14" s="849"/>
      <c r="U14" s="849"/>
      <c r="V14" s="849"/>
      <c r="W14" s="849"/>
      <c r="X14" s="849"/>
      <c r="Y14" s="849"/>
      <c r="Z14" s="849"/>
      <c r="AA14" s="849"/>
      <c r="AB14" s="849"/>
      <c r="AC14" s="849"/>
      <c r="AD14" s="849"/>
      <c r="AE14" s="849"/>
      <c r="AF14" s="580"/>
      <c r="AG14" s="580" t="s">
        <v>175</v>
      </c>
      <c r="AH14" s="580">
        <v>1</v>
      </c>
      <c r="AI14" s="849">
        <f>IF(COUNTA(UW_Units)&gt;0,1,0)</f>
        <v>0</v>
      </c>
      <c r="AJ14" s="849">
        <f t="shared" si="2"/>
        <v>0</v>
      </c>
      <c r="AK14" s="849"/>
      <c r="AL14" s="849"/>
      <c r="AM14" s="849"/>
      <c r="AN14" s="849"/>
      <c r="AO14" s="849"/>
      <c r="AP14" s="849"/>
      <c r="AQ14" s="849"/>
      <c r="AR14" s="849"/>
      <c r="AS14" s="849"/>
      <c r="AT14" s="849"/>
      <c r="AU14" s="849"/>
      <c r="AV14" s="849"/>
      <c r="AW14" s="849"/>
      <c r="AX14" s="849"/>
      <c r="AY14" s="849"/>
      <c r="AZ14" s="849"/>
      <c r="BA14" s="854"/>
      <c r="BB14" s="854"/>
      <c r="BC14" s="854"/>
      <c r="BD14" s="854"/>
      <c r="BE14" s="854"/>
      <c r="BF14" s="854"/>
      <c r="BG14" s="854"/>
      <c r="BH14" s="854"/>
      <c r="BI14" s="854"/>
    </row>
    <row r="15" spans="1:61" ht="13" x14ac:dyDescent="0.35">
      <c r="A15" s="855">
        <f t="shared" si="0"/>
        <v>0</v>
      </c>
      <c r="B15" s="855"/>
      <c r="C15" s="898"/>
      <c r="D15" s="893"/>
      <c r="E15" s="862"/>
      <c r="F15" s="891" t="str">
        <f t="shared" si="1"/>
        <v>⬜ In-Place Rents</v>
      </c>
      <c r="G15" s="849"/>
      <c r="H15" s="849"/>
      <c r="I15" s="849"/>
      <c r="J15" s="849"/>
      <c r="K15" s="849"/>
      <c r="L15" s="849"/>
      <c r="M15" s="849"/>
      <c r="N15" s="849"/>
      <c r="O15" s="849"/>
      <c r="P15" s="849"/>
      <c r="Q15" s="849"/>
      <c r="R15" s="849"/>
      <c r="S15" s="849"/>
      <c r="T15" s="849"/>
      <c r="U15" s="849"/>
      <c r="V15" s="849"/>
      <c r="W15" s="849"/>
      <c r="X15" s="849"/>
      <c r="Y15" s="849"/>
      <c r="Z15" s="849"/>
      <c r="AA15" s="849"/>
      <c r="AB15" s="849"/>
      <c r="AC15" s="849"/>
      <c r="AD15" s="849"/>
      <c r="AE15" s="849"/>
      <c r="AF15" s="580"/>
      <c r="AG15" s="580" t="s">
        <v>285</v>
      </c>
      <c r="AH15" s="580">
        <v>1</v>
      </c>
      <c r="AI15" s="849">
        <f>IF(COUNTA(UW_InPlaceRent)&gt;0,1,0)</f>
        <v>0</v>
      </c>
      <c r="AJ15" s="849">
        <f t="shared" si="2"/>
        <v>0</v>
      </c>
      <c r="AK15" s="849"/>
      <c r="AL15" s="849"/>
      <c r="AM15" s="849"/>
      <c r="AN15" s="849"/>
      <c r="AO15" s="849"/>
      <c r="AP15" s="849"/>
      <c r="AQ15" s="849"/>
      <c r="AR15" s="849"/>
      <c r="AS15" s="849"/>
      <c r="AT15" s="849"/>
      <c r="AU15" s="849"/>
      <c r="AV15" s="849"/>
      <c r="AW15" s="849"/>
      <c r="AX15" s="849"/>
      <c r="AY15" s="849"/>
      <c r="AZ15" s="849"/>
      <c r="BA15" s="854"/>
      <c r="BB15" s="854"/>
      <c r="BC15" s="854"/>
      <c r="BD15" s="854"/>
      <c r="BE15" s="854"/>
      <c r="BF15" s="854"/>
      <c r="BG15" s="854"/>
      <c r="BH15" s="854"/>
      <c r="BI15" s="854"/>
    </row>
    <row r="16" spans="1:61" ht="13" x14ac:dyDescent="0.35">
      <c r="A16" s="855">
        <f t="shared" si="0"/>
        <v>0</v>
      </c>
      <c r="B16" s="855"/>
      <c r="C16" s="898"/>
      <c r="D16" s="893"/>
      <c r="E16" s="862"/>
      <c r="F16" s="891" t="str">
        <f t="shared" si="1"/>
        <v>⬜ Market Rents</v>
      </c>
      <c r="G16" s="849"/>
      <c r="H16" s="849"/>
      <c r="I16" s="849"/>
      <c r="J16" s="849"/>
      <c r="K16" s="849"/>
      <c r="L16" s="849"/>
      <c r="M16" s="849"/>
      <c r="N16" s="849"/>
      <c r="O16" s="849"/>
      <c r="P16" s="849"/>
      <c r="Q16" s="849"/>
      <c r="R16" s="849"/>
      <c r="S16" s="849"/>
      <c r="T16" s="849"/>
      <c r="U16" s="849"/>
      <c r="V16" s="849"/>
      <c r="W16" s="849"/>
      <c r="X16" s="849"/>
      <c r="Y16" s="849"/>
      <c r="Z16" s="849"/>
      <c r="AA16" s="849"/>
      <c r="AB16" s="849"/>
      <c r="AC16" s="849"/>
      <c r="AD16" s="849"/>
      <c r="AE16" s="849"/>
      <c r="AF16" s="580"/>
      <c r="AG16" s="580" t="s">
        <v>312</v>
      </c>
      <c r="AH16" s="580">
        <v>1</v>
      </c>
      <c r="AI16" s="849">
        <f>IF(COUNTA(UW_MarketRent)&gt;0,1,0)</f>
        <v>0</v>
      </c>
      <c r="AJ16" s="849">
        <f t="shared" si="2"/>
        <v>0</v>
      </c>
      <c r="AK16" s="849"/>
      <c r="AL16" s="849"/>
      <c r="AM16" s="849"/>
      <c r="AN16" s="849"/>
      <c r="AO16" s="849"/>
      <c r="AP16" s="849"/>
      <c r="AQ16" s="849"/>
      <c r="AR16" s="849"/>
      <c r="AS16" s="849"/>
      <c r="AT16" s="849"/>
      <c r="AU16" s="849"/>
      <c r="AV16" s="849"/>
      <c r="AW16" s="849"/>
      <c r="AX16" s="849"/>
      <c r="AY16" s="849"/>
      <c r="AZ16" s="849"/>
      <c r="BA16" s="854"/>
      <c r="BB16" s="854"/>
      <c r="BC16" s="854"/>
      <c r="BD16" s="854"/>
      <c r="BE16" s="854"/>
      <c r="BF16" s="854"/>
      <c r="BG16" s="854"/>
      <c r="BH16" s="854"/>
      <c r="BI16" s="854"/>
    </row>
    <row r="17" spans="1:61" ht="13.5" thickBot="1" x14ac:dyDescent="0.4">
      <c r="A17" s="855">
        <f t="shared" si="0"/>
        <v>0</v>
      </c>
      <c r="B17" s="855"/>
      <c r="C17" s="899"/>
      <c r="D17" s="861"/>
      <c r="E17" s="863"/>
      <c r="F17" s="892" t="str">
        <f t="shared" si="1"/>
        <v>⬜ Interior Renovations</v>
      </c>
      <c r="G17" s="849"/>
      <c r="H17" s="849"/>
      <c r="I17" s="849"/>
      <c r="J17" s="849"/>
      <c r="K17" s="849"/>
      <c r="L17" s="849"/>
      <c r="M17" s="849"/>
      <c r="N17" s="849"/>
      <c r="O17" s="849"/>
      <c r="P17" s="849"/>
      <c r="Q17" s="849"/>
      <c r="R17" s="849"/>
      <c r="S17" s="849"/>
      <c r="T17" s="849"/>
      <c r="U17" s="849"/>
      <c r="V17" s="849"/>
      <c r="W17" s="849"/>
      <c r="X17" s="849"/>
      <c r="Y17" s="849"/>
      <c r="Z17" s="849"/>
      <c r="AA17" s="849"/>
      <c r="AB17" s="849"/>
      <c r="AC17" s="849"/>
      <c r="AD17" s="849"/>
      <c r="AE17" s="849"/>
      <c r="AF17" s="580"/>
      <c r="AG17" s="580" t="s">
        <v>318</v>
      </c>
      <c r="AH17" s="580">
        <v>1</v>
      </c>
      <c r="AI17" s="849">
        <f>IF(AND('UW Model'!O43&gt;0,'UW Model'!P43&gt;0,'UW Model'!R43&gt;0),1,0)</f>
        <v>0</v>
      </c>
      <c r="AJ17" s="849">
        <f t="shared" si="2"/>
        <v>0</v>
      </c>
      <c r="AK17" s="849"/>
      <c r="AL17" s="849"/>
      <c r="AM17" s="849"/>
      <c r="AN17" s="849"/>
      <c r="AO17" s="849"/>
      <c r="AP17" s="849"/>
      <c r="AQ17" s="849"/>
      <c r="AR17" s="849"/>
      <c r="AS17" s="849"/>
      <c r="AT17" s="849"/>
      <c r="AU17" s="849"/>
      <c r="AV17" s="849"/>
      <c r="AW17" s="849"/>
      <c r="AX17" s="849"/>
      <c r="AY17" s="849"/>
      <c r="AZ17" s="849"/>
      <c r="BA17" s="854"/>
      <c r="BB17" s="854"/>
      <c r="BC17" s="854"/>
      <c r="BD17" s="854"/>
      <c r="BE17" s="854"/>
      <c r="BF17" s="854"/>
      <c r="BG17" s="854"/>
      <c r="BH17" s="854"/>
      <c r="BI17" s="854"/>
    </row>
    <row r="18" spans="1:61" ht="13" x14ac:dyDescent="0.3">
      <c r="A18" s="855">
        <f t="shared" si="0"/>
        <v>0</v>
      </c>
      <c r="B18" s="855"/>
      <c r="C18" s="856" t="s">
        <v>313</v>
      </c>
      <c r="D18" s="867" t="s">
        <v>182</v>
      </c>
      <c r="E18" s="857" t="s">
        <v>251</v>
      </c>
      <c r="F18" s="889" t="str">
        <f t="shared" si="1"/>
        <v>⬜ GPR</v>
      </c>
      <c r="G18" s="849"/>
      <c r="H18" s="849"/>
      <c r="I18" s="849"/>
      <c r="J18" s="849"/>
      <c r="K18" s="849"/>
      <c r="L18" s="849"/>
      <c r="M18" s="849"/>
      <c r="N18" s="849"/>
      <c r="O18" s="849"/>
      <c r="P18" s="849"/>
      <c r="Q18" s="849"/>
      <c r="R18" s="849"/>
      <c r="S18" s="849"/>
      <c r="T18" s="849"/>
      <c r="U18" s="849"/>
      <c r="V18" s="849"/>
      <c r="W18" s="849"/>
      <c r="X18" s="849"/>
      <c r="Y18" s="849"/>
      <c r="Z18" s="849"/>
      <c r="AA18" s="849"/>
      <c r="AB18" s="849"/>
      <c r="AC18" s="849"/>
      <c r="AD18" s="849"/>
      <c r="AE18" s="849"/>
      <c r="AF18" s="580" t="s">
        <v>182</v>
      </c>
      <c r="AG18" s="580" t="s">
        <v>320</v>
      </c>
      <c r="AH18" s="580">
        <v>1</v>
      </c>
      <c r="AI18" s="849">
        <f>IF('UW Model'!M48&gt;0,1,0)</f>
        <v>0</v>
      </c>
      <c r="AJ18" s="849">
        <f t="shared" si="2"/>
        <v>0</v>
      </c>
      <c r="AK18" s="849">
        <f>IF(SUM(AJ18:AJ21)=4,1,0)</f>
        <v>0</v>
      </c>
      <c r="AL18" s="849"/>
      <c r="AM18" s="849"/>
      <c r="AN18" s="849"/>
      <c r="AO18" s="849"/>
      <c r="AP18" s="849"/>
      <c r="AQ18" s="849"/>
      <c r="AR18" s="849"/>
      <c r="AS18" s="849"/>
      <c r="AT18" s="849"/>
      <c r="AU18" s="849"/>
      <c r="AV18" s="849"/>
      <c r="AW18" s="849"/>
      <c r="AX18" s="849"/>
      <c r="AY18" s="849"/>
      <c r="AZ18" s="849"/>
      <c r="BA18" s="854"/>
      <c r="BB18" s="854"/>
      <c r="BC18" s="854"/>
      <c r="BD18" s="854"/>
      <c r="BE18" s="854"/>
      <c r="BF18" s="854"/>
      <c r="BG18" s="854"/>
      <c r="BH18" s="854"/>
      <c r="BI18" s="854"/>
    </row>
    <row r="19" spans="1:61" ht="13" x14ac:dyDescent="0.35">
      <c r="A19" s="855">
        <f t="shared" si="0"/>
        <v>0</v>
      </c>
      <c r="B19" s="855"/>
      <c r="C19" s="898"/>
      <c r="D19" s="893"/>
      <c r="E19" s="862"/>
      <c r="F19" s="891" t="str">
        <f t="shared" si="1"/>
        <v>⬜ Income Detractors</v>
      </c>
      <c r="G19" s="849"/>
      <c r="H19" s="849"/>
      <c r="I19" s="849"/>
      <c r="J19" s="849"/>
      <c r="K19" s="849"/>
      <c r="L19" s="849"/>
      <c r="M19" s="849"/>
      <c r="N19" s="849"/>
      <c r="O19" s="849"/>
      <c r="P19" s="849"/>
      <c r="Q19" s="849"/>
      <c r="R19" s="849"/>
      <c r="S19" s="849"/>
      <c r="T19" s="849"/>
      <c r="U19" s="849"/>
      <c r="V19" s="849"/>
      <c r="W19" s="849"/>
      <c r="X19" s="849"/>
      <c r="Y19" s="849"/>
      <c r="Z19" s="849"/>
      <c r="AA19" s="849"/>
      <c r="AB19" s="849"/>
      <c r="AC19" s="849"/>
      <c r="AD19" s="849"/>
      <c r="AE19" s="849"/>
      <c r="AF19" s="580"/>
      <c r="AG19" s="580" t="s">
        <v>321</v>
      </c>
      <c r="AH19" s="580">
        <v>1</v>
      </c>
      <c r="AI19" s="849">
        <f>IF(SUM('UW Model'!K56:K60)&gt;0,1,0)</f>
        <v>0</v>
      </c>
      <c r="AJ19" s="849">
        <f t="shared" si="2"/>
        <v>0</v>
      </c>
      <c r="AK19" s="849"/>
      <c r="AL19" s="849"/>
      <c r="AM19" s="849"/>
      <c r="AN19" s="849"/>
      <c r="AO19" s="849"/>
      <c r="AP19" s="849"/>
      <c r="AQ19" s="849"/>
      <c r="AR19" s="849"/>
      <c r="AS19" s="849"/>
      <c r="AT19" s="849"/>
      <c r="AU19" s="849"/>
      <c r="AV19" s="849"/>
      <c r="AW19" s="849"/>
      <c r="AX19" s="849"/>
      <c r="AY19" s="849"/>
      <c r="AZ19" s="849"/>
      <c r="BA19" s="854"/>
      <c r="BB19" s="854"/>
      <c r="BC19" s="854"/>
      <c r="BD19" s="854"/>
      <c r="BE19" s="854"/>
      <c r="BF19" s="854"/>
      <c r="BG19" s="854"/>
      <c r="BH19" s="854"/>
      <c r="BI19" s="854"/>
    </row>
    <row r="20" spans="1:61" ht="13" x14ac:dyDescent="0.35">
      <c r="A20" s="855">
        <f t="shared" si="0"/>
        <v>0</v>
      </c>
      <c r="B20" s="855"/>
      <c r="C20" s="898"/>
      <c r="D20" s="893"/>
      <c r="E20" s="862"/>
      <c r="F20" s="891" t="str">
        <f t="shared" si="1"/>
        <v>⬜ RUBS</v>
      </c>
      <c r="G20" s="849"/>
      <c r="H20" s="849"/>
      <c r="I20" s="849"/>
      <c r="J20" s="849"/>
      <c r="K20" s="849"/>
      <c r="L20" s="849"/>
      <c r="M20" s="849"/>
      <c r="N20" s="849"/>
      <c r="O20" s="849"/>
      <c r="P20" s="849"/>
      <c r="Q20" s="849"/>
      <c r="R20" s="849"/>
      <c r="S20" s="849"/>
      <c r="T20" s="849"/>
      <c r="U20" s="849"/>
      <c r="V20" s="849"/>
      <c r="W20" s="849"/>
      <c r="X20" s="849"/>
      <c r="Y20" s="849"/>
      <c r="Z20" s="849"/>
      <c r="AA20" s="849"/>
      <c r="AB20" s="849"/>
      <c r="AC20" s="849"/>
      <c r="AD20" s="849"/>
      <c r="AE20" s="849"/>
      <c r="AF20" s="580"/>
      <c r="AG20" s="580" t="s">
        <v>322</v>
      </c>
      <c r="AH20" s="580">
        <v>1</v>
      </c>
      <c r="AI20" s="849">
        <f>IF('UW Model'!M64&gt;0,1,0)</f>
        <v>0</v>
      </c>
      <c r="AJ20" s="849">
        <f t="shared" si="2"/>
        <v>0</v>
      </c>
      <c r="AK20" s="849"/>
      <c r="AL20" s="849"/>
      <c r="AM20" s="849"/>
      <c r="AN20" s="849"/>
      <c r="AO20" s="849"/>
      <c r="AP20" s="849"/>
      <c r="AQ20" s="849"/>
      <c r="AR20" s="849"/>
      <c r="AS20" s="849"/>
      <c r="AT20" s="849"/>
      <c r="AU20" s="849"/>
      <c r="AV20" s="849"/>
      <c r="AW20" s="849"/>
      <c r="AX20" s="849"/>
      <c r="AY20" s="849"/>
      <c r="AZ20" s="849"/>
      <c r="BA20" s="854"/>
      <c r="BB20" s="854"/>
      <c r="BC20" s="854"/>
      <c r="BD20" s="854"/>
      <c r="BE20" s="854"/>
      <c r="BF20" s="854"/>
      <c r="BG20" s="854"/>
      <c r="BH20" s="854"/>
      <c r="BI20" s="854"/>
    </row>
    <row r="21" spans="1:61" ht="13.5" thickBot="1" x14ac:dyDescent="0.4">
      <c r="A21" s="855">
        <f t="shared" si="0"/>
        <v>0</v>
      </c>
      <c r="B21" s="855"/>
      <c r="C21" s="898"/>
      <c r="D21" s="893"/>
      <c r="E21" s="862"/>
      <c r="F21" s="891" t="str">
        <f t="shared" si="1"/>
        <v>⬜ Other Income</v>
      </c>
      <c r="G21" s="849"/>
      <c r="H21" s="849"/>
      <c r="I21" s="849"/>
      <c r="J21" s="849"/>
      <c r="K21" s="849"/>
      <c r="L21" s="849"/>
      <c r="M21" s="849"/>
      <c r="N21" s="849"/>
      <c r="O21" s="849"/>
      <c r="P21" s="849"/>
      <c r="Q21" s="849"/>
      <c r="R21" s="849"/>
      <c r="S21" s="849"/>
      <c r="T21" s="849"/>
      <c r="U21" s="849"/>
      <c r="V21" s="849"/>
      <c r="W21" s="849"/>
      <c r="X21" s="849"/>
      <c r="Y21" s="849"/>
      <c r="Z21" s="849"/>
      <c r="AA21" s="849"/>
      <c r="AB21" s="849"/>
      <c r="AC21" s="849"/>
      <c r="AD21" s="849"/>
      <c r="AE21" s="849"/>
      <c r="AF21" s="580"/>
      <c r="AG21" s="580" t="s">
        <v>27</v>
      </c>
      <c r="AH21" s="580">
        <v>1</v>
      </c>
      <c r="AI21" s="849">
        <f>IF('UW Model'!M65&gt;0,1,0)</f>
        <v>0</v>
      </c>
      <c r="AJ21" s="849">
        <f t="shared" si="2"/>
        <v>0</v>
      </c>
      <c r="AK21" s="849"/>
      <c r="AL21" s="849"/>
      <c r="AM21" s="849"/>
      <c r="AN21" s="849"/>
      <c r="AO21" s="849"/>
      <c r="AP21" s="849"/>
      <c r="AQ21" s="849"/>
      <c r="AR21" s="849"/>
      <c r="AS21" s="849"/>
      <c r="AT21" s="849"/>
      <c r="AU21" s="849"/>
      <c r="AV21" s="849"/>
      <c r="AW21" s="849"/>
      <c r="AX21" s="849"/>
      <c r="AY21" s="849"/>
      <c r="AZ21" s="849"/>
      <c r="BA21" s="854"/>
      <c r="BB21" s="854"/>
      <c r="BC21" s="854"/>
      <c r="BD21" s="854"/>
      <c r="BE21" s="854"/>
      <c r="BF21" s="854"/>
      <c r="BG21" s="854"/>
      <c r="BH21" s="854"/>
      <c r="BI21" s="854"/>
    </row>
    <row r="22" spans="1:61" ht="13" x14ac:dyDescent="0.3">
      <c r="A22" s="855">
        <f t="shared" si="0"/>
        <v>0</v>
      </c>
      <c r="B22" s="855"/>
      <c r="C22" s="856" t="s">
        <v>319</v>
      </c>
      <c r="D22" s="867" t="s">
        <v>291</v>
      </c>
      <c r="E22" s="864" t="s">
        <v>251</v>
      </c>
      <c r="F22" s="889" t="str">
        <f t="shared" si="1"/>
        <v>⬜ Payroll</v>
      </c>
      <c r="G22" s="849"/>
      <c r="H22" s="849"/>
      <c r="I22" s="849"/>
      <c r="J22" s="849"/>
      <c r="K22" s="849"/>
      <c r="L22" s="849"/>
      <c r="M22" s="849"/>
      <c r="N22" s="849"/>
      <c r="O22" s="849"/>
      <c r="P22" s="849"/>
      <c r="Q22" s="849"/>
      <c r="R22" s="849"/>
      <c r="S22" s="849"/>
      <c r="T22" s="849"/>
      <c r="U22" s="849"/>
      <c r="V22" s="849"/>
      <c r="W22" s="849"/>
      <c r="X22" s="849"/>
      <c r="Y22" s="849"/>
      <c r="Z22" s="849"/>
      <c r="AA22" s="849"/>
      <c r="AB22" s="849"/>
      <c r="AC22" s="849"/>
      <c r="AD22" s="849"/>
      <c r="AE22" s="849"/>
      <c r="AF22" s="580" t="s">
        <v>291</v>
      </c>
      <c r="AG22" s="580" t="s">
        <v>44</v>
      </c>
      <c r="AH22" s="580">
        <v>1</v>
      </c>
      <c r="AI22" s="849">
        <f>IF('UW Model'!M78&gt;1,1,0)</f>
        <v>0</v>
      </c>
      <c r="AJ22" s="849">
        <f t="shared" si="2"/>
        <v>0</v>
      </c>
      <c r="AK22" s="849">
        <f>IF(SUM(AJ22:AJ31)=10,1,0)</f>
        <v>0</v>
      </c>
      <c r="AL22" s="849"/>
      <c r="AM22" s="849"/>
      <c r="AN22" s="849"/>
      <c r="AO22" s="849"/>
      <c r="AP22" s="849"/>
      <c r="AQ22" s="849"/>
      <c r="AR22" s="849"/>
      <c r="AS22" s="849"/>
      <c r="AT22" s="849"/>
      <c r="AU22" s="849"/>
      <c r="AV22" s="849"/>
      <c r="AW22" s="849"/>
      <c r="AX22" s="849"/>
      <c r="AY22" s="849"/>
      <c r="AZ22" s="849"/>
      <c r="BA22" s="854"/>
      <c r="BB22" s="854"/>
      <c r="BC22" s="854"/>
      <c r="BD22" s="854"/>
      <c r="BE22" s="854"/>
      <c r="BF22" s="854"/>
      <c r="BG22" s="854"/>
      <c r="BH22" s="854"/>
      <c r="BI22" s="854"/>
    </row>
    <row r="23" spans="1:61" ht="13" x14ac:dyDescent="0.35">
      <c r="A23" s="855">
        <f t="shared" si="0"/>
        <v>0</v>
      </c>
      <c r="B23" s="855"/>
      <c r="C23" s="898"/>
      <c r="D23" s="893"/>
      <c r="E23" s="862"/>
      <c r="F23" s="891" t="str">
        <f t="shared" si="1"/>
        <v>⬜ Advertising &amp; Marketing</v>
      </c>
      <c r="G23" s="849"/>
      <c r="H23" s="849"/>
      <c r="I23" s="849"/>
      <c r="J23" s="849"/>
      <c r="K23" s="849"/>
      <c r="L23" s="849"/>
      <c r="M23" s="849"/>
      <c r="N23" s="849"/>
      <c r="O23" s="849"/>
      <c r="P23" s="849"/>
      <c r="Q23" s="849"/>
      <c r="R23" s="849"/>
      <c r="S23" s="849"/>
      <c r="T23" s="849"/>
      <c r="U23" s="849"/>
      <c r="V23" s="849"/>
      <c r="W23" s="849"/>
      <c r="X23" s="849"/>
      <c r="Y23" s="849"/>
      <c r="Z23" s="849"/>
      <c r="AA23" s="849"/>
      <c r="AB23" s="849"/>
      <c r="AC23" s="849"/>
      <c r="AD23" s="849"/>
      <c r="AE23" s="849"/>
      <c r="AF23" s="580"/>
      <c r="AG23" s="580" t="s">
        <v>45</v>
      </c>
      <c r="AH23" s="580">
        <v>1</v>
      </c>
      <c r="AI23" s="849">
        <f>IF('UW Model'!M79&gt;1,1,0)</f>
        <v>0</v>
      </c>
      <c r="AJ23" s="849">
        <f t="shared" si="2"/>
        <v>0</v>
      </c>
      <c r="AK23" s="849"/>
      <c r="AL23" s="849"/>
      <c r="AM23" s="849"/>
      <c r="AN23" s="849"/>
      <c r="AO23" s="849"/>
      <c r="AP23" s="849"/>
      <c r="AQ23" s="849"/>
      <c r="AR23" s="849"/>
      <c r="AS23" s="849"/>
      <c r="AT23" s="849"/>
      <c r="AU23" s="849"/>
      <c r="AV23" s="849"/>
      <c r="AW23" s="849"/>
      <c r="AX23" s="849"/>
      <c r="AY23" s="849"/>
      <c r="AZ23" s="849"/>
      <c r="BA23" s="854"/>
      <c r="BB23" s="854"/>
      <c r="BC23" s="854"/>
      <c r="BD23" s="854"/>
      <c r="BE23" s="854"/>
      <c r="BF23" s="854"/>
      <c r="BG23" s="854"/>
      <c r="BH23" s="854"/>
      <c r="BI23" s="854"/>
    </row>
    <row r="24" spans="1:61" ht="13" x14ac:dyDescent="0.3">
      <c r="A24" s="855">
        <f t="shared" si="0"/>
        <v>0</v>
      </c>
      <c r="B24" s="855"/>
      <c r="C24" s="898"/>
      <c r="D24" s="893"/>
      <c r="E24" s="862"/>
      <c r="F24" s="891" t="str">
        <f t="shared" si="1"/>
        <v>⬜ General &amp; Administrative</v>
      </c>
      <c r="G24" s="849"/>
      <c r="H24" s="849"/>
      <c r="I24" s="849"/>
      <c r="J24" s="849"/>
      <c r="K24" s="849"/>
      <c r="L24" s="849"/>
      <c r="M24" s="849"/>
      <c r="N24" s="849"/>
      <c r="O24" s="849"/>
      <c r="P24" s="849"/>
      <c r="Q24" s="849"/>
      <c r="R24" s="849"/>
      <c r="S24" s="849"/>
      <c r="T24" s="849"/>
      <c r="U24" s="849"/>
      <c r="V24" s="849"/>
      <c r="W24" s="849"/>
      <c r="X24" s="849"/>
      <c r="Y24" s="849"/>
      <c r="Z24" s="849"/>
      <c r="AA24" s="849"/>
      <c r="AB24" s="849"/>
      <c r="AC24" s="849"/>
      <c r="AD24" s="849"/>
      <c r="AE24" s="849"/>
      <c r="AF24" s="580"/>
      <c r="AG24" s="580" t="s">
        <v>46</v>
      </c>
      <c r="AH24" s="580">
        <v>1</v>
      </c>
      <c r="AI24" s="849">
        <f>IF('UW Model'!M80&gt;1,1,0)</f>
        <v>0</v>
      </c>
      <c r="AJ24" s="849">
        <f t="shared" si="2"/>
        <v>0</v>
      </c>
      <c r="AK24" s="849"/>
      <c r="AL24" s="7" t="s">
        <v>324</v>
      </c>
      <c r="AM24" s="7"/>
      <c r="AN24" s="7"/>
      <c r="AO24" s="7"/>
      <c r="AP24" s="7"/>
      <c r="AQ24" s="849"/>
      <c r="AR24" s="849"/>
      <c r="AS24" s="849"/>
      <c r="AT24" s="849"/>
      <c r="AU24" s="849"/>
      <c r="AV24" s="849"/>
      <c r="AW24" s="849"/>
      <c r="AX24" s="849"/>
      <c r="AY24" s="849"/>
      <c r="AZ24" s="849"/>
      <c r="BA24" s="854"/>
      <c r="BB24" s="854"/>
      <c r="BC24" s="854"/>
      <c r="BD24" s="854"/>
      <c r="BE24" s="854"/>
      <c r="BF24" s="854"/>
      <c r="BG24" s="854"/>
      <c r="BH24" s="854"/>
      <c r="BI24" s="854"/>
    </row>
    <row r="25" spans="1:61" ht="13" x14ac:dyDescent="0.3">
      <c r="A25" s="855">
        <f t="shared" si="0"/>
        <v>0</v>
      </c>
      <c r="B25" s="855"/>
      <c r="C25" s="898"/>
      <c r="D25" s="893"/>
      <c r="E25" s="862"/>
      <c r="F25" s="891" t="str">
        <f t="shared" si="1"/>
        <v>⬜ Utilities</v>
      </c>
      <c r="G25" s="849"/>
      <c r="H25" s="849"/>
      <c r="I25" s="849"/>
      <c r="J25" s="849"/>
      <c r="K25" s="849"/>
      <c r="L25" s="849"/>
      <c r="M25" s="849"/>
      <c r="N25" s="849"/>
      <c r="O25" s="849"/>
      <c r="P25" s="849"/>
      <c r="Q25" s="849"/>
      <c r="R25" s="849"/>
      <c r="S25" s="849"/>
      <c r="T25" s="849"/>
      <c r="U25" s="849"/>
      <c r="V25" s="849"/>
      <c r="W25" s="849"/>
      <c r="X25" s="849"/>
      <c r="Y25" s="849"/>
      <c r="Z25" s="849"/>
      <c r="AA25" s="849"/>
      <c r="AB25" s="849"/>
      <c r="AC25" s="849"/>
      <c r="AD25" s="849"/>
      <c r="AE25" s="849"/>
      <c r="AF25" s="580"/>
      <c r="AG25" s="580" t="s">
        <v>47</v>
      </c>
      <c r="AH25" s="580">
        <v>1</v>
      </c>
      <c r="AI25" s="849">
        <f>IF('UW Model'!M81&gt;1,1,0)</f>
        <v>0</v>
      </c>
      <c r="AJ25" s="849">
        <f t="shared" si="2"/>
        <v>0</v>
      </c>
      <c r="AK25" s="849"/>
      <c r="AN25" s="7" t="s">
        <v>327</v>
      </c>
      <c r="AO25" s="7"/>
      <c r="AP25" s="7" t="e">
        <f>IF(AND(#REF!&gt;0,#REF!&gt;0),TRUE,FALSE)</f>
        <v>#REF!</v>
      </c>
      <c r="AQ25" s="849"/>
      <c r="AR25" s="849"/>
      <c r="AS25" s="849"/>
      <c r="AT25" s="849"/>
      <c r="AU25" s="849"/>
      <c r="AV25" s="849"/>
      <c r="AW25" s="849"/>
      <c r="AX25" s="849"/>
      <c r="AY25" s="849"/>
      <c r="AZ25" s="849"/>
      <c r="BA25" s="854"/>
      <c r="BB25" s="854"/>
      <c r="BC25" s="854"/>
      <c r="BD25" s="854"/>
      <c r="BE25" s="854"/>
      <c r="BF25" s="854"/>
      <c r="BG25" s="854"/>
      <c r="BH25" s="854"/>
      <c r="BI25" s="854"/>
    </row>
    <row r="26" spans="1:61" ht="13" x14ac:dyDescent="0.3">
      <c r="A26" s="855">
        <f t="shared" si="0"/>
        <v>0</v>
      </c>
      <c r="B26" s="855"/>
      <c r="C26" s="898"/>
      <c r="D26" s="893"/>
      <c r="E26" s="862"/>
      <c r="F26" s="891" t="str">
        <f t="shared" si="1"/>
        <v>⬜ Repairs &amp; Maintenance</v>
      </c>
      <c r="G26" s="849"/>
      <c r="H26" s="849"/>
      <c r="I26" s="849"/>
      <c r="J26" s="849"/>
      <c r="K26" s="849"/>
      <c r="L26" s="849"/>
      <c r="M26" s="849"/>
      <c r="N26" s="849"/>
      <c r="O26" s="849"/>
      <c r="P26" s="849"/>
      <c r="Q26" s="849"/>
      <c r="R26" s="849"/>
      <c r="S26" s="849"/>
      <c r="T26" s="849"/>
      <c r="U26" s="849"/>
      <c r="V26" s="849"/>
      <c r="W26" s="849"/>
      <c r="X26" s="849"/>
      <c r="Y26" s="849"/>
      <c r="Z26" s="849"/>
      <c r="AA26" s="849"/>
      <c r="AB26" s="849"/>
      <c r="AC26" s="849"/>
      <c r="AD26" s="849"/>
      <c r="AE26" s="849"/>
      <c r="AF26" s="580"/>
      <c r="AG26" s="580" t="s">
        <v>48</v>
      </c>
      <c r="AH26" s="580">
        <v>1</v>
      </c>
      <c r="AI26" s="849">
        <f>IF('UW Model'!M82&gt;1,1,0)</f>
        <v>0</v>
      </c>
      <c r="AJ26" s="849">
        <f t="shared" si="2"/>
        <v>0</v>
      </c>
      <c r="AK26" s="849"/>
      <c r="AL26" s="7"/>
      <c r="AM26" s="7"/>
      <c r="AN26" s="7"/>
      <c r="AO26" s="7"/>
      <c r="AP26" s="7"/>
      <c r="AQ26" s="849"/>
      <c r="AR26" s="849"/>
      <c r="AS26" s="849"/>
      <c r="AT26" s="849"/>
      <c r="AU26" s="849"/>
      <c r="AV26" s="849"/>
      <c r="AW26" s="849"/>
      <c r="AX26" s="849"/>
      <c r="AY26" s="849"/>
      <c r="AZ26" s="849"/>
      <c r="BA26" s="854"/>
      <c r="BB26" s="854"/>
      <c r="BC26" s="854"/>
      <c r="BD26" s="854"/>
      <c r="BE26" s="854"/>
      <c r="BF26" s="854"/>
      <c r="BG26" s="854"/>
      <c r="BH26" s="854"/>
      <c r="BI26" s="854"/>
    </row>
    <row r="27" spans="1:61" ht="13" x14ac:dyDescent="0.3">
      <c r="A27" s="855">
        <f t="shared" si="0"/>
        <v>0</v>
      </c>
      <c r="B27" s="855"/>
      <c r="C27" s="898"/>
      <c r="D27" s="893"/>
      <c r="E27" s="862"/>
      <c r="F27" s="891" t="str">
        <f t="shared" si="1"/>
        <v>⬜ Contract Services</v>
      </c>
      <c r="G27" s="849"/>
      <c r="H27" s="849"/>
      <c r="I27" s="849"/>
      <c r="J27" s="849"/>
      <c r="K27" s="849"/>
      <c r="L27" s="849"/>
      <c r="M27" s="849"/>
      <c r="N27" s="849"/>
      <c r="O27" s="849"/>
      <c r="P27" s="849"/>
      <c r="Q27" s="849"/>
      <c r="R27" s="849"/>
      <c r="S27" s="849"/>
      <c r="T27" s="849"/>
      <c r="U27" s="849"/>
      <c r="V27" s="849"/>
      <c r="W27" s="849"/>
      <c r="X27" s="849"/>
      <c r="Y27" s="849"/>
      <c r="Z27" s="849"/>
      <c r="AA27" s="849"/>
      <c r="AB27" s="849"/>
      <c r="AC27" s="849"/>
      <c r="AD27" s="849"/>
      <c r="AE27" s="849"/>
      <c r="AF27" s="580"/>
      <c r="AG27" s="580" t="s">
        <v>49</v>
      </c>
      <c r="AH27" s="580">
        <v>1</v>
      </c>
      <c r="AI27" s="849">
        <f>IF('UW Model'!M83&gt;1,1,0)</f>
        <v>0</v>
      </c>
      <c r="AJ27" s="849">
        <f t="shared" si="2"/>
        <v>0</v>
      </c>
      <c r="AK27" s="849"/>
      <c r="AL27" s="7"/>
      <c r="AM27" s="7"/>
      <c r="AN27" s="7"/>
      <c r="AO27" s="7"/>
      <c r="AP27" s="7"/>
      <c r="AQ27" s="849"/>
      <c r="AR27" s="849"/>
      <c r="AS27" s="849"/>
      <c r="AT27" s="849"/>
      <c r="AU27" s="849"/>
      <c r="AV27" s="849"/>
      <c r="AW27" s="849"/>
      <c r="AX27" s="849"/>
      <c r="AY27" s="849"/>
      <c r="AZ27" s="849"/>
      <c r="BA27" s="854"/>
      <c r="BB27" s="854"/>
      <c r="BC27" s="854"/>
      <c r="BD27" s="854"/>
      <c r="BE27" s="854"/>
      <c r="BF27" s="854"/>
      <c r="BG27" s="854"/>
      <c r="BH27" s="854"/>
      <c r="BI27" s="854"/>
    </row>
    <row r="28" spans="1:61" ht="13" x14ac:dyDescent="0.3">
      <c r="A28" s="855">
        <f t="shared" si="0"/>
        <v>0</v>
      </c>
      <c r="B28" s="855"/>
      <c r="C28" s="898"/>
      <c r="D28" s="893"/>
      <c r="E28" s="862"/>
      <c r="F28" s="891" t="str">
        <f t="shared" si="1"/>
        <v>⬜ Management Fee</v>
      </c>
      <c r="G28" s="849"/>
      <c r="H28" s="849"/>
      <c r="I28" s="849"/>
      <c r="J28" s="849"/>
      <c r="K28" s="849"/>
      <c r="L28" s="849"/>
      <c r="M28" s="849"/>
      <c r="N28" s="849"/>
      <c r="O28" s="849"/>
      <c r="P28" s="849"/>
      <c r="Q28" s="849"/>
      <c r="R28" s="849"/>
      <c r="S28" s="849"/>
      <c r="T28" s="849"/>
      <c r="U28" s="849"/>
      <c r="V28" s="849"/>
      <c r="W28" s="849"/>
      <c r="X28" s="849"/>
      <c r="Y28" s="849"/>
      <c r="Z28" s="849"/>
      <c r="AA28" s="849"/>
      <c r="AB28" s="849"/>
      <c r="AC28" s="849"/>
      <c r="AD28" s="849"/>
      <c r="AE28" s="849"/>
      <c r="AF28" s="580"/>
      <c r="AG28" s="580" t="s">
        <v>50</v>
      </c>
      <c r="AH28" s="580">
        <v>1</v>
      </c>
      <c r="AI28" s="849">
        <f>IF('UW Model'!M84&gt;1,1,0)</f>
        <v>0</v>
      </c>
      <c r="AJ28" s="849">
        <f t="shared" si="2"/>
        <v>0</v>
      </c>
      <c r="AK28" s="849"/>
      <c r="AL28" s="7"/>
      <c r="AM28" s="7"/>
      <c r="AN28" s="7"/>
      <c r="AO28" s="7"/>
      <c r="AP28" s="7"/>
      <c r="AQ28" s="849"/>
      <c r="AR28" s="849"/>
      <c r="AS28" s="849"/>
      <c r="AT28" s="849"/>
      <c r="AU28" s="849"/>
      <c r="AV28" s="849"/>
      <c r="AW28" s="849"/>
      <c r="AX28" s="849"/>
      <c r="AY28" s="849"/>
      <c r="AZ28" s="849"/>
      <c r="BA28" s="854"/>
      <c r="BB28" s="854"/>
      <c r="BC28" s="854"/>
      <c r="BD28" s="854"/>
      <c r="BE28" s="854"/>
      <c r="BF28" s="854"/>
      <c r="BG28" s="854"/>
      <c r="BH28" s="854"/>
      <c r="BI28" s="854"/>
    </row>
    <row r="29" spans="1:61" ht="13" x14ac:dyDescent="0.3">
      <c r="A29" s="855">
        <f t="shared" si="0"/>
        <v>0</v>
      </c>
      <c r="B29" s="855"/>
      <c r="C29" s="898"/>
      <c r="D29" s="893"/>
      <c r="E29" s="862"/>
      <c r="F29" s="891" t="str">
        <f t="shared" si="1"/>
        <v>⬜ Make Ready</v>
      </c>
      <c r="G29" s="849"/>
      <c r="H29" s="849"/>
      <c r="I29" s="849"/>
      <c r="J29" s="849"/>
      <c r="K29" s="849"/>
      <c r="L29" s="849"/>
      <c r="M29" s="849"/>
      <c r="N29" s="849"/>
      <c r="O29" s="849"/>
      <c r="P29" s="849"/>
      <c r="Q29" s="849"/>
      <c r="R29" s="849"/>
      <c r="S29" s="849"/>
      <c r="T29" s="849"/>
      <c r="U29" s="849"/>
      <c r="V29" s="849"/>
      <c r="W29" s="849"/>
      <c r="X29" s="849"/>
      <c r="Y29" s="849"/>
      <c r="Z29" s="849"/>
      <c r="AA29" s="849"/>
      <c r="AB29" s="849"/>
      <c r="AC29" s="849"/>
      <c r="AD29" s="849"/>
      <c r="AE29" s="849"/>
      <c r="AF29" s="580"/>
      <c r="AG29" s="580" t="s">
        <v>51</v>
      </c>
      <c r="AH29" s="580">
        <v>1</v>
      </c>
      <c r="AI29" s="849">
        <f>IF('UW Model'!M85&gt;1,1,0)</f>
        <v>0</v>
      </c>
      <c r="AJ29" s="849">
        <f t="shared" si="2"/>
        <v>0</v>
      </c>
      <c r="AK29" s="849"/>
      <c r="AL29" s="7"/>
      <c r="AM29" s="7"/>
      <c r="AN29" s="7"/>
      <c r="AO29" s="7"/>
      <c r="AP29" s="865"/>
      <c r="AQ29" s="849"/>
      <c r="AR29" s="849"/>
      <c r="AS29" s="849"/>
      <c r="AT29" s="849"/>
      <c r="AU29" s="849"/>
      <c r="AV29" s="849"/>
      <c r="AW29" s="849"/>
      <c r="AX29" s="849"/>
      <c r="AY29" s="849"/>
      <c r="AZ29" s="849"/>
      <c r="BA29" s="854"/>
      <c r="BB29" s="854"/>
      <c r="BC29" s="854"/>
      <c r="BD29" s="854"/>
      <c r="BE29" s="854"/>
      <c r="BF29" s="854"/>
      <c r="BG29" s="854"/>
      <c r="BH29" s="854"/>
      <c r="BI29" s="854"/>
    </row>
    <row r="30" spans="1:61" ht="13" x14ac:dyDescent="0.3">
      <c r="A30" s="855">
        <f t="shared" si="0"/>
        <v>0</v>
      </c>
      <c r="B30" s="855"/>
      <c r="C30" s="898"/>
      <c r="D30" s="893"/>
      <c r="E30" s="862"/>
      <c r="F30" s="891" t="str">
        <f t="shared" si="1"/>
        <v>⬜ Taxes</v>
      </c>
      <c r="G30" s="849"/>
      <c r="H30" s="849"/>
      <c r="I30" s="849"/>
      <c r="J30" s="849"/>
      <c r="K30" s="849"/>
      <c r="L30" s="849"/>
      <c r="M30" s="849"/>
      <c r="N30" s="849"/>
      <c r="O30" s="849"/>
      <c r="P30" s="849"/>
      <c r="Q30" s="849"/>
      <c r="R30" s="849"/>
      <c r="S30" s="849"/>
      <c r="T30" s="849"/>
      <c r="U30" s="849"/>
      <c r="V30" s="849"/>
      <c r="W30" s="849"/>
      <c r="X30" s="849"/>
      <c r="Y30" s="849"/>
      <c r="Z30" s="849"/>
      <c r="AA30" s="849"/>
      <c r="AB30" s="849"/>
      <c r="AC30" s="849"/>
      <c r="AD30" s="849"/>
      <c r="AE30" s="849"/>
      <c r="AF30" s="580"/>
      <c r="AG30" s="580" t="s">
        <v>28</v>
      </c>
      <c r="AH30" s="580">
        <v>1</v>
      </c>
      <c r="AI30" s="849">
        <f>IF('UW Model'!M86&gt;1,1,0)</f>
        <v>0</v>
      </c>
      <c r="AJ30" s="849">
        <f t="shared" si="2"/>
        <v>0</v>
      </c>
      <c r="AK30" s="849"/>
      <c r="AL30" s="7"/>
      <c r="AM30" s="7"/>
      <c r="AN30" s="7"/>
      <c r="AO30" s="7"/>
      <c r="AP30" s="865"/>
      <c r="AQ30" s="849"/>
      <c r="AR30" s="849"/>
      <c r="AS30" s="849"/>
      <c r="AT30" s="849"/>
      <c r="AU30" s="849"/>
      <c r="AV30" s="849"/>
      <c r="AW30" s="849"/>
      <c r="AX30" s="849"/>
      <c r="AY30" s="849"/>
      <c r="AZ30" s="849"/>
      <c r="BA30" s="854"/>
      <c r="BB30" s="854"/>
      <c r="BC30" s="854"/>
      <c r="BD30" s="854"/>
      <c r="BE30" s="854"/>
      <c r="BF30" s="854"/>
      <c r="BG30" s="854"/>
      <c r="BH30" s="854"/>
      <c r="BI30" s="854"/>
    </row>
    <row r="31" spans="1:61" ht="13.5" thickBot="1" x14ac:dyDescent="0.35">
      <c r="A31" s="855">
        <f t="shared" si="0"/>
        <v>0</v>
      </c>
      <c r="B31" s="855"/>
      <c r="C31" s="899"/>
      <c r="D31" s="861"/>
      <c r="E31" s="863"/>
      <c r="F31" s="892" t="str">
        <f t="shared" si="1"/>
        <v>⬜ Insurance</v>
      </c>
      <c r="G31" s="849"/>
      <c r="H31" s="849"/>
      <c r="I31" s="849"/>
      <c r="J31" s="849"/>
      <c r="K31" s="849"/>
      <c r="L31" s="849"/>
      <c r="M31" s="849"/>
      <c r="N31" s="849"/>
      <c r="O31" s="849"/>
      <c r="P31" s="849"/>
      <c r="Q31" s="849"/>
      <c r="R31" s="849"/>
      <c r="S31" s="849"/>
      <c r="T31" s="849"/>
      <c r="U31" s="849"/>
      <c r="V31" s="849"/>
      <c r="W31" s="849"/>
      <c r="X31" s="849"/>
      <c r="Y31" s="849"/>
      <c r="Z31" s="849"/>
      <c r="AA31" s="849"/>
      <c r="AB31" s="849"/>
      <c r="AC31" s="849"/>
      <c r="AD31" s="849"/>
      <c r="AE31" s="849"/>
      <c r="AF31" s="580"/>
      <c r="AG31" s="580" t="s">
        <v>52</v>
      </c>
      <c r="AH31" s="580">
        <v>1</v>
      </c>
      <c r="AI31" s="849">
        <f>IF('UW Model'!M87&gt;1,1,0)</f>
        <v>0</v>
      </c>
      <c r="AJ31" s="849">
        <f t="shared" si="2"/>
        <v>0</v>
      </c>
      <c r="AK31" s="849"/>
      <c r="AL31" s="7"/>
      <c r="AM31" s="7"/>
      <c r="AN31" s="7"/>
      <c r="AO31" s="7"/>
      <c r="AP31" s="865"/>
      <c r="AQ31" s="849"/>
      <c r="AR31" s="849"/>
      <c r="AS31" s="849"/>
      <c r="AT31" s="849"/>
      <c r="AU31" s="849"/>
      <c r="AV31" s="849"/>
      <c r="AW31" s="849"/>
      <c r="AX31" s="849"/>
      <c r="AY31" s="849"/>
      <c r="AZ31" s="849"/>
      <c r="BA31" s="854"/>
      <c r="BB31" s="854"/>
      <c r="BC31" s="854"/>
      <c r="BD31" s="854"/>
      <c r="BE31" s="854"/>
      <c r="BF31" s="854"/>
      <c r="BG31" s="854"/>
      <c r="BH31" s="854"/>
      <c r="BI31" s="854"/>
    </row>
    <row r="32" spans="1:61" ht="13" x14ac:dyDescent="0.3">
      <c r="A32" s="855">
        <f t="shared" si="0"/>
        <v>1</v>
      </c>
      <c r="B32" s="855"/>
      <c r="C32" s="856" t="s">
        <v>323</v>
      </c>
      <c r="D32" s="867" t="s">
        <v>325</v>
      </c>
      <c r="E32" s="857" t="s">
        <v>251</v>
      </c>
      <c r="F32" s="889" t="str">
        <f t="shared" si="1"/>
        <v>✅ Rent</v>
      </c>
      <c r="G32" s="849"/>
      <c r="H32" s="849"/>
      <c r="I32" s="849"/>
      <c r="J32" s="849"/>
      <c r="K32" s="849"/>
      <c r="L32" s="849"/>
      <c r="M32" s="849"/>
      <c r="N32" s="849"/>
      <c r="O32" s="849"/>
      <c r="P32" s="849"/>
      <c r="Q32" s="849"/>
      <c r="R32" s="849"/>
      <c r="S32" s="849"/>
      <c r="T32" s="849"/>
      <c r="U32" s="849"/>
      <c r="V32" s="849"/>
      <c r="W32" s="849"/>
      <c r="X32" s="849"/>
      <c r="Y32" s="849"/>
      <c r="Z32" s="849"/>
      <c r="AA32" s="849"/>
      <c r="AB32" s="849"/>
      <c r="AC32" s="849"/>
      <c r="AD32" s="849"/>
      <c r="AE32" s="849"/>
      <c r="AF32" s="580" t="s">
        <v>326</v>
      </c>
      <c r="AG32" s="580" t="s">
        <v>30</v>
      </c>
      <c r="AH32" s="580">
        <v>1</v>
      </c>
      <c r="AI32" s="849">
        <f>IF(SUM('UW Model'!M104:Q104)&gt;0,1,0)</f>
        <v>1</v>
      </c>
      <c r="AJ32" s="849">
        <f t="shared" si="2"/>
        <v>1</v>
      </c>
      <c r="AK32" s="849">
        <f>IF(SUM(AJ32:AJ37)=6,1,0)</f>
        <v>1</v>
      </c>
      <c r="AQ32" s="849"/>
      <c r="AR32" s="849"/>
      <c r="AS32" s="849"/>
      <c r="AT32" s="849"/>
      <c r="AU32" s="849"/>
      <c r="AV32" s="849"/>
      <c r="AW32" s="849"/>
      <c r="AX32" s="849"/>
      <c r="AY32" s="849"/>
      <c r="AZ32" s="849"/>
      <c r="BA32" s="854"/>
      <c r="BB32" s="854"/>
      <c r="BC32" s="854"/>
      <c r="BD32" s="854"/>
      <c r="BE32" s="854"/>
      <c r="BF32" s="854"/>
      <c r="BG32" s="854"/>
      <c r="BH32" s="854"/>
      <c r="BI32" s="854"/>
    </row>
    <row r="33" spans="1:61" ht="13" x14ac:dyDescent="0.35">
      <c r="A33" s="855">
        <f t="shared" si="0"/>
        <v>1</v>
      </c>
      <c r="B33" s="855"/>
      <c r="C33" s="898"/>
      <c r="D33" s="893"/>
      <c r="E33" s="862"/>
      <c r="F33" s="891" t="str">
        <f t="shared" si="1"/>
        <v xml:space="preserve">✅ Other Income </v>
      </c>
      <c r="G33" s="849"/>
      <c r="H33" s="849"/>
      <c r="I33" s="849"/>
      <c r="J33" s="849"/>
      <c r="K33" s="849"/>
      <c r="L33" s="849"/>
      <c r="M33" s="849"/>
      <c r="N33" s="849"/>
      <c r="O33" s="849"/>
      <c r="P33" s="849"/>
      <c r="Q33" s="849"/>
      <c r="R33" s="849"/>
      <c r="S33" s="849"/>
      <c r="T33" s="849"/>
      <c r="U33" s="849"/>
      <c r="V33" s="849"/>
      <c r="W33" s="849"/>
      <c r="X33" s="849"/>
      <c r="Y33" s="849"/>
      <c r="Z33" s="849"/>
      <c r="AA33" s="849"/>
      <c r="AB33" s="849"/>
      <c r="AC33" s="849"/>
      <c r="AD33" s="849"/>
      <c r="AE33" s="849"/>
      <c r="AF33" s="580"/>
      <c r="AG33" s="580" t="s">
        <v>328</v>
      </c>
      <c r="AH33" s="580">
        <v>1</v>
      </c>
      <c r="AI33" s="849">
        <f>IF(SUM('UW Model'!N112:Q112)&gt;0,1,0)</f>
        <v>1</v>
      </c>
      <c r="AJ33" s="849">
        <f t="shared" si="2"/>
        <v>1</v>
      </c>
      <c r="AK33" s="849"/>
      <c r="AQ33" s="849"/>
      <c r="AR33" s="849"/>
      <c r="AS33" s="849"/>
      <c r="AT33" s="849"/>
      <c r="AU33" s="849"/>
      <c r="AV33" s="849"/>
      <c r="AW33" s="849"/>
      <c r="AX33" s="849"/>
      <c r="AY33" s="849"/>
      <c r="AZ33" s="849"/>
      <c r="BA33" s="854"/>
      <c r="BB33" s="854"/>
      <c r="BC33" s="854"/>
      <c r="BD33" s="854"/>
      <c r="BE33" s="854"/>
      <c r="BF33" s="854"/>
      <c r="BG33" s="854"/>
      <c r="BH33" s="854"/>
      <c r="BI33" s="854"/>
    </row>
    <row r="34" spans="1:61" ht="13" x14ac:dyDescent="0.3">
      <c r="A34" s="855">
        <f t="shared" si="0"/>
        <v>1</v>
      </c>
      <c r="B34" s="855"/>
      <c r="C34" s="898"/>
      <c r="D34" s="893"/>
      <c r="E34" s="862"/>
      <c r="F34" s="891" t="str">
        <f t="shared" si="1"/>
        <v>✅ Vacancy</v>
      </c>
      <c r="G34" s="849"/>
      <c r="H34" s="849"/>
      <c r="I34" s="849"/>
      <c r="J34" s="849"/>
      <c r="K34" s="849"/>
      <c r="L34" s="849"/>
      <c r="M34" s="849"/>
      <c r="N34" s="849"/>
      <c r="O34" s="849"/>
      <c r="P34" s="849"/>
      <c r="Q34" s="849"/>
      <c r="R34" s="849"/>
      <c r="S34" s="849"/>
      <c r="T34" s="849"/>
      <c r="U34" s="849"/>
      <c r="V34" s="849"/>
      <c r="W34" s="849"/>
      <c r="X34" s="849"/>
      <c r="Y34" s="849"/>
      <c r="Z34" s="849"/>
      <c r="AA34" s="849"/>
      <c r="AB34" s="849"/>
      <c r="AC34" s="849"/>
      <c r="AD34" s="849"/>
      <c r="AE34" s="849"/>
      <c r="AF34" s="580"/>
      <c r="AG34" s="580" t="s">
        <v>329</v>
      </c>
      <c r="AH34" s="580">
        <v>1</v>
      </c>
      <c r="AI34" s="849">
        <f>IF(SUM('UW Model'!N107:Q107)&gt;0,1,0)</f>
        <v>1</v>
      </c>
      <c r="AJ34" s="849">
        <f t="shared" si="2"/>
        <v>1</v>
      </c>
      <c r="AK34" s="849"/>
      <c r="AL34" s="7"/>
      <c r="AM34" s="7"/>
      <c r="AN34" s="7"/>
      <c r="AO34" s="7"/>
      <c r="AP34" s="7"/>
      <c r="AQ34" s="849"/>
      <c r="AR34" s="849"/>
      <c r="AS34" s="849"/>
      <c r="AT34" s="849"/>
      <c r="AU34" s="849"/>
      <c r="AV34" s="849"/>
      <c r="AW34" s="849"/>
      <c r="AX34" s="849"/>
      <c r="AY34" s="849"/>
      <c r="AZ34" s="849"/>
      <c r="BA34" s="854"/>
      <c r="BB34" s="854"/>
      <c r="BC34" s="854"/>
      <c r="BD34" s="854"/>
      <c r="BE34" s="854"/>
      <c r="BF34" s="854"/>
      <c r="BG34" s="854"/>
      <c r="BH34" s="854"/>
      <c r="BI34" s="854"/>
    </row>
    <row r="35" spans="1:61" ht="14.5" x14ac:dyDescent="0.35">
      <c r="A35" s="855">
        <f t="shared" si="0"/>
        <v>1</v>
      </c>
      <c r="B35" s="855"/>
      <c r="C35" s="898"/>
      <c r="D35" s="893"/>
      <c r="E35" s="862"/>
      <c r="F35" s="891" t="str">
        <f t="shared" si="1"/>
        <v>✅ % GPR</v>
      </c>
      <c r="G35" s="849"/>
      <c r="H35" s="849"/>
      <c r="I35" s="849"/>
      <c r="J35" s="849"/>
      <c r="K35" s="849"/>
      <c r="L35" s="849"/>
      <c r="M35" s="849"/>
      <c r="N35" s="849"/>
      <c r="O35" s="849"/>
      <c r="P35" s="849"/>
      <c r="Q35" s="849"/>
      <c r="R35" s="849"/>
      <c r="S35" s="849"/>
      <c r="T35" s="849"/>
      <c r="U35" s="849"/>
      <c r="V35" s="849"/>
      <c r="W35" s="849"/>
      <c r="X35" s="849"/>
      <c r="Y35" s="849"/>
      <c r="Z35" s="849"/>
      <c r="AA35" s="849"/>
      <c r="AB35" s="849"/>
      <c r="AC35" s="849"/>
      <c r="AD35" s="849"/>
      <c r="AE35" s="849"/>
      <c r="AF35" s="580"/>
      <c r="AG35" s="580" t="s">
        <v>63</v>
      </c>
      <c r="AH35" s="580">
        <v>1</v>
      </c>
      <c r="AI35" s="849">
        <f>IF(SUM('UW Model'!N108:Q110)&gt;0,1,0)</f>
        <v>1</v>
      </c>
      <c r="AJ35" s="849">
        <f t="shared" si="2"/>
        <v>1</v>
      </c>
      <c r="AK35" s="849"/>
      <c r="AL35" s="300"/>
      <c r="AM35" s="300"/>
      <c r="AN35" s="300"/>
      <c r="AO35" s="300"/>
      <c r="AP35" s="300"/>
      <c r="AQ35" s="849"/>
      <c r="AR35" s="849"/>
      <c r="AS35" s="849"/>
      <c r="AT35" s="849"/>
      <c r="AU35" s="849"/>
      <c r="AV35" s="849"/>
      <c r="AW35" s="849"/>
      <c r="AX35" s="849"/>
      <c r="AY35" s="849"/>
      <c r="AZ35" s="849"/>
      <c r="BA35" s="854"/>
      <c r="BB35" s="854"/>
      <c r="BC35" s="854"/>
      <c r="BD35" s="854"/>
      <c r="BE35" s="854"/>
      <c r="BF35" s="854"/>
      <c r="BG35" s="854"/>
      <c r="BH35" s="854"/>
      <c r="BI35" s="854"/>
    </row>
    <row r="36" spans="1:61" ht="14.5" x14ac:dyDescent="0.35">
      <c r="A36" s="855">
        <f t="shared" si="0"/>
        <v>1</v>
      </c>
      <c r="B36" s="855"/>
      <c r="C36" s="898"/>
      <c r="D36" s="893"/>
      <c r="E36" s="862"/>
      <c r="F36" s="891" t="str">
        <f t="shared" si="1"/>
        <v>✅ Expense Growth</v>
      </c>
      <c r="G36" s="849"/>
      <c r="H36" s="849"/>
      <c r="I36" s="849"/>
      <c r="J36" s="849"/>
      <c r="K36" s="849"/>
      <c r="L36" s="849"/>
      <c r="M36" s="849"/>
      <c r="N36" s="849"/>
      <c r="O36" s="849"/>
      <c r="P36" s="849"/>
      <c r="Q36" s="849"/>
      <c r="R36" s="849"/>
      <c r="S36" s="849"/>
      <c r="T36" s="849"/>
      <c r="U36" s="849"/>
      <c r="V36" s="849"/>
      <c r="W36" s="849"/>
      <c r="X36" s="849"/>
      <c r="Y36" s="849"/>
      <c r="Z36" s="849"/>
      <c r="AA36" s="849"/>
      <c r="AB36" s="849"/>
      <c r="AC36" s="849"/>
      <c r="AD36" s="849"/>
      <c r="AE36" s="849"/>
      <c r="AF36" s="580"/>
      <c r="AG36" s="580" t="s">
        <v>330</v>
      </c>
      <c r="AH36" s="580">
        <v>1</v>
      </c>
      <c r="AI36" s="849">
        <f>IF(SUM('UW Model'!N113:Q113)&gt;0,1,0)</f>
        <v>1</v>
      </c>
      <c r="AJ36" s="849">
        <f t="shared" si="2"/>
        <v>1</v>
      </c>
      <c r="AK36" s="849"/>
      <c r="AL36" s="300"/>
      <c r="AM36" s="300"/>
      <c r="AN36" s="300"/>
      <c r="AO36" s="300"/>
      <c r="AP36" s="300"/>
      <c r="AQ36" s="849"/>
      <c r="AR36" s="849"/>
      <c r="AS36" s="849"/>
      <c r="AT36" s="849"/>
      <c r="AU36" s="849"/>
      <c r="AV36" s="849"/>
      <c r="AW36" s="849"/>
      <c r="AX36" s="849"/>
      <c r="AY36" s="849"/>
      <c r="AZ36" s="849"/>
      <c r="BA36" s="854"/>
      <c r="BB36" s="854"/>
      <c r="BC36" s="854"/>
      <c r="BD36" s="854"/>
      <c r="BE36" s="854"/>
      <c r="BF36" s="854"/>
      <c r="BG36" s="854"/>
      <c r="BH36" s="854"/>
      <c r="BI36" s="854"/>
    </row>
    <row r="37" spans="1:61" ht="15" thickBot="1" x14ac:dyDescent="0.4">
      <c r="A37" s="855">
        <f t="shared" si="0"/>
        <v>1</v>
      </c>
      <c r="B37" s="855"/>
      <c r="C37" s="899"/>
      <c r="D37" s="861"/>
      <c r="E37" s="863"/>
      <c r="F37" s="892" t="str">
        <f t="shared" si="1"/>
        <v>✅ Tax Growth</v>
      </c>
      <c r="G37" s="849"/>
      <c r="H37" s="849"/>
      <c r="I37" s="849"/>
      <c r="J37" s="849"/>
      <c r="K37" s="849"/>
      <c r="L37" s="849"/>
      <c r="M37" s="849"/>
      <c r="N37" s="849"/>
      <c r="O37" s="849"/>
      <c r="P37" s="849"/>
      <c r="Q37" s="849"/>
      <c r="R37" s="849"/>
      <c r="S37" s="849"/>
      <c r="T37" s="849"/>
      <c r="U37" s="849"/>
      <c r="V37" s="849"/>
      <c r="W37" s="849"/>
      <c r="X37" s="849"/>
      <c r="Y37" s="849"/>
      <c r="Z37" s="849"/>
      <c r="AA37" s="849"/>
      <c r="AB37" s="849"/>
      <c r="AC37" s="849"/>
      <c r="AD37" s="849"/>
      <c r="AE37" s="849"/>
      <c r="AF37" s="580"/>
      <c r="AG37" s="580" t="s">
        <v>331</v>
      </c>
      <c r="AH37" s="580">
        <v>1</v>
      </c>
      <c r="AI37" s="849">
        <f>IF(SUM('UW Model'!N114:Q114)&gt;0,1,0)</f>
        <v>1</v>
      </c>
      <c r="AJ37" s="849">
        <f t="shared" si="2"/>
        <v>1</v>
      </c>
      <c r="AK37" s="849"/>
      <c r="AL37" s="300"/>
      <c r="AM37" s="300"/>
      <c r="AN37" s="300"/>
      <c r="AO37" s="300"/>
      <c r="AP37" s="300"/>
      <c r="AQ37" s="849"/>
      <c r="AR37" s="849"/>
      <c r="AS37" s="849"/>
      <c r="AT37" s="849"/>
      <c r="AU37" s="849"/>
      <c r="AV37" s="849"/>
      <c r="AW37" s="849"/>
      <c r="AX37" s="849"/>
      <c r="AY37" s="849"/>
      <c r="AZ37" s="849"/>
      <c r="BA37" s="854"/>
      <c r="BB37" s="854"/>
      <c r="BC37" s="854"/>
      <c r="BD37" s="854"/>
      <c r="BE37" s="854"/>
      <c r="BF37" s="854"/>
      <c r="BG37" s="854"/>
      <c r="BH37" s="854"/>
      <c r="BI37" s="854"/>
    </row>
    <row r="38" spans="1:61" ht="14.5" x14ac:dyDescent="0.35">
      <c r="A38" s="849"/>
      <c r="B38" s="849"/>
      <c r="C38" s="849"/>
      <c r="D38" s="849"/>
      <c r="E38" s="849"/>
      <c r="F38" s="849"/>
      <c r="G38" s="849"/>
      <c r="H38" s="849"/>
      <c r="I38" s="849"/>
      <c r="J38" s="849"/>
      <c r="K38" s="849"/>
      <c r="L38" s="849"/>
      <c r="M38" s="849"/>
      <c r="N38" s="849"/>
      <c r="O38" s="849"/>
      <c r="P38" s="849"/>
      <c r="Q38" s="849"/>
      <c r="R38" s="849"/>
      <c r="S38" s="849"/>
      <c r="T38" s="849"/>
      <c r="U38" s="849"/>
      <c r="V38" s="849"/>
      <c r="W38" s="849"/>
      <c r="X38" s="849"/>
      <c r="Y38" s="849"/>
      <c r="Z38" s="849"/>
      <c r="AA38" s="849"/>
      <c r="AB38" s="849"/>
      <c r="AC38" s="849"/>
      <c r="AD38" s="849"/>
      <c r="AE38" s="849"/>
      <c r="AF38" s="849"/>
      <c r="AG38" s="849"/>
      <c r="AH38" s="849"/>
      <c r="AI38" s="849"/>
      <c r="AJ38" s="849"/>
      <c r="AK38" s="849"/>
      <c r="AL38" s="300"/>
      <c r="AM38" s="300"/>
      <c r="AN38" s="300"/>
      <c r="AO38" s="300"/>
      <c r="AP38" s="300"/>
      <c r="AQ38" s="849"/>
      <c r="AR38" s="849"/>
      <c r="AS38" s="849"/>
      <c r="AT38" s="849"/>
      <c r="AU38" s="849"/>
      <c r="AV38" s="849"/>
      <c r="AW38" s="849"/>
      <c r="AX38" s="849"/>
      <c r="AY38" s="849"/>
      <c r="AZ38" s="849"/>
      <c r="BA38" s="854"/>
      <c r="BB38" s="854"/>
      <c r="BC38" s="854"/>
      <c r="BD38" s="854"/>
      <c r="BE38" s="854"/>
      <c r="BF38" s="854"/>
      <c r="BG38" s="854"/>
      <c r="BH38" s="854"/>
      <c r="BI38" s="854"/>
    </row>
    <row r="39" spans="1:61" ht="14.5" x14ac:dyDescent="0.35">
      <c r="A39" s="849"/>
      <c r="B39" s="849"/>
      <c r="C39" s="849"/>
      <c r="D39" s="849"/>
      <c r="E39" s="849"/>
      <c r="F39" s="849"/>
      <c r="G39" s="849"/>
      <c r="H39" s="849"/>
      <c r="I39" s="849"/>
      <c r="J39" s="849"/>
      <c r="K39" s="849"/>
      <c r="L39" s="849"/>
      <c r="M39" s="849"/>
      <c r="N39" s="849"/>
      <c r="O39" s="849"/>
      <c r="P39" s="849"/>
      <c r="Q39" s="849"/>
      <c r="R39" s="849"/>
      <c r="S39" s="849"/>
      <c r="T39" s="849"/>
      <c r="U39" s="849"/>
      <c r="V39" s="849"/>
      <c r="W39" s="849"/>
      <c r="X39" s="849"/>
      <c r="Y39" s="849"/>
      <c r="Z39" s="849"/>
      <c r="AA39" s="849"/>
      <c r="AB39" s="849"/>
      <c r="AC39" s="849"/>
      <c r="AD39" s="849"/>
      <c r="AE39" s="849"/>
      <c r="AF39" s="849"/>
      <c r="AG39" s="849"/>
      <c r="AH39" s="849"/>
      <c r="AI39" s="849"/>
      <c r="AJ39" s="849"/>
      <c r="AK39" s="849"/>
      <c r="AL39" s="300"/>
      <c r="AM39" s="300"/>
      <c r="AN39" s="300"/>
      <c r="AO39" s="300"/>
      <c r="AP39" s="300"/>
      <c r="AQ39" s="849"/>
      <c r="AR39" s="849"/>
      <c r="AS39" s="849"/>
      <c r="AT39" s="849"/>
      <c r="AU39" s="849"/>
      <c r="AV39" s="849"/>
      <c r="AW39" s="849"/>
      <c r="AX39" s="849"/>
      <c r="AY39" s="849"/>
      <c r="AZ39" s="849"/>
      <c r="BA39" s="854"/>
      <c r="BB39" s="854"/>
      <c r="BC39" s="854"/>
      <c r="BD39" s="854"/>
      <c r="BE39" s="854"/>
      <c r="BF39" s="854"/>
      <c r="BG39" s="854"/>
      <c r="BH39" s="854"/>
      <c r="BI39" s="854"/>
    </row>
    <row r="40" spans="1:61" ht="14.5" x14ac:dyDescent="0.35">
      <c r="A40" s="849"/>
      <c r="B40" s="849"/>
      <c r="C40" s="849"/>
      <c r="D40" s="849"/>
      <c r="E40" s="849"/>
      <c r="F40" s="849"/>
      <c r="G40" s="849"/>
      <c r="H40" s="849"/>
      <c r="I40" s="849"/>
      <c r="J40" s="849"/>
      <c r="K40" s="849"/>
      <c r="L40" s="849"/>
      <c r="M40" s="849"/>
      <c r="N40" s="849"/>
      <c r="O40" s="849"/>
      <c r="P40" s="849"/>
      <c r="Q40" s="849"/>
      <c r="R40" s="849"/>
      <c r="S40" s="849"/>
      <c r="T40" s="849"/>
      <c r="U40" s="849"/>
      <c r="V40" s="849"/>
      <c r="W40" s="849"/>
      <c r="X40" s="849"/>
      <c r="Y40" s="849"/>
      <c r="Z40" s="849"/>
      <c r="AA40" s="849"/>
      <c r="AB40" s="849"/>
      <c r="AC40" s="849"/>
      <c r="AD40" s="849"/>
      <c r="AE40" s="849"/>
      <c r="AF40" s="849"/>
      <c r="AG40" s="849"/>
      <c r="AH40" s="849"/>
      <c r="AI40" s="849"/>
      <c r="AJ40" s="849"/>
      <c r="AK40" s="849"/>
      <c r="AL40" s="300"/>
      <c r="AM40" s="300"/>
      <c r="AN40" s="300"/>
      <c r="AO40" s="300"/>
      <c r="AP40" s="300"/>
      <c r="AQ40" s="849"/>
      <c r="AR40" s="849"/>
      <c r="AS40" s="849"/>
      <c r="AT40" s="849"/>
      <c r="AU40" s="849"/>
      <c r="AV40" s="849"/>
      <c r="AW40" s="849"/>
      <c r="AX40" s="849"/>
      <c r="AY40" s="849"/>
      <c r="AZ40" s="849"/>
      <c r="BA40" s="854"/>
      <c r="BB40" s="854"/>
      <c r="BC40" s="854"/>
      <c r="BD40" s="854"/>
      <c r="BE40" s="854"/>
      <c r="BF40" s="854"/>
      <c r="BG40" s="854"/>
      <c r="BH40" s="854"/>
      <c r="BI40" s="854"/>
    </row>
    <row r="41" spans="1:61" x14ac:dyDescent="0.35">
      <c r="A41" s="849"/>
      <c r="B41" s="849"/>
      <c r="C41" s="849"/>
      <c r="D41" s="849"/>
      <c r="E41" s="849"/>
      <c r="F41" s="849"/>
      <c r="G41" s="849"/>
      <c r="H41" s="849"/>
      <c r="I41" s="849"/>
      <c r="J41" s="849"/>
      <c r="K41" s="849"/>
      <c r="L41" s="849"/>
      <c r="M41" s="849"/>
      <c r="N41" s="849"/>
      <c r="O41" s="849"/>
      <c r="P41" s="849"/>
      <c r="Q41" s="849"/>
      <c r="R41" s="849"/>
      <c r="S41" s="849"/>
      <c r="T41" s="849"/>
      <c r="U41" s="849"/>
      <c r="V41" s="849"/>
      <c r="W41" s="849"/>
      <c r="X41" s="849"/>
      <c r="Y41" s="849"/>
      <c r="Z41" s="849"/>
      <c r="AA41" s="849"/>
      <c r="AB41" s="849"/>
      <c r="AC41" s="849"/>
      <c r="AD41" s="849"/>
      <c r="AE41" s="849"/>
      <c r="AF41" s="849"/>
      <c r="AG41" s="849"/>
      <c r="AH41" s="849"/>
      <c r="AI41" s="849"/>
      <c r="AJ41" s="849"/>
      <c r="AK41" s="849"/>
      <c r="AL41" s="849"/>
      <c r="AM41" s="849"/>
      <c r="AN41" s="849"/>
      <c r="AO41" s="849"/>
      <c r="AP41" s="849"/>
      <c r="AQ41" s="849"/>
      <c r="AR41" s="849"/>
      <c r="AS41" s="849"/>
      <c r="AT41" s="849"/>
      <c r="AU41" s="849"/>
      <c r="AV41" s="849"/>
      <c r="AW41" s="849"/>
      <c r="AX41" s="849"/>
      <c r="AY41" s="849"/>
      <c r="AZ41" s="849"/>
      <c r="BA41" s="854"/>
      <c r="BB41" s="854"/>
      <c r="BC41" s="854"/>
      <c r="BD41" s="854"/>
      <c r="BE41" s="854"/>
      <c r="BF41" s="854"/>
      <c r="BG41" s="854"/>
      <c r="BH41" s="854"/>
      <c r="BI41" s="854"/>
    </row>
    <row r="42" spans="1:61" x14ac:dyDescent="0.35">
      <c r="A42" s="849"/>
      <c r="B42" s="849"/>
      <c r="C42" s="849"/>
      <c r="D42" s="849"/>
      <c r="E42" s="849"/>
      <c r="F42" s="849"/>
      <c r="G42" s="849"/>
      <c r="H42" s="849"/>
      <c r="I42" s="849"/>
      <c r="J42" s="849"/>
      <c r="K42" s="849"/>
      <c r="L42" s="849"/>
      <c r="M42" s="849"/>
      <c r="N42" s="849"/>
      <c r="O42" s="849"/>
      <c r="P42" s="849"/>
      <c r="Q42" s="849"/>
      <c r="R42" s="849"/>
      <c r="S42" s="849"/>
      <c r="T42" s="849"/>
      <c r="U42" s="849"/>
      <c r="V42" s="849"/>
      <c r="W42" s="849"/>
      <c r="X42" s="849"/>
      <c r="Y42" s="849"/>
      <c r="Z42" s="849"/>
      <c r="AA42" s="849"/>
      <c r="AB42" s="849"/>
      <c r="AC42" s="849"/>
      <c r="AD42" s="849"/>
      <c r="AE42" s="849"/>
      <c r="AF42" s="849"/>
      <c r="AG42" s="849"/>
      <c r="AH42" s="849"/>
      <c r="AI42" s="849"/>
      <c r="AJ42" s="849"/>
      <c r="AK42" s="849"/>
      <c r="AL42" s="849"/>
      <c r="AM42" s="849"/>
      <c r="AN42" s="849"/>
      <c r="AO42" s="849"/>
      <c r="AP42" s="849"/>
      <c r="AQ42" s="849"/>
      <c r="AR42" s="849"/>
      <c r="AS42" s="849"/>
      <c r="AT42" s="849"/>
      <c r="AU42" s="849"/>
      <c r="AV42" s="849"/>
      <c r="AW42" s="849"/>
      <c r="AX42" s="849"/>
      <c r="AY42" s="849"/>
      <c r="AZ42" s="849"/>
      <c r="BA42" s="854"/>
      <c r="BB42" s="854"/>
      <c r="BC42" s="854"/>
      <c r="BD42" s="854"/>
      <c r="BE42" s="854"/>
      <c r="BF42" s="854"/>
      <c r="BG42" s="854"/>
      <c r="BH42" s="854"/>
      <c r="BI42" s="854"/>
    </row>
    <row r="43" spans="1:61" x14ac:dyDescent="0.35">
      <c r="A43" s="849"/>
      <c r="B43" s="849"/>
      <c r="C43" s="849"/>
      <c r="D43" s="849"/>
      <c r="E43" s="849"/>
      <c r="F43" s="849"/>
      <c r="G43" s="849"/>
      <c r="H43" s="849"/>
      <c r="I43" s="849"/>
      <c r="J43" s="849"/>
      <c r="K43" s="849"/>
      <c r="L43" s="849"/>
      <c r="M43" s="849"/>
      <c r="N43" s="849"/>
      <c r="O43" s="849"/>
      <c r="P43" s="849"/>
      <c r="Q43" s="849"/>
      <c r="R43" s="849"/>
      <c r="S43" s="849"/>
      <c r="T43" s="849"/>
      <c r="U43" s="849"/>
      <c r="V43" s="849"/>
      <c r="W43" s="849"/>
      <c r="X43" s="849"/>
      <c r="Y43" s="849"/>
      <c r="Z43" s="849"/>
      <c r="AA43" s="849"/>
      <c r="AB43" s="849"/>
      <c r="AC43" s="849"/>
      <c r="AD43" s="849"/>
      <c r="AE43" s="849"/>
      <c r="AF43" s="849"/>
      <c r="AG43" s="849"/>
      <c r="AH43" s="849"/>
      <c r="AI43" s="849"/>
      <c r="AJ43" s="849"/>
      <c r="AK43" s="849"/>
      <c r="AL43" s="849"/>
      <c r="AM43" s="849"/>
      <c r="AN43" s="849"/>
      <c r="AO43" s="849"/>
      <c r="AP43" s="849"/>
      <c r="AQ43" s="849"/>
      <c r="AR43" s="849"/>
      <c r="AS43" s="849"/>
      <c r="AT43" s="849"/>
      <c r="AU43" s="849"/>
      <c r="AV43" s="849"/>
      <c r="AW43" s="849"/>
      <c r="AX43" s="849"/>
      <c r="AY43" s="849"/>
      <c r="AZ43" s="849"/>
      <c r="BA43" s="854"/>
      <c r="BB43" s="854"/>
      <c r="BC43" s="854"/>
      <c r="BD43" s="854"/>
      <c r="BE43" s="854"/>
      <c r="BF43" s="854"/>
      <c r="BG43" s="854"/>
      <c r="BH43" s="854"/>
      <c r="BI43" s="854"/>
    </row>
    <row r="44" spans="1:61" x14ac:dyDescent="0.35">
      <c r="A44" s="849"/>
      <c r="B44" s="849"/>
      <c r="C44" s="849"/>
      <c r="D44" s="849"/>
      <c r="E44" s="849"/>
      <c r="F44" s="849"/>
      <c r="G44" s="849"/>
      <c r="H44" s="849"/>
      <c r="I44" s="849"/>
      <c r="J44" s="849"/>
      <c r="K44" s="849"/>
      <c r="L44" s="849"/>
      <c r="M44" s="849"/>
      <c r="N44" s="849"/>
      <c r="O44" s="849"/>
      <c r="P44" s="849"/>
      <c r="Q44" s="849"/>
      <c r="R44" s="849"/>
      <c r="S44" s="849"/>
      <c r="T44" s="849"/>
      <c r="U44" s="849"/>
      <c r="V44" s="849"/>
      <c r="W44" s="849"/>
      <c r="X44" s="849"/>
      <c r="Y44" s="849"/>
      <c r="Z44" s="849"/>
      <c r="AA44" s="849"/>
      <c r="AB44" s="849"/>
      <c r="AC44" s="849"/>
      <c r="AD44" s="849"/>
      <c r="AE44" s="849"/>
      <c r="AF44" s="849"/>
      <c r="AG44" s="849"/>
      <c r="AH44" s="849"/>
      <c r="AI44" s="849"/>
      <c r="AJ44" s="849"/>
      <c r="AK44" s="849"/>
      <c r="AL44" s="849"/>
      <c r="AM44" s="849"/>
      <c r="AN44" s="849"/>
      <c r="AO44" s="849"/>
      <c r="AP44" s="849"/>
      <c r="AQ44" s="849"/>
      <c r="AR44" s="849"/>
      <c r="AS44" s="849"/>
      <c r="AT44" s="849"/>
      <c r="AU44" s="849"/>
      <c r="AV44" s="849"/>
      <c r="AW44" s="849"/>
      <c r="AX44" s="849"/>
      <c r="AY44" s="849"/>
      <c r="AZ44" s="849"/>
      <c r="BA44" s="854"/>
      <c r="BB44" s="854"/>
      <c r="BC44" s="854"/>
      <c r="BD44" s="854"/>
      <c r="BE44" s="854"/>
      <c r="BF44" s="854"/>
      <c r="BG44" s="854"/>
      <c r="BH44" s="854"/>
      <c r="BI44" s="854"/>
    </row>
    <row r="45" spans="1:61" x14ac:dyDescent="0.35">
      <c r="A45" s="849"/>
      <c r="B45" s="849"/>
      <c r="C45" s="849"/>
      <c r="D45" s="849"/>
      <c r="E45" s="849"/>
      <c r="F45" s="849"/>
      <c r="G45" s="849"/>
      <c r="H45" s="849"/>
      <c r="I45" s="849"/>
      <c r="J45" s="849"/>
      <c r="K45" s="849"/>
      <c r="L45" s="849"/>
      <c r="M45" s="849"/>
      <c r="N45" s="849"/>
      <c r="O45" s="849"/>
      <c r="P45" s="849"/>
      <c r="Q45" s="849"/>
      <c r="R45" s="849"/>
      <c r="S45" s="849"/>
      <c r="T45" s="849"/>
      <c r="U45" s="849"/>
      <c r="V45" s="849"/>
      <c r="W45" s="849"/>
      <c r="X45" s="849"/>
      <c r="Y45" s="849"/>
      <c r="Z45" s="849"/>
      <c r="AA45" s="849"/>
      <c r="AB45" s="849"/>
      <c r="AC45" s="849"/>
      <c r="AD45" s="849"/>
      <c r="AE45" s="849"/>
      <c r="AF45" s="849"/>
      <c r="AG45" s="849"/>
      <c r="AH45" s="849"/>
      <c r="AI45" s="849"/>
      <c r="AJ45" s="849"/>
      <c r="AK45" s="849"/>
      <c r="AL45" s="849"/>
      <c r="AM45" s="849"/>
      <c r="AN45" s="849"/>
      <c r="AO45" s="849"/>
      <c r="AP45" s="849"/>
      <c r="AQ45" s="849"/>
      <c r="AR45" s="849"/>
      <c r="AS45" s="849"/>
      <c r="AT45" s="849"/>
      <c r="AU45" s="849"/>
      <c r="AV45" s="849"/>
      <c r="AW45" s="849"/>
      <c r="AX45" s="849"/>
      <c r="AY45" s="849"/>
      <c r="AZ45" s="849"/>
      <c r="BA45" s="854"/>
      <c r="BB45" s="854"/>
      <c r="BC45" s="854"/>
      <c r="BD45" s="854"/>
      <c r="BE45" s="854"/>
      <c r="BF45" s="854"/>
      <c r="BG45" s="854"/>
      <c r="BH45" s="854"/>
      <c r="BI45" s="854"/>
    </row>
    <row r="46" spans="1:61" x14ac:dyDescent="0.35">
      <c r="A46" s="849"/>
      <c r="B46" s="849"/>
      <c r="C46" s="849"/>
      <c r="D46" s="849"/>
      <c r="E46" s="849"/>
      <c r="F46" s="849"/>
      <c r="G46" s="849"/>
      <c r="H46" s="849"/>
      <c r="I46" s="849"/>
      <c r="J46" s="849"/>
      <c r="K46" s="849"/>
      <c r="L46" s="849"/>
      <c r="M46" s="849"/>
      <c r="N46" s="849"/>
      <c r="O46" s="849"/>
      <c r="P46" s="849"/>
      <c r="Q46" s="849"/>
      <c r="R46" s="849"/>
      <c r="S46" s="849"/>
      <c r="T46" s="849"/>
      <c r="U46" s="849"/>
      <c r="V46" s="849"/>
      <c r="W46" s="849"/>
      <c r="X46" s="849"/>
      <c r="Y46" s="849"/>
      <c r="Z46" s="849"/>
      <c r="AA46" s="849"/>
      <c r="AB46" s="849"/>
      <c r="AC46" s="849"/>
      <c r="AD46" s="849"/>
      <c r="AE46" s="849"/>
      <c r="AF46" s="849"/>
      <c r="AG46" s="849"/>
      <c r="AH46" s="849"/>
      <c r="AI46" s="849"/>
      <c r="AJ46" s="849"/>
      <c r="AK46" s="849"/>
      <c r="AL46" s="849"/>
      <c r="AM46" s="849"/>
      <c r="AN46" s="849"/>
      <c r="AO46" s="849"/>
      <c r="AP46" s="849"/>
      <c r="AQ46" s="849"/>
      <c r="AR46" s="849"/>
      <c r="AS46" s="849"/>
      <c r="AT46" s="849"/>
      <c r="AU46" s="849"/>
      <c r="AV46" s="849"/>
      <c r="AW46" s="849"/>
      <c r="AX46" s="849"/>
      <c r="AY46" s="849"/>
      <c r="AZ46" s="849"/>
      <c r="BA46" s="854"/>
      <c r="BB46" s="854"/>
      <c r="BC46" s="854"/>
      <c r="BD46" s="854"/>
      <c r="BE46" s="854"/>
      <c r="BF46" s="854"/>
      <c r="BG46" s="854"/>
      <c r="BH46" s="854"/>
      <c r="BI46" s="854"/>
    </row>
    <row r="47" spans="1:61" x14ac:dyDescent="0.35">
      <c r="A47" s="849"/>
      <c r="B47" s="849"/>
      <c r="C47" s="849"/>
      <c r="D47" s="849"/>
      <c r="E47" s="849"/>
      <c r="F47" s="849"/>
      <c r="G47" s="849"/>
      <c r="H47" s="849"/>
      <c r="I47" s="849"/>
      <c r="J47" s="849"/>
      <c r="K47" s="849"/>
      <c r="L47" s="849"/>
      <c r="M47" s="849"/>
      <c r="N47" s="849"/>
      <c r="O47" s="849"/>
      <c r="P47" s="849"/>
      <c r="Q47" s="849"/>
      <c r="R47" s="849"/>
      <c r="S47" s="849"/>
      <c r="T47" s="849"/>
      <c r="U47" s="849"/>
      <c r="V47" s="849"/>
      <c r="W47" s="849"/>
      <c r="X47" s="849"/>
      <c r="Y47" s="849"/>
      <c r="Z47" s="849"/>
      <c r="AA47" s="849"/>
      <c r="AB47" s="849"/>
      <c r="AC47" s="849"/>
      <c r="AD47" s="849"/>
      <c r="AE47" s="849"/>
      <c r="AF47" s="849"/>
      <c r="AG47" s="849"/>
      <c r="AH47" s="849"/>
      <c r="AI47" s="849"/>
      <c r="AJ47" s="849"/>
      <c r="AK47" s="849"/>
      <c r="AL47" s="849"/>
      <c r="AM47" s="849"/>
      <c r="AN47" s="849"/>
      <c r="AO47" s="849"/>
      <c r="AP47" s="849"/>
      <c r="AQ47" s="849"/>
      <c r="AR47" s="849"/>
      <c r="AS47" s="849"/>
      <c r="AT47" s="849"/>
      <c r="AU47" s="849"/>
      <c r="AV47" s="849"/>
      <c r="AW47" s="849"/>
      <c r="AX47" s="849"/>
      <c r="AY47" s="849"/>
      <c r="AZ47" s="849"/>
      <c r="BA47" s="854"/>
      <c r="BB47" s="854"/>
      <c r="BC47" s="854"/>
      <c r="BD47" s="854"/>
      <c r="BE47" s="854"/>
      <c r="BF47" s="854"/>
      <c r="BG47" s="854"/>
      <c r="BH47" s="854"/>
      <c r="BI47" s="854"/>
    </row>
    <row r="48" spans="1:61" x14ac:dyDescent="0.35">
      <c r="A48" s="849"/>
      <c r="B48" s="849"/>
      <c r="C48" s="849"/>
      <c r="D48" s="849"/>
      <c r="E48" s="849"/>
      <c r="F48" s="849"/>
      <c r="G48" s="849"/>
      <c r="H48" s="849"/>
      <c r="I48" s="849"/>
      <c r="J48" s="849"/>
      <c r="K48" s="849"/>
      <c r="L48" s="849"/>
      <c r="M48" s="849"/>
      <c r="N48" s="849"/>
      <c r="O48" s="849"/>
      <c r="P48" s="849"/>
      <c r="Q48" s="849"/>
      <c r="R48" s="849"/>
      <c r="S48" s="849"/>
      <c r="T48" s="849"/>
      <c r="U48" s="849"/>
      <c r="V48" s="849"/>
      <c r="W48" s="849"/>
      <c r="X48" s="849"/>
      <c r="Y48" s="849"/>
      <c r="Z48" s="849"/>
      <c r="AA48" s="849"/>
      <c r="AB48" s="849"/>
      <c r="AC48" s="849"/>
      <c r="AD48" s="849"/>
      <c r="AE48" s="849"/>
      <c r="AF48" s="849"/>
      <c r="AG48" s="849"/>
      <c r="AH48" s="849"/>
      <c r="AI48" s="849"/>
      <c r="AJ48" s="849"/>
      <c r="AK48" s="849"/>
      <c r="AL48" s="849"/>
      <c r="AM48" s="849"/>
      <c r="AN48" s="849"/>
      <c r="AO48" s="849"/>
      <c r="AP48" s="849"/>
      <c r="AQ48" s="849"/>
      <c r="AR48" s="849"/>
      <c r="AS48" s="849"/>
      <c r="AT48" s="849"/>
      <c r="AU48" s="849"/>
      <c r="AV48" s="849"/>
      <c r="AW48" s="849"/>
      <c r="AX48" s="849"/>
      <c r="AY48" s="849"/>
      <c r="AZ48" s="849"/>
      <c r="BA48" s="854"/>
      <c r="BB48" s="854"/>
      <c r="BC48" s="854"/>
      <c r="BD48" s="854"/>
      <c r="BE48" s="854"/>
      <c r="BF48" s="854"/>
      <c r="BG48" s="854"/>
      <c r="BH48" s="854"/>
      <c r="BI48" s="854"/>
    </row>
    <row r="49" spans="1:61" x14ac:dyDescent="0.35">
      <c r="A49" s="849"/>
      <c r="B49" s="849"/>
      <c r="C49" s="849"/>
      <c r="D49" s="849"/>
      <c r="E49" s="849"/>
      <c r="F49" s="849"/>
      <c r="G49" s="849"/>
      <c r="H49" s="849"/>
      <c r="I49" s="849"/>
      <c r="J49" s="849"/>
      <c r="K49" s="849"/>
      <c r="L49" s="849"/>
      <c r="M49" s="849"/>
      <c r="N49" s="849"/>
      <c r="O49" s="849"/>
      <c r="P49" s="849"/>
      <c r="Q49" s="849"/>
      <c r="R49" s="849"/>
      <c r="S49" s="849"/>
      <c r="T49" s="849"/>
      <c r="U49" s="849"/>
      <c r="V49" s="849"/>
      <c r="W49" s="849"/>
      <c r="X49" s="849"/>
      <c r="Y49" s="849"/>
      <c r="Z49" s="849"/>
      <c r="AA49" s="849"/>
      <c r="AB49" s="849"/>
      <c r="AC49" s="849"/>
      <c r="AD49" s="849"/>
      <c r="AE49" s="849"/>
      <c r="AF49" s="849"/>
      <c r="AG49" s="849"/>
      <c r="AH49" s="849"/>
      <c r="AI49" s="849"/>
      <c r="AJ49" s="849"/>
      <c r="AK49" s="849"/>
      <c r="AL49" s="849"/>
      <c r="AM49" s="849"/>
      <c r="AN49" s="849"/>
      <c r="AO49" s="849"/>
      <c r="AP49" s="849"/>
      <c r="AQ49" s="849"/>
      <c r="AR49" s="849"/>
      <c r="AS49" s="849"/>
      <c r="AT49" s="849"/>
      <c r="AU49" s="849"/>
      <c r="AV49" s="849"/>
      <c r="AW49" s="849"/>
      <c r="AX49" s="849"/>
      <c r="AY49" s="849"/>
      <c r="AZ49" s="849"/>
      <c r="BA49" s="854"/>
      <c r="BB49" s="854"/>
      <c r="BC49" s="854"/>
      <c r="BD49" s="854"/>
      <c r="BE49" s="854"/>
      <c r="BF49" s="854"/>
      <c r="BG49" s="854"/>
      <c r="BH49" s="854"/>
      <c r="BI49" s="854"/>
    </row>
    <row r="50" spans="1:61" x14ac:dyDescent="0.35">
      <c r="A50" s="849"/>
      <c r="B50" s="849"/>
      <c r="C50" s="849"/>
      <c r="D50" s="849"/>
      <c r="E50" s="849"/>
      <c r="F50" s="849"/>
      <c r="G50" s="849"/>
      <c r="H50" s="849"/>
      <c r="I50" s="849"/>
      <c r="J50" s="849"/>
      <c r="K50" s="849"/>
      <c r="L50" s="849"/>
      <c r="M50" s="849"/>
      <c r="N50" s="849"/>
      <c r="O50" s="849"/>
      <c r="P50" s="849"/>
      <c r="Q50" s="849"/>
      <c r="R50" s="849"/>
      <c r="S50" s="849"/>
      <c r="T50" s="849"/>
      <c r="U50" s="849"/>
      <c r="V50" s="849"/>
      <c r="W50" s="849"/>
      <c r="X50" s="849"/>
      <c r="Y50" s="849"/>
      <c r="Z50" s="849"/>
      <c r="AA50" s="849"/>
      <c r="AB50" s="849"/>
      <c r="AC50" s="849"/>
      <c r="AD50" s="849"/>
      <c r="AE50" s="849"/>
      <c r="AF50" s="849"/>
      <c r="AG50" s="849"/>
      <c r="AH50" s="849"/>
      <c r="AI50" s="849"/>
      <c r="AJ50" s="849"/>
      <c r="AK50" s="849"/>
      <c r="AL50" s="849"/>
      <c r="AM50" s="849"/>
      <c r="AN50" s="849"/>
      <c r="AO50" s="849"/>
      <c r="AP50" s="849"/>
      <c r="AQ50" s="849"/>
      <c r="AR50" s="849"/>
      <c r="AS50" s="849"/>
      <c r="AT50" s="849"/>
      <c r="AU50" s="849"/>
      <c r="AV50" s="849"/>
      <c r="AW50" s="849"/>
      <c r="AX50" s="849"/>
      <c r="AY50" s="849"/>
      <c r="AZ50" s="849"/>
      <c r="BA50" s="854"/>
      <c r="BB50" s="854"/>
      <c r="BC50" s="854"/>
      <c r="BD50" s="854"/>
      <c r="BE50" s="854"/>
      <c r="BF50" s="854"/>
      <c r="BG50" s="854"/>
      <c r="BH50" s="854"/>
      <c r="BI50" s="854"/>
    </row>
    <row r="51" spans="1:61" x14ac:dyDescent="0.35">
      <c r="A51" s="849"/>
      <c r="B51" s="849"/>
      <c r="C51" s="849"/>
      <c r="D51" s="849"/>
      <c r="E51" s="849"/>
      <c r="F51" s="849"/>
      <c r="G51" s="849"/>
      <c r="H51" s="849"/>
      <c r="I51" s="849"/>
      <c r="J51" s="849"/>
      <c r="K51" s="849"/>
      <c r="L51" s="849"/>
      <c r="M51" s="849"/>
      <c r="N51" s="849"/>
      <c r="O51" s="849"/>
      <c r="P51" s="849"/>
      <c r="Q51" s="849"/>
      <c r="R51" s="849"/>
      <c r="S51" s="849"/>
      <c r="T51" s="849"/>
      <c r="U51" s="849"/>
      <c r="V51" s="849"/>
      <c r="W51" s="849"/>
      <c r="X51" s="849"/>
      <c r="Y51" s="849"/>
      <c r="Z51" s="849"/>
      <c r="AA51" s="849"/>
      <c r="AB51" s="849"/>
      <c r="AC51" s="849"/>
      <c r="AD51" s="849"/>
      <c r="AE51" s="849"/>
      <c r="AF51" s="849"/>
      <c r="AG51" s="849"/>
      <c r="AH51" s="849"/>
      <c r="AI51" s="849"/>
      <c r="AJ51" s="849"/>
      <c r="AK51" s="849"/>
      <c r="AL51" s="849"/>
      <c r="AM51" s="849"/>
      <c r="AN51" s="849"/>
      <c r="AO51" s="849"/>
      <c r="AP51" s="849"/>
      <c r="AQ51" s="849"/>
      <c r="AR51" s="849"/>
      <c r="AS51" s="849"/>
      <c r="AT51" s="849"/>
      <c r="AU51" s="849"/>
      <c r="AV51" s="849"/>
      <c r="AW51" s="849"/>
      <c r="AX51" s="849"/>
      <c r="AY51" s="849"/>
      <c r="AZ51" s="849"/>
      <c r="BA51" s="854"/>
      <c r="BB51" s="854"/>
      <c r="BC51" s="854"/>
      <c r="BD51" s="854"/>
      <c r="BE51" s="854"/>
      <c r="BF51" s="854"/>
      <c r="BG51" s="854"/>
      <c r="BH51" s="854"/>
      <c r="BI51" s="854"/>
    </row>
    <row r="52" spans="1:61" x14ac:dyDescent="0.35">
      <c r="A52" s="849"/>
      <c r="B52" s="849"/>
      <c r="C52" s="849"/>
      <c r="D52" s="849"/>
      <c r="E52" s="849"/>
      <c r="F52" s="849"/>
      <c r="G52" s="849"/>
      <c r="H52" s="849"/>
      <c r="I52" s="849"/>
      <c r="J52" s="849"/>
      <c r="K52" s="849"/>
      <c r="L52" s="849"/>
      <c r="M52" s="849"/>
      <c r="N52" s="849"/>
      <c r="O52" s="849"/>
      <c r="P52" s="849"/>
      <c r="Q52" s="849"/>
      <c r="R52" s="849"/>
      <c r="S52" s="849"/>
      <c r="T52" s="849"/>
      <c r="U52" s="849"/>
      <c r="V52" s="849"/>
      <c r="W52" s="849"/>
      <c r="X52" s="849"/>
      <c r="Y52" s="849"/>
      <c r="Z52" s="849"/>
      <c r="AA52" s="849"/>
      <c r="AB52" s="849"/>
      <c r="AC52" s="849"/>
      <c r="AD52" s="849"/>
      <c r="AE52" s="849"/>
      <c r="AF52" s="849"/>
      <c r="AG52" s="849"/>
      <c r="AH52" s="849"/>
      <c r="AI52" s="849"/>
      <c r="AJ52" s="849"/>
      <c r="AK52" s="849"/>
      <c r="AL52" s="849"/>
      <c r="AM52" s="849"/>
      <c r="AN52" s="849"/>
      <c r="AO52" s="849"/>
      <c r="AP52" s="849"/>
      <c r="AQ52" s="849"/>
      <c r="AR52" s="849"/>
      <c r="AS52" s="849"/>
      <c r="AT52" s="849"/>
      <c r="AU52" s="849"/>
      <c r="AV52" s="849"/>
      <c r="AW52" s="849"/>
      <c r="AX52" s="849"/>
      <c r="AY52" s="849"/>
      <c r="AZ52" s="849"/>
      <c r="BA52" s="854"/>
      <c r="BB52" s="854"/>
      <c r="BC52" s="854"/>
      <c r="BD52" s="854"/>
      <c r="BE52" s="854"/>
      <c r="BF52" s="854"/>
      <c r="BG52" s="854"/>
      <c r="BH52" s="854"/>
      <c r="BI52" s="854"/>
    </row>
    <row r="53" spans="1:61" x14ac:dyDescent="0.35">
      <c r="A53" s="849"/>
      <c r="B53" s="849"/>
      <c r="C53" s="849"/>
      <c r="D53" s="849"/>
      <c r="E53" s="849"/>
      <c r="F53" s="849"/>
      <c r="G53" s="849"/>
      <c r="H53" s="849"/>
      <c r="I53" s="849"/>
      <c r="J53" s="849"/>
      <c r="K53" s="849"/>
      <c r="L53" s="849"/>
      <c r="M53" s="849"/>
      <c r="N53" s="849"/>
      <c r="O53" s="849"/>
      <c r="P53" s="849"/>
      <c r="Q53" s="849"/>
      <c r="R53" s="849"/>
      <c r="S53" s="849"/>
      <c r="T53" s="849"/>
      <c r="U53" s="849"/>
      <c r="V53" s="849"/>
      <c r="W53" s="849"/>
      <c r="X53" s="849"/>
      <c r="Y53" s="849"/>
      <c r="Z53" s="849"/>
      <c r="AA53" s="849"/>
      <c r="AB53" s="849"/>
      <c r="AC53" s="849"/>
      <c r="AD53" s="849"/>
      <c r="AE53" s="849"/>
      <c r="AF53" s="849"/>
      <c r="AG53" s="849"/>
      <c r="AH53" s="849"/>
      <c r="AI53" s="849"/>
      <c r="AJ53" s="849"/>
      <c r="AK53" s="849"/>
      <c r="AL53" s="849"/>
      <c r="AM53" s="849"/>
      <c r="AN53" s="849"/>
      <c r="AO53" s="849"/>
      <c r="AP53" s="849"/>
      <c r="AQ53" s="849"/>
      <c r="AR53" s="849"/>
      <c r="AS53" s="849"/>
      <c r="AT53" s="849"/>
      <c r="AU53" s="849"/>
      <c r="AV53" s="849"/>
      <c r="AW53" s="849"/>
      <c r="AX53" s="849"/>
      <c r="AY53" s="849"/>
      <c r="AZ53" s="849"/>
      <c r="BA53" s="854"/>
      <c r="BB53" s="854"/>
      <c r="BC53" s="854"/>
      <c r="BD53" s="854"/>
      <c r="BE53" s="854"/>
      <c r="BF53" s="854"/>
      <c r="BG53" s="854"/>
      <c r="BH53" s="854"/>
      <c r="BI53" s="854"/>
    </row>
    <row r="54" spans="1:61" x14ac:dyDescent="0.35">
      <c r="A54" s="849"/>
      <c r="B54" s="849"/>
      <c r="C54" s="849"/>
      <c r="D54" s="849"/>
      <c r="E54" s="849"/>
      <c r="F54" s="849"/>
      <c r="G54" s="849"/>
      <c r="H54" s="849"/>
      <c r="I54" s="849"/>
      <c r="J54" s="849"/>
      <c r="K54" s="849"/>
      <c r="L54" s="849"/>
      <c r="M54" s="849"/>
      <c r="N54" s="849"/>
      <c r="O54" s="849"/>
      <c r="P54" s="849"/>
      <c r="Q54" s="849"/>
      <c r="R54" s="849"/>
      <c r="S54" s="849"/>
      <c r="T54" s="849"/>
      <c r="U54" s="849"/>
      <c r="V54" s="849"/>
      <c r="W54" s="849"/>
      <c r="X54" s="849"/>
      <c r="Y54" s="849"/>
      <c r="Z54" s="849"/>
      <c r="AA54" s="849"/>
      <c r="AB54" s="849"/>
      <c r="AC54" s="849"/>
      <c r="AD54" s="849"/>
      <c r="AE54" s="849"/>
      <c r="AF54" s="849"/>
      <c r="AG54" s="849"/>
      <c r="AH54" s="849"/>
      <c r="AI54" s="849"/>
      <c r="AJ54" s="849"/>
      <c r="AK54" s="849"/>
      <c r="AL54" s="849"/>
      <c r="AM54" s="849"/>
      <c r="AN54" s="849"/>
      <c r="AO54" s="849"/>
      <c r="AP54" s="849"/>
      <c r="AQ54" s="849"/>
      <c r="AR54" s="849"/>
      <c r="AS54" s="849"/>
      <c r="AT54" s="849"/>
      <c r="AU54" s="849"/>
      <c r="AV54" s="849"/>
      <c r="AW54" s="849"/>
      <c r="AX54" s="849"/>
      <c r="AY54" s="849"/>
      <c r="AZ54" s="849"/>
      <c r="BA54" s="854"/>
      <c r="BB54" s="854"/>
      <c r="BC54" s="854"/>
      <c r="BD54" s="854"/>
      <c r="BE54" s="854"/>
      <c r="BF54" s="854"/>
      <c r="BG54" s="854"/>
      <c r="BH54" s="854"/>
      <c r="BI54" s="854"/>
    </row>
    <row r="55" spans="1:61" x14ac:dyDescent="0.35">
      <c r="A55" s="849"/>
      <c r="B55" s="849"/>
      <c r="C55" s="849"/>
      <c r="D55" s="849"/>
      <c r="E55" s="849"/>
      <c r="F55" s="849"/>
      <c r="G55" s="849"/>
      <c r="H55" s="849"/>
      <c r="I55" s="849"/>
      <c r="J55" s="849"/>
      <c r="K55" s="849"/>
      <c r="L55" s="849"/>
      <c r="M55" s="849"/>
      <c r="N55" s="849"/>
      <c r="O55" s="849"/>
      <c r="P55" s="849"/>
      <c r="Q55" s="849"/>
      <c r="R55" s="849"/>
      <c r="S55" s="849"/>
      <c r="T55" s="849"/>
      <c r="U55" s="849"/>
      <c r="V55" s="849"/>
      <c r="W55" s="849"/>
      <c r="X55" s="849"/>
      <c r="Y55" s="849"/>
      <c r="Z55" s="849"/>
      <c r="AA55" s="849"/>
      <c r="AB55" s="849"/>
      <c r="AC55" s="849"/>
      <c r="AD55" s="849"/>
      <c r="AE55" s="849"/>
      <c r="AF55" s="849"/>
      <c r="AG55" s="849"/>
      <c r="AH55" s="849"/>
      <c r="AI55" s="849"/>
      <c r="AJ55" s="849"/>
      <c r="AK55" s="849"/>
      <c r="AL55" s="849"/>
      <c r="AM55" s="849"/>
      <c r="AN55" s="849"/>
      <c r="AO55" s="849"/>
      <c r="AP55" s="849"/>
      <c r="AQ55" s="849"/>
      <c r="AR55" s="849"/>
      <c r="AS55" s="849"/>
      <c r="AT55" s="849"/>
      <c r="AU55" s="849"/>
      <c r="AV55" s="849"/>
      <c r="AW55" s="849"/>
      <c r="AX55" s="849"/>
      <c r="AY55" s="849"/>
      <c r="AZ55" s="849"/>
      <c r="BA55" s="854"/>
      <c r="BB55" s="854"/>
      <c r="BC55" s="854"/>
      <c r="BD55" s="854"/>
      <c r="BE55" s="854"/>
      <c r="BF55" s="854"/>
      <c r="BG55" s="854"/>
      <c r="BH55" s="854"/>
      <c r="BI55" s="854"/>
    </row>
    <row r="56" spans="1:61" x14ac:dyDescent="0.35">
      <c r="A56" s="849"/>
      <c r="B56" s="849"/>
      <c r="C56" s="849"/>
      <c r="D56" s="849"/>
      <c r="E56" s="849"/>
      <c r="F56" s="849"/>
      <c r="G56" s="849"/>
      <c r="H56" s="849"/>
      <c r="I56" s="849"/>
      <c r="J56" s="849"/>
      <c r="K56" s="849"/>
      <c r="L56" s="849"/>
      <c r="M56" s="849"/>
      <c r="N56" s="849"/>
      <c r="O56" s="849"/>
      <c r="P56" s="849"/>
      <c r="Q56" s="849"/>
      <c r="R56" s="849"/>
      <c r="S56" s="849"/>
      <c r="T56" s="849"/>
      <c r="U56" s="849"/>
      <c r="V56" s="849"/>
      <c r="W56" s="849"/>
      <c r="X56" s="849"/>
      <c r="Y56" s="849"/>
      <c r="Z56" s="849"/>
      <c r="AA56" s="849"/>
      <c r="AB56" s="849"/>
      <c r="AC56" s="849"/>
      <c r="AD56" s="849"/>
      <c r="AE56" s="849"/>
      <c r="AF56" s="849"/>
      <c r="AG56" s="849"/>
      <c r="AH56" s="849"/>
      <c r="AI56" s="849"/>
      <c r="AJ56" s="849"/>
      <c r="AK56" s="849"/>
      <c r="AL56" s="849"/>
      <c r="AM56" s="849"/>
      <c r="AN56" s="849"/>
      <c r="AO56" s="849"/>
      <c r="AP56" s="849"/>
      <c r="AQ56" s="849"/>
      <c r="AR56" s="849"/>
      <c r="AS56" s="849"/>
      <c r="AT56" s="849"/>
      <c r="AU56" s="849"/>
      <c r="AV56" s="849"/>
      <c r="AW56" s="849"/>
      <c r="AX56" s="849"/>
      <c r="AY56" s="849"/>
      <c r="AZ56" s="849"/>
      <c r="BA56" s="854"/>
      <c r="BB56" s="854"/>
      <c r="BC56" s="854"/>
      <c r="BD56" s="854"/>
      <c r="BE56" s="854"/>
      <c r="BF56" s="854"/>
      <c r="BG56" s="854"/>
      <c r="BH56" s="854"/>
      <c r="BI56" s="854"/>
    </row>
    <row r="57" spans="1:61" x14ac:dyDescent="0.35">
      <c r="A57" s="849"/>
      <c r="B57" s="849"/>
      <c r="C57" s="849"/>
      <c r="D57" s="849"/>
      <c r="E57" s="849"/>
      <c r="F57" s="849"/>
      <c r="G57" s="849"/>
      <c r="H57" s="849"/>
      <c r="I57" s="849"/>
      <c r="J57" s="849"/>
      <c r="K57" s="849"/>
      <c r="L57" s="849"/>
      <c r="M57" s="849"/>
      <c r="N57" s="849"/>
      <c r="O57" s="849"/>
      <c r="P57" s="849"/>
      <c r="Q57" s="849"/>
      <c r="R57" s="849"/>
      <c r="S57" s="849"/>
      <c r="T57" s="849"/>
      <c r="U57" s="849"/>
      <c r="V57" s="849"/>
      <c r="W57" s="849"/>
      <c r="X57" s="849"/>
      <c r="Y57" s="849"/>
      <c r="Z57" s="849"/>
      <c r="AA57" s="849"/>
      <c r="AB57" s="849"/>
      <c r="AC57" s="849"/>
      <c r="AD57" s="849"/>
      <c r="AE57" s="849"/>
      <c r="AF57" s="849"/>
      <c r="AG57" s="849"/>
      <c r="AH57" s="849"/>
      <c r="AI57" s="849"/>
      <c r="AJ57" s="849"/>
      <c r="AK57" s="849"/>
      <c r="AL57" s="849"/>
      <c r="AM57" s="849"/>
      <c r="AN57" s="849"/>
      <c r="AO57" s="849"/>
      <c r="AP57" s="849"/>
      <c r="AQ57" s="849"/>
      <c r="AR57" s="849"/>
      <c r="AS57" s="849"/>
      <c r="AT57" s="849"/>
      <c r="AU57" s="849"/>
      <c r="AV57" s="849"/>
      <c r="AW57" s="849"/>
      <c r="AX57" s="849"/>
      <c r="AY57" s="849"/>
      <c r="AZ57" s="849"/>
      <c r="BA57" s="854"/>
      <c r="BB57" s="854"/>
      <c r="BC57" s="854"/>
      <c r="BD57" s="854"/>
      <c r="BE57" s="854"/>
      <c r="BF57" s="854"/>
      <c r="BG57" s="854"/>
      <c r="BH57" s="854"/>
      <c r="BI57" s="854"/>
    </row>
    <row r="58" spans="1:61" x14ac:dyDescent="0.35">
      <c r="A58" s="849"/>
      <c r="B58" s="849"/>
      <c r="C58" s="849"/>
      <c r="D58" s="849"/>
      <c r="E58" s="849"/>
      <c r="F58" s="849"/>
      <c r="G58" s="849"/>
      <c r="H58" s="849"/>
      <c r="I58" s="849"/>
      <c r="J58" s="849"/>
      <c r="K58" s="849"/>
      <c r="L58" s="849"/>
      <c r="M58" s="849"/>
      <c r="N58" s="849"/>
      <c r="O58" s="849"/>
      <c r="P58" s="849"/>
      <c r="Q58" s="849"/>
      <c r="R58" s="849"/>
      <c r="S58" s="849"/>
      <c r="T58" s="849"/>
      <c r="U58" s="849"/>
      <c r="V58" s="849"/>
      <c r="W58" s="849"/>
      <c r="X58" s="849"/>
      <c r="Y58" s="849"/>
      <c r="Z58" s="849"/>
      <c r="AA58" s="849"/>
      <c r="AB58" s="849"/>
      <c r="AC58" s="849"/>
      <c r="AD58" s="849"/>
      <c r="AE58" s="849"/>
      <c r="AF58" s="849"/>
      <c r="AG58" s="849"/>
      <c r="AH58" s="849"/>
      <c r="AI58" s="849"/>
      <c r="AJ58" s="849"/>
      <c r="AK58" s="849"/>
      <c r="AL58" s="849"/>
      <c r="AM58" s="849"/>
      <c r="AN58" s="849"/>
      <c r="AO58" s="849"/>
      <c r="AP58" s="849"/>
      <c r="AQ58" s="849"/>
      <c r="AR58" s="849"/>
      <c r="AS58" s="849"/>
      <c r="AT58" s="849"/>
      <c r="AU58" s="849"/>
      <c r="AV58" s="849"/>
      <c r="AW58" s="849"/>
      <c r="AX58" s="849"/>
      <c r="AY58" s="849"/>
      <c r="AZ58" s="849"/>
      <c r="BA58" s="854"/>
      <c r="BB58" s="854"/>
      <c r="BC58" s="854"/>
      <c r="BD58" s="854"/>
      <c r="BE58" s="854"/>
      <c r="BF58" s="854"/>
      <c r="BG58" s="854"/>
      <c r="BH58" s="854"/>
      <c r="BI58" s="854"/>
    </row>
    <row r="59" spans="1:61" x14ac:dyDescent="0.35">
      <c r="A59" s="849"/>
      <c r="B59" s="849"/>
      <c r="C59" s="849"/>
      <c r="D59" s="849"/>
      <c r="E59" s="849"/>
      <c r="F59" s="849"/>
      <c r="G59" s="849"/>
      <c r="H59" s="849"/>
      <c r="I59" s="849"/>
      <c r="J59" s="849"/>
      <c r="K59" s="849"/>
      <c r="L59" s="849"/>
      <c r="M59" s="849"/>
      <c r="N59" s="849"/>
      <c r="O59" s="849"/>
      <c r="P59" s="849"/>
      <c r="Q59" s="849"/>
      <c r="R59" s="849"/>
      <c r="S59" s="849"/>
      <c r="T59" s="849"/>
      <c r="U59" s="849"/>
      <c r="V59" s="849"/>
      <c r="W59" s="849"/>
      <c r="X59" s="849"/>
      <c r="Y59" s="849"/>
      <c r="Z59" s="849"/>
      <c r="AA59" s="849"/>
      <c r="AB59" s="849"/>
      <c r="AC59" s="849"/>
      <c r="AD59" s="849"/>
      <c r="AE59" s="849"/>
      <c r="AF59" s="849"/>
      <c r="AG59" s="849"/>
      <c r="AH59" s="849"/>
      <c r="AI59" s="849"/>
      <c r="AJ59" s="849"/>
      <c r="AK59" s="849"/>
      <c r="AL59" s="849"/>
      <c r="AM59" s="849"/>
      <c r="AN59" s="849"/>
      <c r="AO59" s="849"/>
      <c r="AP59" s="849"/>
      <c r="AQ59" s="849"/>
      <c r="AR59" s="849"/>
      <c r="AS59" s="849"/>
      <c r="AT59" s="849"/>
      <c r="AU59" s="849"/>
      <c r="AV59" s="849"/>
      <c r="AW59" s="849"/>
      <c r="AX59" s="849"/>
      <c r="AY59" s="849"/>
      <c r="AZ59" s="849"/>
      <c r="BA59" s="854"/>
      <c r="BB59" s="854"/>
      <c r="BC59" s="854"/>
      <c r="BD59" s="854"/>
      <c r="BE59" s="854"/>
      <c r="BF59" s="854"/>
      <c r="BG59" s="854"/>
      <c r="BH59" s="854"/>
      <c r="BI59" s="854"/>
    </row>
    <row r="60" spans="1:61" x14ac:dyDescent="0.35">
      <c r="A60" s="849"/>
      <c r="B60" s="849"/>
      <c r="C60" s="849"/>
      <c r="D60" s="849"/>
      <c r="E60" s="849"/>
      <c r="F60" s="849"/>
      <c r="G60" s="849"/>
      <c r="H60" s="849"/>
      <c r="I60" s="849"/>
      <c r="J60" s="849"/>
      <c r="K60" s="849"/>
      <c r="L60" s="849"/>
      <c r="M60" s="849"/>
      <c r="N60" s="849"/>
      <c r="O60" s="849"/>
      <c r="P60" s="849"/>
      <c r="Q60" s="849"/>
      <c r="R60" s="849"/>
      <c r="S60" s="849"/>
      <c r="T60" s="849"/>
      <c r="U60" s="849"/>
      <c r="V60" s="849"/>
      <c r="W60" s="849"/>
      <c r="X60" s="849"/>
      <c r="Y60" s="849"/>
      <c r="Z60" s="849"/>
      <c r="AA60" s="849"/>
      <c r="AB60" s="849"/>
      <c r="AC60" s="849"/>
      <c r="AD60" s="849"/>
      <c r="AE60" s="849"/>
      <c r="AF60" s="849"/>
      <c r="AG60" s="849"/>
      <c r="AH60" s="849"/>
      <c r="AI60" s="849"/>
      <c r="AJ60" s="849"/>
      <c r="AK60" s="849"/>
      <c r="AL60" s="849"/>
      <c r="AM60" s="849"/>
      <c r="AN60" s="849"/>
      <c r="AO60" s="849"/>
      <c r="AP60" s="849"/>
      <c r="AQ60" s="849"/>
      <c r="AR60" s="849"/>
      <c r="AS60" s="849"/>
      <c r="AT60" s="849"/>
      <c r="AU60" s="849"/>
      <c r="AV60" s="849"/>
      <c r="AW60" s="849"/>
      <c r="AX60" s="849"/>
      <c r="AY60" s="849"/>
      <c r="AZ60" s="849"/>
      <c r="BA60" s="854"/>
      <c r="BB60" s="854"/>
      <c r="BC60" s="854"/>
      <c r="BD60" s="854"/>
      <c r="BE60" s="854"/>
      <c r="BF60" s="854"/>
      <c r="BG60" s="854"/>
      <c r="BH60" s="854"/>
      <c r="BI60" s="854"/>
    </row>
    <row r="61" spans="1:61" x14ac:dyDescent="0.35">
      <c r="A61" s="849"/>
      <c r="B61" s="849"/>
      <c r="C61" s="849"/>
      <c r="D61" s="849"/>
      <c r="E61" s="849"/>
      <c r="F61" s="849"/>
      <c r="G61" s="849"/>
      <c r="H61" s="849"/>
      <c r="I61" s="849"/>
      <c r="J61" s="849"/>
      <c r="K61" s="849"/>
      <c r="L61" s="849"/>
      <c r="M61" s="849"/>
      <c r="N61" s="849"/>
      <c r="O61" s="849"/>
      <c r="P61" s="849"/>
      <c r="Q61" s="849"/>
      <c r="R61" s="849"/>
      <c r="S61" s="849"/>
      <c r="T61" s="849"/>
      <c r="U61" s="849"/>
      <c r="V61" s="849"/>
      <c r="W61" s="849"/>
      <c r="X61" s="849"/>
      <c r="Y61" s="849"/>
      <c r="Z61" s="849"/>
      <c r="AA61" s="849"/>
      <c r="AB61" s="849"/>
      <c r="AC61" s="849"/>
      <c r="AD61" s="849"/>
      <c r="AE61" s="849"/>
      <c r="AF61" s="849"/>
      <c r="AG61" s="849"/>
      <c r="AH61" s="849"/>
      <c r="AI61" s="849"/>
      <c r="AJ61" s="849"/>
      <c r="AK61" s="849"/>
      <c r="AL61" s="849"/>
      <c r="AM61" s="849"/>
      <c r="AN61" s="849"/>
      <c r="AO61" s="849"/>
      <c r="AP61" s="849"/>
      <c r="AQ61" s="849"/>
      <c r="AR61" s="849"/>
      <c r="AS61" s="849"/>
      <c r="AT61" s="849"/>
      <c r="AU61" s="849"/>
      <c r="AV61" s="849"/>
      <c r="AW61" s="849"/>
      <c r="AX61" s="849"/>
      <c r="AY61" s="849"/>
      <c r="AZ61" s="849"/>
      <c r="BA61" s="854"/>
      <c r="BB61" s="854"/>
      <c r="BC61" s="854"/>
      <c r="BD61" s="854"/>
      <c r="BE61" s="854"/>
      <c r="BF61" s="854"/>
      <c r="BG61" s="854"/>
      <c r="BH61" s="854"/>
      <c r="BI61" s="854"/>
    </row>
    <row r="62" spans="1:61" x14ac:dyDescent="0.35">
      <c r="A62" s="849"/>
      <c r="B62" s="849"/>
      <c r="C62" s="849"/>
      <c r="D62" s="849"/>
      <c r="E62" s="849"/>
      <c r="F62" s="849"/>
      <c r="G62" s="849"/>
      <c r="H62" s="849"/>
      <c r="I62" s="849"/>
      <c r="J62" s="849"/>
      <c r="K62" s="849"/>
      <c r="L62" s="849"/>
      <c r="M62" s="849"/>
      <c r="N62" s="849"/>
      <c r="O62" s="849"/>
      <c r="P62" s="849"/>
      <c r="Q62" s="849"/>
      <c r="R62" s="849"/>
      <c r="S62" s="849"/>
      <c r="T62" s="849"/>
      <c r="U62" s="849"/>
      <c r="V62" s="849"/>
      <c r="W62" s="849"/>
      <c r="X62" s="849"/>
      <c r="Y62" s="849"/>
      <c r="Z62" s="849"/>
      <c r="AA62" s="849"/>
      <c r="AB62" s="849"/>
      <c r="AC62" s="849"/>
      <c r="AD62" s="849"/>
      <c r="AE62" s="849"/>
      <c r="AF62" s="849"/>
      <c r="AG62" s="849"/>
      <c r="AH62" s="849"/>
      <c r="AI62" s="849"/>
      <c r="AJ62" s="849"/>
      <c r="AK62" s="849"/>
      <c r="AL62" s="849"/>
      <c r="AM62" s="849"/>
      <c r="AN62" s="849"/>
      <c r="AO62" s="849"/>
      <c r="AP62" s="849"/>
      <c r="AQ62" s="849"/>
      <c r="AR62" s="849"/>
      <c r="AS62" s="849"/>
      <c r="AT62" s="849"/>
      <c r="AU62" s="849"/>
      <c r="AV62" s="849"/>
      <c r="AW62" s="849"/>
      <c r="AX62" s="849"/>
      <c r="AY62" s="849"/>
      <c r="AZ62" s="849"/>
      <c r="BA62" s="854"/>
      <c r="BB62" s="854"/>
      <c r="BC62" s="854"/>
      <c r="BD62" s="854"/>
      <c r="BE62" s="854"/>
      <c r="BF62" s="854"/>
      <c r="BG62" s="854"/>
      <c r="BH62" s="854"/>
      <c r="BI62" s="854"/>
    </row>
    <row r="63" spans="1:61" x14ac:dyDescent="0.35">
      <c r="A63" s="849"/>
      <c r="B63" s="849"/>
      <c r="C63" s="849"/>
      <c r="D63" s="849"/>
      <c r="E63" s="849"/>
      <c r="F63" s="849"/>
      <c r="G63" s="849"/>
      <c r="H63" s="849"/>
      <c r="I63" s="849"/>
      <c r="J63" s="849"/>
      <c r="K63" s="849"/>
      <c r="L63" s="849"/>
      <c r="M63" s="849"/>
      <c r="N63" s="849"/>
      <c r="O63" s="849"/>
      <c r="P63" s="849"/>
      <c r="Q63" s="849"/>
      <c r="R63" s="849"/>
      <c r="S63" s="849"/>
      <c r="T63" s="849"/>
      <c r="U63" s="849"/>
      <c r="V63" s="849"/>
      <c r="W63" s="849"/>
      <c r="X63" s="849"/>
      <c r="Y63" s="849"/>
      <c r="Z63" s="849"/>
      <c r="AA63" s="849"/>
      <c r="AB63" s="849"/>
      <c r="AC63" s="849"/>
      <c r="AD63" s="849"/>
      <c r="AE63" s="849"/>
      <c r="AF63" s="849"/>
      <c r="AG63" s="849"/>
      <c r="AH63" s="849"/>
      <c r="AI63" s="849"/>
      <c r="AJ63" s="849"/>
      <c r="AK63" s="849"/>
      <c r="AL63" s="849"/>
      <c r="AM63" s="849"/>
      <c r="AN63" s="849"/>
      <c r="AO63" s="849"/>
      <c r="AP63" s="849"/>
      <c r="AQ63" s="849"/>
      <c r="AR63" s="849"/>
      <c r="AS63" s="849"/>
      <c r="AT63" s="849"/>
      <c r="AU63" s="849"/>
      <c r="AV63" s="849"/>
      <c r="AW63" s="849"/>
      <c r="AX63" s="849"/>
      <c r="AY63" s="849"/>
      <c r="AZ63" s="849"/>
      <c r="BA63" s="854"/>
      <c r="BB63" s="854"/>
      <c r="BC63" s="854"/>
      <c r="BD63" s="854"/>
      <c r="BE63" s="854"/>
      <c r="BF63" s="854"/>
      <c r="BG63" s="854"/>
      <c r="BH63" s="854"/>
      <c r="BI63" s="854"/>
    </row>
    <row r="64" spans="1:61" x14ac:dyDescent="0.35">
      <c r="A64" s="849"/>
      <c r="B64" s="849"/>
      <c r="C64" s="849"/>
      <c r="D64" s="849"/>
      <c r="E64" s="849"/>
      <c r="F64" s="849"/>
      <c r="G64" s="849"/>
      <c r="H64" s="849"/>
      <c r="I64" s="849"/>
      <c r="J64" s="849"/>
      <c r="K64" s="849"/>
      <c r="L64" s="849"/>
      <c r="M64" s="849"/>
      <c r="N64" s="849"/>
      <c r="O64" s="849"/>
      <c r="P64" s="849"/>
      <c r="Q64" s="849"/>
      <c r="R64" s="849"/>
      <c r="S64" s="849"/>
      <c r="T64" s="849"/>
      <c r="U64" s="849"/>
      <c r="V64" s="849"/>
      <c r="W64" s="849"/>
      <c r="X64" s="849"/>
      <c r="Y64" s="849"/>
      <c r="Z64" s="849"/>
      <c r="AA64" s="849"/>
      <c r="AB64" s="849"/>
      <c r="AC64" s="849"/>
      <c r="AD64" s="849"/>
      <c r="AE64" s="849"/>
      <c r="AF64" s="849"/>
      <c r="AG64" s="849"/>
      <c r="AH64" s="849"/>
      <c r="AI64" s="849"/>
      <c r="AJ64" s="849"/>
      <c r="AK64" s="849"/>
      <c r="AL64" s="849"/>
      <c r="AM64" s="849"/>
      <c r="AN64" s="849"/>
      <c r="AO64" s="849"/>
      <c r="AP64" s="849"/>
      <c r="AQ64" s="849"/>
      <c r="AR64" s="849"/>
      <c r="AS64" s="849"/>
      <c r="AT64" s="849"/>
      <c r="AU64" s="849"/>
      <c r="AV64" s="849"/>
      <c r="AW64" s="849"/>
      <c r="AX64" s="849"/>
      <c r="AY64" s="849"/>
      <c r="AZ64" s="849"/>
      <c r="BA64" s="854"/>
      <c r="BB64" s="854"/>
      <c r="BC64" s="854"/>
      <c r="BD64" s="854"/>
      <c r="BE64" s="854"/>
      <c r="BF64" s="854"/>
      <c r="BG64" s="854"/>
      <c r="BH64" s="854"/>
      <c r="BI64" s="854"/>
    </row>
    <row r="65" spans="1:61" x14ac:dyDescent="0.35">
      <c r="A65" s="849"/>
      <c r="B65" s="849"/>
      <c r="C65" s="849"/>
      <c r="D65" s="849"/>
      <c r="E65" s="849"/>
      <c r="F65" s="849"/>
      <c r="G65" s="849"/>
      <c r="H65" s="849"/>
      <c r="I65" s="849"/>
      <c r="J65" s="849"/>
      <c r="K65" s="849"/>
      <c r="L65" s="849"/>
      <c r="M65" s="849"/>
      <c r="N65" s="849"/>
      <c r="O65" s="849"/>
      <c r="P65" s="849"/>
      <c r="Q65" s="849"/>
      <c r="R65" s="849"/>
      <c r="S65" s="849"/>
      <c r="T65" s="849"/>
      <c r="U65" s="849"/>
      <c r="V65" s="849"/>
      <c r="W65" s="849"/>
      <c r="X65" s="849"/>
      <c r="Y65" s="849"/>
      <c r="Z65" s="849"/>
      <c r="AA65" s="849"/>
      <c r="AB65" s="849"/>
      <c r="AC65" s="849"/>
      <c r="AD65" s="849"/>
      <c r="AE65" s="849"/>
      <c r="AF65" s="849"/>
      <c r="AG65" s="849"/>
      <c r="AH65" s="849"/>
      <c r="AI65" s="849"/>
      <c r="AJ65" s="849"/>
      <c r="AK65" s="849"/>
      <c r="AL65" s="849"/>
      <c r="AM65" s="849"/>
      <c r="AN65" s="849"/>
      <c r="AO65" s="849"/>
      <c r="AP65" s="849"/>
      <c r="AQ65" s="849"/>
      <c r="AR65" s="849"/>
      <c r="AS65" s="849"/>
      <c r="AT65" s="849"/>
      <c r="AU65" s="849"/>
      <c r="AV65" s="849"/>
      <c r="AW65" s="849"/>
      <c r="AX65" s="849"/>
      <c r="AY65" s="849"/>
      <c r="AZ65" s="849"/>
      <c r="BA65" s="854"/>
      <c r="BB65" s="854"/>
      <c r="BC65" s="854"/>
      <c r="BD65" s="854"/>
      <c r="BE65" s="854"/>
      <c r="BF65" s="854"/>
      <c r="BG65" s="854"/>
      <c r="BH65" s="854"/>
      <c r="BI65" s="854"/>
    </row>
    <row r="66" spans="1:61" x14ac:dyDescent="0.35">
      <c r="A66" s="849"/>
      <c r="B66" s="849"/>
      <c r="C66" s="849"/>
      <c r="D66" s="849"/>
      <c r="E66" s="849"/>
      <c r="F66" s="849"/>
      <c r="G66" s="849"/>
      <c r="H66" s="849"/>
      <c r="I66" s="849"/>
      <c r="J66" s="849"/>
      <c r="K66" s="849"/>
      <c r="L66" s="849"/>
      <c r="M66" s="849"/>
      <c r="N66" s="849"/>
      <c r="O66" s="849"/>
      <c r="P66" s="849"/>
      <c r="Q66" s="849"/>
      <c r="R66" s="849"/>
      <c r="S66" s="849"/>
      <c r="T66" s="849"/>
      <c r="U66" s="849"/>
      <c r="V66" s="849"/>
      <c r="W66" s="849"/>
      <c r="X66" s="849"/>
      <c r="Y66" s="849"/>
      <c r="Z66" s="849"/>
      <c r="AA66" s="849"/>
      <c r="AB66" s="849"/>
      <c r="AC66" s="849"/>
      <c r="AD66" s="849"/>
      <c r="AE66" s="849"/>
      <c r="AF66" s="849"/>
      <c r="AG66" s="849"/>
      <c r="AH66" s="849"/>
      <c r="AI66" s="849"/>
      <c r="AJ66" s="849"/>
      <c r="AK66" s="849"/>
      <c r="AL66" s="849"/>
      <c r="AM66" s="849"/>
      <c r="AN66" s="849"/>
      <c r="AO66" s="849"/>
      <c r="AP66" s="849"/>
      <c r="AQ66" s="849"/>
      <c r="AR66" s="849"/>
      <c r="AS66" s="849"/>
      <c r="AT66" s="849"/>
      <c r="AU66" s="849"/>
      <c r="AV66" s="849"/>
      <c r="AW66" s="849"/>
      <c r="AX66" s="849"/>
      <c r="AY66" s="849"/>
      <c r="AZ66" s="849"/>
      <c r="BA66" s="854"/>
      <c r="BB66" s="854"/>
      <c r="BC66" s="854"/>
      <c r="BD66" s="854"/>
      <c r="BE66" s="854"/>
      <c r="BF66" s="854"/>
      <c r="BG66" s="854"/>
      <c r="BH66" s="854"/>
      <c r="BI66" s="854"/>
    </row>
    <row r="67" spans="1:61" x14ac:dyDescent="0.35">
      <c r="A67" s="849"/>
      <c r="B67" s="849"/>
      <c r="C67" s="849"/>
      <c r="D67" s="849"/>
      <c r="E67" s="849"/>
      <c r="F67" s="849"/>
      <c r="G67" s="849"/>
      <c r="H67" s="849"/>
      <c r="I67" s="849"/>
      <c r="J67" s="849"/>
      <c r="K67" s="849"/>
      <c r="L67" s="849"/>
      <c r="M67" s="849"/>
      <c r="N67" s="849"/>
      <c r="O67" s="849"/>
      <c r="P67" s="849"/>
      <c r="Q67" s="849"/>
      <c r="R67" s="849"/>
      <c r="S67" s="849"/>
      <c r="T67" s="849"/>
      <c r="U67" s="849"/>
      <c r="V67" s="849"/>
      <c r="W67" s="849"/>
      <c r="X67" s="849"/>
      <c r="Y67" s="849"/>
      <c r="Z67" s="849"/>
      <c r="AA67" s="849"/>
      <c r="AB67" s="849"/>
      <c r="AC67" s="849"/>
      <c r="AD67" s="849"/>
      <c r="AE67" s="849"/>
      <c r="AF67" s="849"/>
      <c r="AG67" s="849"/>
      <c r="AH67" s="849"/>
      <c r="AI67" s="849"/>
      <c r="AJ67" s="849"/>
      <c r="AK67" s="849"/>
      <c r="AL67" s="849"/>
      <c r="AM67" s="849"/>
      <c r="AN67" s="849"/>
      <c r="AO67" s="849"/>
      <c r="AP67" s="849"/>
      <c r="AQ67" s="849"/>
      <c r="AR67" s="849"/>
      <c r="AS67" s="849"/>
      <c r="AT67" s="849"/>
      <c r="AU67" s="849"/>
      <c r="AV67" s="849"/>
      <c r="AW67" s="849"/>
      <c r="AX67" s="849"/>
      <c r="AY67" s="849"/>
      <c r="AZ67" s="849"/>
      <c r="BA67" s="854"/>
      <c r="BB67" s="854"/>
      <c r="BC67" s="854"/>
      <c r="BD67" s="854"/>
      <c r="BE67" s="854"/>
      <c r="BF67" s="854"/>
      <c r="BG67" s="854"/>
      <c r="BH67" s="854"/>
      <c r="BI67" s="854"/>
    </row>
    <row r="68" spans="1:61" x14ac:dyDescent="0.35">
      <c r="A68" s="849"/>
      <c r="B68" s="849"/>
      <c r="C68" s="849"/>
      <c r="D68" s="849"/>
      <c r="E68" s="849"/>
      <c r="F68" s="849"/>
      <c r="G68" s="849"/>
      <c r="H68" s="849"/>
      <c r="I68" s="849"/>
      <c r="J68" s="849"/>
      <c r="K68" s="849"/>
      <c r="L68" s="849"/>
      <c r="M68" s="849"/>
      <c r="N68" s="849"/>
      <c r="O68" s="849"/>
      <c r="P68" s="849"/>
      <c r="Q68" s="849"/>
      <c r="R68" s="849"/>
      <c r="S68" s="849"/>
      <c r="T68" s="849"/>
      <c r="U68" s="849"/>
      <c r="V68" s="849"/>
      <c r="W68" s="849"/>
      <c r="X68" s="849"/>
      <c r="Y68" s="849"/>
      <c r="Z68" s="849"/>
      <c r="AA68" s="849"/>
      <c r="AB68" s="849"/>
      <c r="AC68" s="849"/>
      <c r="AD68" s="849"/>
      <c r="AE68" s="849"/>
      <c r="AF68" s="849"/>
      <c r="AG68" s="849"/>
      <c r="AH68" s="849"/>
      <c r="AI68" s="849"/>
      <c r="AJ68" s="849"/>
      <c r="AK68" s="849"/>
      <c r="AL68" s="849"/>
      <c r="AM68" s="849"/>
      <c r="AN68" s="849"/>
      <c r="AO68" s="849"/>
      <c r="AP68" s="849"/>
      <c r="AQ68" s="849"/>
      <c r="AR68" s="849"/>
      <c r="AS68" s="849"/>
      <c r="AT68" s="849"/>
      <c r="AU68" s="849"/>
      <c r="AV68" s="849"/>
      <c r="AW68" s="849"/>
      <c r="AX68" s="849"/>
      <c r="AY68" s="849"/>
      <c r="AZ68" s="849"/>
      <c r="BA68" s="854"/>
      <c r="BB68" s="854"/>
      <c r="BC68" s="854"/>
      <c r="BD68" s="854"/>
      <c r="BE68" s="854"/>
      <c r="BF68" s="854"/>
      <c r="BG68" s="854"/>
      <c r="BH68" s="854"/>
      <c r="BI68" s="854"/>
    </row>
    <row r="69" spans="1:61" x14ac:dyDescent="0.35">
      <c r="A69" s="849"/>
      <c r="B69" s="849"/>
      <c r="C69" s="849"/>
      <c r="D69" s="849"/>
      <c r="E69" s="849"/>
      <c r="F69" s="849"/>
      <c r="G69" s="849"/>
      <c r="H69" s="849"/>
      <c r="I69" s="849"/>
      <c r="J69" s="849"/>
      <c r="K69" s="849"/>
      <c r="L69" s="849"/>
      <c r="M69" s="849"/>
      <c r="N69" s="849"/>
      <c r="O69" s="849"/>
      <c r="P69" s="849"/>
      <c r="Q69" s="849"/>
      <c r="R69" s="849"/>
      <c r="S69" s="849"/>
      <c r="T69" s="849"/>
      <c r="U69" s="849"/>
      <c r="V69" s="849"/>
      <c r="W69" s="849"/>
      <c r="X69" s="849"/>
      <c r="Y69" s="849"/>
      <c r="Z69" s="849"/>
      <c r="AA69" s="849"/>
      <c r="AB69" s="849"/>
      <c r="AC69" s="849"/>
      <c r="AD69" s="849"/>
      <c r="AE69" s="849"/>
      <c r="AF69" s="849"/>
      <c r="AG69" s="849"/>
      <c r="AH69" s="849"/>
      <c r="AI69" s="849"/>
      <c r="AJ69" s="849"/>
      <c r="AK69" s="849"/>
      <c r="AL69" s="849"/>
      <c r="AM69" s="849"/>
      <c r="AN69" s="849"/>
      <c r="AO69" s="849"/>
      <c r="AP69" s="849"/>
      <c r="AQ69" s="849"/>
      <c r="AR69" s="849"/>
      <c r="AS69" s="849"/>
      <c r="AT69" s="849"/>
      <c r="AU69" s="849"/>
      <c r="AV69" s="849"/>
      <c r="AW69" s="849"/>
      <c r="AX69" s="849"/>
      <c r="AY69" s="849"/>
      <c r="AZ69" s="849"/>
      <c r="BA69" s="854"/>
      <c r="BB69" s="854"/>
      <c r="BC69" s="854"/>
      <c r="BD69" s="854"/>
      <c r="BE69" s="854"/>
      <c r="BF69" s="854"/>
      <c r="BG69" s="854"/>
      <c r="BH69" s="854"/>
      <c r="BI69" s="854"/>
    </row>
    <row r="70" spans="1:61" x14ac:dyDescent="0.35">
      <c r="A70" s="849"/>
      <c r="B70" s="849"/>
      <c r="C70" s="849"/>
      <c r="D70" s="849"/>
      <c r="E70" s="849"/>
      <c r="F70" s="849"/>
      <c r="G70" s="849"/>
      <c r="H70" s="849"/>
      <c r="I70" s="849"/>
      <c r="J70" s="849"/>
      <c r="K70" s="849"/>
      <c r="L70" s="849"/>
      <c r="M70" s="849"/>
      <c r="N70" s="849"/>
      <c r="O70" s="849"/>
      <c r="P70" s="849"/>
      <c r="Q70" s="849"/>
      <c r="R70" s="849"/>
      <c r="S70" s="849"/>
      <c r="T70" s="849"/>
      <c r="U70" s="849"/>
      <c r="V70" s="849"/>
      <c r="W70" s="849"/>
      <c r="X70" s="849"/>
      <c r="Y70" s="849"/>
      <c r="Z70" s="849"/>
      <c r="AA70" s="849"/>
      <c r="AB70" s="849"/>
      <c r="AC70" s="849"/>
      <c r="AD70" s="849"/>
      <c r="AE70" s="849"/>
      <c r="AF70" s="849"/>
      <c r="AG70" s="849"/>
      <c r="AH70" s="849"/>
      <c r="AI70" s="849"/>
      <c r="AJ70" s="849"/>
      <c r="AK70" s="849"/>
      <c r="AL70" s="849"/>
      <c r="AM70" s="849"/>
      <c r="AN70" s="849"/>
      <c r="AO70" s="849"/>
      <c r="AP70" s="849"/>
      <c r="AQ70" s="849"/>
      <c r="AR70" s="849"/>
      <c r="AS70" s="849"/>
      <c r="AT70" s="849"/>
      <c r="AU70" s="849"/>
      <c r="AV70" s="849"/>
      <c r="AW70" s="849"/>
      <c r="AX70" s="849"/>
      <c r="AY70" s="849"/>
      <c r="AZ70" s="849"/>
      <c r="BA70" s="854"/>
      <c r="BB70" s="854"/>
      <c r="BC70" s="854"/>
      <c r="BD70" s="854"/>
      <c r="BE70" s="854"/>
      <c r="BF70" s="854"/>
      <c r="BG70" s="854"/>
      <c r="BH70" s="854"/>
      <c r="BI70" s="854"/>
    </row>
    <row r="71" spans="1:61" x14ac:dyDescent="0.35">
      <c r="A71" s="849"/>
      <c r="B71" s="849"/>
      <c r="C71" s="849"/>
      <c r="D71" s="849"/>
      <c r="E71" s="849"/>
      <c r="F71" s="849"/>
      <c r="G71" s="849"/>
      <c r="H71" s="849"/>
      <c r="I71" s="849"/>
      <c r="J71" s="849"/>
      <c r="K71" s="849"/>
      <c r="L71" s="849"/>
      <c r="M71" s="849"/>
      <c r="N71" s="849"/>
      <c r="O71" s="849"/>
      <c r="P71" s="849"/>
      <c r="Q71" s="849"/>
      <c r="R71" s="849"/>
      <c r="S71" s="849"/>
      <c r="T71" s="849"/>
      <c r="U71" s="849"/>
      <c r="V71" s="849"/>
      <c r="W71" s="849"/>
      <c r="X71" s="849"/>
      <c r="Y71" s="849"/>
      <c r="Z71" s="849"/>
      <c r="AA71" s="849"/>
      <c r="AB71" s="849"/>
      <c r="AC71" s="849"/>
      <c r="AD71" s="849"/>
      <c r="AE71" s="849"/>
      <c r="AF71" s="849"/>
      <c r="AG71" s="849"/>
      <c r="AH71" s="849"/>
      <c r="AI71" s="849"/>
      <c r="AJ71" s="849"/>
      <c r="AK71" s="849"/>
      <c r="AL71" s="849"/>
      <c r="AM71" s="849"/>
      <c r="AN71" s="849"/>
      <c r="AO71" s="849"/>
      <c r="AP71" s="849"/>
      <c r="AQ71" s="849"/>
      <c r="AR71" s="849"/>
      <c r="AS71" s="849"/>
      <c r="AT71" s="849"/>
      <c r="AU71" s="849"/>
      <c r="AV71" s="849"/>
      <c r="AW71" s="849"/>
      <c r="AX71" s="849"/>
      <c r="AY71" s="849"/>
      <c r="AZ71" s="849"/>
      <c r="BA71" s="854"/>
      <c r="BB71" s="854"/>
      <c r="BC71" s="854"/>
      <c r="BD71" s="854"/>
      <c r="BE71" s="854"/>
      <c r="BF71" s="854"/>
      <c r="BG71" s="854"/>
      <c r="BH71" s="854"/>
      <c r="BI71" s="854"/>
    </row>
    <row r="72" spans="1:61" x14ac:dyDescent="0.35">
      <c r="A72" s="849"/>
      <c r="B72" s="849"/>
      <c r="C72" s="849"/>
      <c r="D72" s="849"/>
      <c r="E72" s="849"/>
      <c r="F72" s="849"/>
      <c r="G72" s="849"/>
      <c r="H72" s="849"/>
      <c r="I72" s="849"/>
      <c r="J72" s="849"/>
      <c r="K72" s="849"/>
      <c r="L72" s="849"/>
      <c r="M72" s="849"/>
      <c r="N72" s="849"/>
      <c r="O72" s="849"/>
      <c r="P72" s="849"/>
      <c r="Q72" s="849"/>
      <c r="R72" s="849"/>
      <c r="S72" s="849"/>
      <c r="T72" s="849"/>
      <c r="U72" s="849"/>
      <c r="V72" s="849"/>
      <c r="W72" s="849"/>
      <c r="X72" s="849"/>
      <c r="Y72" s="849"/>
      <c r="Z72" s="849"/>
      <c r="AA72" s="849"/>
      <c r="AB72" s="849"/>
      <c r="AC72" s="849"/>
      <c r="AD72" s="849"/>
      <c r="AE72" s="849"/>
      <c r="AF72" s="849"/>
      <c r="AG72" s="849"/>
      <c r="AH72" s="849"/>
      <c r="AI72" s="849"/>
      <c r="AJ72" s="849"/>
      <c r="AK72" s="849"/>
      <c r="AL72" s="849"/>
      <c r="AM72" s="849"/>
      <c r="AN72" s="849"/>
      <c r="AO72" s="849"/>
      <c r="AP72" s="849"/>
      <c r="AQ72" s="849"/>
      <c r="AR72" s="849"/>
      <c r="AS72" s="849"/>
      <c r="AT72" s="849"/>
      <c r="AU72" s="849"/>
      <c r="AV72" s="849"/>
      <c r="AW72" s="849"/>
      <c r="AX72" s="849"/>
      <c r="AY72" s="849"/>
      <c r="AZ72" s="849"/>
      <c r="BA72" s="854"/>
      <c r="BB72" s="854"/>
      <c r="BC72" s="854"/>
      <c r="BD72" s="854"/>
      <c r="BE72" s="854"/>
      <c r="BF72" s="854"/>
      <c r="BG72" s="854"/>
      <c r="BH72" s="854"/>
      <c r="BI72" s="854"/>
    </row>
    <row r="73" spans="1:61" x14ac:dyDescent="0.35">
      <c r="A73" s="849"/>
      <c r="B73" s="849"/>
      <c r="C73" s="849"/>
      <c r="D73" s="849"/>
      <c r="E73" s="849"/>
      <c r="F73" s="849"/>
      <c r="G73" s="849"/>
      <c r="H73" s="849"/>
      <c r="I73" s="849"/>
      <c r="J73" s="849"/>
      <c r="K73" s="849"/>
      <c r="L73" s="849"/>
      <c r="M73" s="849"/>
      <c r="N73" s="849"/>
      <c r="O73" s="849"/>
      <c r="P73" s="849"/>
      <c r="Q73" s="849"/>
      <c r="R73" s="849"/>
      <c r="S73" s="849"/>
      <c r="T73" s="849"/>
      <c r="U73" s="849"/>
      <c r="V73" s="849"/>
      <c r="W73" s="849"/>
      <c r="X73" s="849"/>
      <c r="Y73" s="849"/>
      <c r="Z73" s="849"/>
      <c r="AA73" s="849"/>
      <c r="AB73" s="849"/>
      <c r="AC73" s="849"/>
      <c r="AD73" s="849"/>
      <c r="AE73" s="849"/>
      <c r="AF73" s="849"/>
      <c r="AG73" s="849"/>
      <c r="AH73" s="849"/>
      <c r="AI73" s="849"/>
      <c r="AJ73" s="849"/>
      <c r="AK73" s="849"/>
      <c r="AL73" s="849"/>
      <c r="AM73" s="849"/>
      <c r="AN73" s="849"/>
      <c r="AO73" s="849"/>
      <c r="AP73" s="849"/>
      <c r="AQ73" s="849"/>
      <c r="AR73" s="849"/>
      <c r="AS73" s="849"/>
      <c r="AT73" s="849"/>
      <c r="AU73" s="849"/>
      <c r="AV73" s="849"/>
      <c r="AW73" s="849"/>
      <c r="AX73" s="849"/>
      <c r="AY73" s="849"/>
      <c r="AZ73" s="849"/>
      <c r="BA73" s="854"/>
      <c r="BB73" s="854"/>
      <c r="BC73" s="854"/>
      <c r="BD73" s="854"/>
      <c r="BE73" s="854"/>
      <c r="BF73" s="854"/>
      <c r="BG73" s="854"/>
      <c r="BH73" s="854"/>
      <c r="BI73" s="854"/>
    </row>
    <row r="74" spans="1:61" x14ac:dyDescent="0.35">
      <c r="A74" s="849"/>
      <c r="B74" s="849"/>
      <c r="C74" s="849"/>
      <c r="D74" s="849"/>
      <c r="E74" s="849"/>
      <c r="F74" s="849"/>
      <c r="G74" s="849"/>
      <c r="H74" s="849"/>
      <c r="I74" s="849"/>
      <c r="J74" s="849"/>
      <c r="K74" s="849"/>
      <c r="L74" s="849"/>
      <c r="M74" s="849"/>
      <c r="N74" s="849"/>
      <c r="O74" s="849"/>
      <c r="P74" s="849"/>
      <c r="Q74" s="849"/>
      <c r="R74" s="849"/>
      <c r="S74" s="849"/>
      <c r="T74" s="849"/>
      <c r="U74" s="849"/>
      <c r="V74" s="849"/>
      <c r="W74" s="849"/>
      <c r="X74" s="849"/>
      <c r="Y74" s="849"/>
      <c r="Z74" s="849"/>
      <c r="AA74" s="849"/>
      <c r="AB74" s="849"/>
      <c r="AC74" s="849"/>
      <c r="AD74" s="849"/>
      <c r="AE74" s="849"/>
      <c r="AF74" s="849"/>
      <c r="AG74" s="849"/>
      <c r="AH74" s="849"/>
      <c r="AI74" s="849"/>
      <c r="AJ74" s="849"/>
      <c r="AK74" s="849"/>
      <c r="AL74" s="849"/>
      <c r="AM74" s="849"/>
      <c r="AN74" s="849"/>
      <c r="AO74" s="849"/>
      <c r="AP74" s="849"/>
      <c r="AQ74" s="849"/>
      <c r="AR74" s="849"/>
      <c r="AS74" s="849"/>
      <c r="AT74" s="849"/>
      <c r="AU74" s="849"/>
      <c r="AV74" s="849"/>
      <c r="AW74" s="849"/>
      <c r="AX74" s="849"/>
      <c r="AY74" s="849"/>
      <c r="AZ74" s="849"/>
      <c r="BA74" s="854"/>
      <c r="BB74" s="854"/>
      <c r="BC74" s="854"/>
      <c r="BD74" s="854"/>
      <c r="BE74" s="854"/>
      <c r="BF74" s="854"/>
      <c r="BG74" s="854"/>
      <c r="BH74" s="854"/>
      <c r="BI74" s="854"/>
    </row>
    <row r="75" spans="1:61" x14ac:dyDescent="0.35">
      <c r="A75" s="849"/>
      <c r="B75" s="849"/>
      <c r="C75" s="849"/>
      <c r="D75" s="849"/>
      <c r="E75" s="849"/>
      <c r="F75" s="849"/>
      <c r="G75" s="849"/>
      <c r="H75" s="849"/>
      <c r="I75" s="849"/>
      <c r="J75" s="849"/>
      <c r="K75" s="849"/>
      <c r="L75" s="849"/>
      <c r="M75" s="849"/>
      <c r="N75" s="849"/>
      <c r="O75" s="849"/>
      <c r="P75" s="849"/>
      <c r="Q75" s="849"/>
      <c r="R75" s="849"/>
      <c r="S75" s="849"/>
      <c r="T75" s="849"/>
      <c r="U75" s="849"/>
      <c r="V75" s="849"/>
      <c r="W75" s="849"/>
      <c r="X75" s="849"/>
      <c r="Y75" s="849"/>
      <c r="Z75" s="849"/>
      <c r="AA75" s="849"/>
      <c r="AB75" s="849"/>
      <c r="AC75" s="849"/>
      <c r="AD75" s="849"/>
      <c r="AE75" s="849"/>
      <c r="AF75" s="849"/>
      <c r="AG75" s="849"/>
      <c r="AH75" s="849"/>
      <c r="AI75" s="849"/>
      <c r="AJ75" s="849"/>
      <c r="AK75" s="849"/>
      <c r="AL75" s="849"/>
      <c r="AM75" s="849"/>
      <c r="AN75" s="849"/>
      <c r="AO75" s="849"/>
      <c r="AP75" s="849"/>
      <c r="AQ75" s="849"/>
      <c r="AR75" s="849"/>
      <c r="AS75" s="849"/>
      <c r="AT75" s="849"/>
      <c r="AU75" s="849"/>
      <c r="AV75" s="849"/>
      <c r="AW75" s="849"/>
      <c r="AX75" s="849"/>
      <c r="AY75" s="849"/>
      <c r="AZ75" s="849"/>
      <c r="BA75" s="854"/>
      <c r="BB75" s="854"/>
      <c r="BC75" s="854"/>
      <c r="BD75" s="854"/>
      <c r="BE75" s="854"/>
      <c r="BF75" s="854"/>
      <c r="BG75" s="854"/>
      <c r="BH75" s="854"/>
      <c r="BI75" s="854"/>
    </row>
    <row r="76" spans="1:61" x14ac:dyDescent="0.35">
      <c r="A76" s="849"/>
      <c r="B76" s="849"/>
      <c r="C76" s="849"/>
      <c r="D76" s="849"/>
      <c r="E76" s="849"/>
      <c r="F76" s="849"/>
      <c r="G76" s="849"/>
      <c r="H76" s="849"/>
      <c r="I76" s="849"/>
      <c r="J76" s="849"/>
      <c r="K76" s="849"/>
      <c r="L76" s="849"/>
      <c r="M76" s="849"/>
      <c r="N76" s="849"/>
      <c r="O76" s="849"/>
      <c r="P76" s="849"/>
      <c r="Q76" s="849"/>
      <c r="R76" s="849"/>
      <c r="S76" s="849"/>
      <c r="T76" s="849"/>
      <c r="U76" s="849"/>
      <c r="V76" s="849"/>
      <c r="W76" s="849"/>
      <c r="X76" s="849"/>
      <c r="Y76" s="849"/>
      <c r="Z76" s="849"/>
      <c r="AA76" s="849"/>
      <c r="AB76" s="849"/>
      <c r="AC76" s="849"/>
      <c r="AD76" s="849"/>
      <c r="AE76" s="849"/>
      <c r="AF76" s="849"/>
      <c r="AG76" s="849"/>
      <c r="AH76" s="849"/>
      <c r="AI76" s="849"/>
      <c r="AJ76" s="849"/>
      <c r="AK76" s="849"/>
      <c r="AL76" s="849"/>
      <c r="AM76" s="849"/>
      <c r="AN76" s="849"/>
      <c r="AO76" s="849"/>
      <c r="AP76" s="849"/>
      <c r="AQ76" s="849"/>
      <c r="AR76" s="849"/>
      <c r="AS76" s="849"/>
      <c r="AT76" s="849"/>
      <c r="AU76" s="849"/>
      <c r="AV76" s="849"/>
      <c r="AW76" s="849"/>
      <c r="AX76" s="849"/>
      <c r="AY76" s="849"/>
      <c r="AZ76" s="849"/>
      <c r="BA76" s="854"/>
      <c r="BB76" s="854"/>
      <c r="BC76" s="854"/>
      <c r="BD76" s="854"/>
      <c r="BE76" s="854"/>
      <c r="BF76" s="854"/>
      <c r="BG76" s="854"/>
      <c r="BH76" s="854"/>
      <c r="BI76" s="854"/>
    </row>
    <row r="77" spans="1:61" x14ac:dyDescent="0.35">
      <c r="A77" s="849"/>
      <c r="B77" s="849"/>
      <c r="C77" s="849"/>
      <c r="D77" s="849"/>
      <c r="E77" s="849"/>
      <c r="F77" s="849"/>
      <c r="G77" s="849"/>
      <c r="H77" s="849"/>
      <c r="I77" s="849"/>
      <c r="J77" s="849"/>
      <c r="K77" s="849"/>
      <c r="L77" s="849"/>
      <c r="M77" s="849"/>
      <c r="N77" s="849"/>
      <c r="O77" s="849"/>
      <c r="P77" s="849"/>
      <c r="Q77" s="849"/>
      <c r="R77" s="849"/>
      <c r="S77" s="849"/>
      <c r="T77" s="849"/>
      <c r="U77" s="849"/>
      <c r="V77" s="849"/>
      <c r="W77" s="849"/>
      <c r="X77" s="849"/>
      <c r="Y77" s="849"/>
      <c r="Z77" s="849"/>
      <c r="AA77" s="849"/>
      <c r="AB77" s="849"/>
      <c r="AC77" s="849"/>
      <c r="AD77" s="849"/>
      <c r="AE77" s="849"/>
      <c r="AF77" s="849"/>
      <c r="AG77" s="849"/>
      <c r="AH77" s="849"/>
      <c r="AI77" s="849"/>
      <c r="AJ77" s="849"/>
      <c r="AK77" s="849"/>
      <c r="AL77" s="849"/>
      <c r="AM77" s="849"/>
      <c r="AN77" s="849"/>
      <c r="AO77" s="849"/>
      <c r="AP77" s="849"/>
      <c r="AQ77" s="849"/>
      <c r="AR77" s="849"/>
      <c r="AS77" s="849"/>
      <c r="AT77" s="849"/>
      <c r="AU77" s="849"/>
      <c r="AV77" s="849"/>
      <c r="AW77" s="849"/>
      <c r="AX77" s="849"/>
      <c r="AY77" s="849"/>
      <c r="AZ77" s="849"/>
    </row>
  </sheetData>
  <mergeCells count="1">
    <mergeCell ref="J6:K6"/>
  </mergeCells>
  <conditionalFormatting sqref="D4:E4">
    <cfRule type="expression" dxfId="71" priority="15">
      <formula>#REF!=1</formula>
    </cfRule>
  </conditionalFormatting>
  <conditionalFormatting sqref="F4:F10">
    <cfRule type="expression" dxfId="70" priority="7">
      <formula>$AK$4=1</formula>
    </cfRule>
  </conditionalFormatting>
  <conditionalFormatting sqref="F4:F37">
    <cfRule type="expression" dxfId="69" priority="8">
      <formula>A4=1</formula>
    </cfRule>
  </conditionalFormatting>
  <conditionalFormatting sqref="F11:F17">
    <cfRule type="expression" dxfId="68" priority="5">
      <formula>$AK$11=1</formula>
    </cfRule>
  </conditionalFormatting>
  <conditionalFormatting sqref="F18:F21">
    <cfRule type="expression" dxfId="67" priority="4">
      <formula>$AK$18=1</formula>
    </cfRule>
  </conditionalFormatting>
  <conditionalFormatting sqref="F22:F31">
    <cfRule type="expression" dxfId="66" priority="3">
      <formula>$AK$22=1</formula>
    </cfRule>
  </conditionalFormatting>
  <conditionalFormatting sqref="F32:F37">
    <cfRule type="expression" dxfId="65" priority="2">
      <formula>$AK$32=1</formula>
    </cfRule>
  </conditionalFormatting>
  <hyperlinks>
    <hyperlink ref="D4" location="Nav_DealAssumptions" display="Input Deal Assumptions" xr:uid="{7DE415B5-5C05-4B47-96C0-B8F457BE5967}"/>
    <hyperlink ref="E4" r:id="rId1" xr:uid="{0B764820-9DDD-4048-8103-2BC2377A965A}"/>
    <hyperlink ref="E11" r:id="rId2" xr:uid="{FE169E5E-F0FA-4BED-8C56-0FA0911B0E70}"/>
    <hyperlink ref="E18" r:id="rId3" xr:uid="{D248BC8A-AB3B-4EEE-B2C0-B1F14D12AB80}"/>
    <hyperlink ref="E22" r:id="rId4" xr:uid="{0AEF9FCA-1C37-4AC8-8747-ABFE0A0C9F64}"/>
    <hyperlink ref="E32" r:id="rId5" xr:uid="{AE9C3B76-77AC-4601-AF57-0B60CCC0420A}"/>
    <hyperlink ref="D11" location="Nav_UnitMix" display="Unit Mix, Rents, Interior Renovation Strategy" xr:uid="{7CE174E7-02DC-40BC-A1EE-E684D0AA725C}"/>
    <hyperlink ref="D18" location="Nav_Income" display="Income" xr:uid="{76286322-EE3A-4922-95FC-C47B6EC46B07}"/>
    <hyperlink ref="D22" location="Nav_Expenses" display="Expenses" xr:uid="{FEAD70DE-7C39-41F7-A877-D9E108B2CB8D}"/>
    <hyperlink ref="D32" location="Nav_GrowthRates" display="Growth Rates &amp; % GPR Assumptions" xr:uid="{70C25DAD-1EEA-44C9-A636-14D467D2BFFC}"/>
  </hyperlinks>
  <pageMargins left="0.7" right="0.7" top="0.75" bottom="0.75" header="0.3" footer="0.3"/>
  <legacyDrawing r:id="rId6"/>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04B62-03B8-4B74-83E4-E2FE3077C01A}">
  <sheetPr codeName="Sheet3">
    <tabColor rgb="FF13545E"/>
  </sheetPr>
  <dimension ref="A1:CG286"/>
  <sheetViews>
    <sheetView showGridLines="0" topLeftCell="B1" zoomScaleNormal="100" workbookViewId="0">
      <pane ySplit="4" topLeftCell="A5" activePane="bottomLeft" state="frozen"/>
      <selection activeCell="D167" sqref="D167"/>
      <selection pane="bottomLeft" activeCell="B1" sqref="B1"/>
    </sheetView>
  </sheetViews>
  <sheetFormatPr defaultColWidth="8.36328125" defaultRowHeight="14.5" outlineLevelRow="2" x14ac:dyDescent="0.35"/>
  <cols>
    <col min="1" max="1" width="8.36328125" style="5" hidden="1" customWidth="1"/>
    <col min="2" max="2" width="1.08984375" style="5" customWidth="1"/>
    <col min="3" max="3" width="13.36328125" style="5" customWidth="1"/>
    <col min="4" max="4" width="5.08984375" style="5" bestFit="1" customWidth="1"/>
    <col min="5" max="22" width="9.6328125" style="5" customWidth="1"/>
    <col min="23" max="23" width="2" style="5" customWidth="1"/>
    <col min="24" max="24" width="18.6328125" style="5" customWidth="1"/>
    <col min="25" max="28" width="7.36328125" style="5" customWidth="1"/>
    <col min="84" max="16384" width="8.36328125" style="5"/>
  </cols>
  <sheetData>
    <row r="1" spans="2:28" ht="5" customHeight="1" x14ac:dyDescent="0.35">
      <c r="B1" s="7"/>
      <c r="C1" s="7"/>
      <c r="D1" s="7"/>
      <c r="E1" s="7"/>
      <c r="F1" s="7"/>
      <c r="G1" s="7"/>
      <c r="H1" s="7"/>
      <c r="I1" s="7"/>
      <c r="J1" s="7"/>
      <c r="K1" s="7"/>
      <c r="L1" s="7"/>
      <c r="M1" s="7"/>
      <c r="N1" s="7"/>
      <c r="O1" s="7"/>
      <c r="P1" s="7"/>
      <c r="Q1" s="7"/>
      <c r="R1" s="7"/>
      <c r="S1" s="7"/>
      <c r="T1" s="7"/>
      <c r="U1" s="7"/>
      <c r="V1" s="7"/>
      <c r="W1" s="7"/>
      <c r="X1" s="7"/>
      <c r="Y1" s="7"/>
      <c r="Z1" s="7"/>
      <c r="AA1" s="7"/>
      <c r="AB1" s="7"/>
    </row>
    <row r="2" spans="2:28" x14ac:dyDescent="0.35">
      <c r="B2" s="7"/>
      <c r="C2" s="58"/>
      <c r="D2" s="58"/>
      <c r="E2" s="82" t="s">
        <v>208</v>
      </c>
      <c r="F2" s="82"/>
      <c r="G2" s="82" t="s">
        <v>121</v>
      </c>
      <c r="H2" s="82"/>
      <c r="I2" s="82" t="s">
        <v>209</v>
      </c>
      <c r="J2" s="82"/>
      <c r="K2" s="82" t="s">
        <v>134</v>
      </c>
      <c r="L2" s="82"/>
      <c r="M2" s="82" t="s">
        <v>219</v>
      </c>
      <c r="N2" s="82"/>
      <c r="O2" s="82" t="s">
        <v>238</v>
      </c>
      <c r="P2" s="82"/>
      <c r="Q2" s="82" t="s">
        <v>162</v>
      </c>
      <c r="R2" s="82"/>
      <c r="S2" s="82" t="s">
        <v>163</v>
      </c>
      <c r="T2" s="82"/>
      <c r="U2" s="82" t="s">
        <v>164</v>
      </c>
      <c r="V2" s="58"/>
      <c r="W2" s="312"/>
      <c r="X2" s="312"/>
      <c r="Y2" s="312"/>
      <c r="Z2" s="312"/>
      <c r="AA2" s="312"/>
      <c r="AB2" s="312"/>
    </row>
    <row r="3" spans="2:28" x14ac:dyDescent="0.35">
      <c r="B3" s="7"/>
      <c r="C3" s="58"/>
      <c r="D3" s="58"/>
      <c r="E3" s="83">
        <f>IFERROR(G12,"")</f>
        <v>0</v>
      </c>
      <c r="F3" s="58"/>
      <c r="G3" s="84">
        <f>IFERROR(G12/H43,0)</f>
        <v>0</v>
      </c>
      <c r="H3" s="58"/>
      <c r="I3" s="232">
        <f>IFERROR(J94/G12,0)</f>
        <v>0</v>
      </c>
      <c r="J3" s="58"/>
      <c r="K3" s="86">
        <f>IFERROR(H43,"")</f>
        <v>0</v>
      </c>
      <c r="L3" s="87"/>
      <c r="M3" s="86" t="str">
        <f>TEXT(O43,"#,##")&amp; " units • "&amp;TEXT(P43/1000,"$0.0")&amp;"k/unit • " &amp;TEXT(S43,"0%")&amp;" ROI"</f>
        <v xml:space="preserve"> units • $0.0k/unit • 0% ROI</v>
      </c>
      <c r="N3" s="87"/>
      <c r="O3" s="85">
        <f>IFERROR(I196,0)</f>
        <v>0</v>
      </c>
      <c r="P3" s="87"/>
      <c r="Q3" s="85">
        <f>IFERROR(I204,0)</f>
        <v>0</v>
      </c>
      <c r="R3" s="87"/>
      <c r="S3" s="85">
        <f>IFERROR(I207,0)</f>
        <v>0</v>
      </c>
      <c r="T3" s="87"/>
      <c r="U3" s="120">
        <f>IFERROR(I208,0)</f>
        <v>0</v>
      </c>
      <c r="V3" s="58"/>
      <c r="W3" s="312"/>
      <c r="X3" s="312"/>
      <c r="Y3" s="312"/>
      <c r="Z3" s="312"/>
      <c r="AA3" s="312"/>
      <c r="AB3" s="312"/>
    </row>
    <row r="4" spans="2:28" ht="5" customHeight="1" x14ac:dyDescent="0.35">
      <c r="B4" s="7"/>
      <c r="C4" s="7"/>
      <c r="D4" s="7"/>
      <c r="E4" s="7"/>
      <c r="F4" s="7"/>
      <c r="G4" s="7"/>
      <c r="H4" s="7"/>
      <c r="I4" s="7"/>
      <c r="J4" s="7"/>
      <c r="K4" s="7"/>
      <c r="L4" s="7"/>
      <c r="M4" s="7"/>
      <c r="N4" s="7"/>
      <c r="O4" s="7"/>
      <c r="P4" s="7"/>
      <c r="Q4" s="7"/>
      <c r="R4" s="7"/>
      <c r="S4" s="7"/>
      <c r="T4" s="7"/>
      <c r="U4" s="7"/>
      <c r="V4" s="7"/>
      <c r="W4" s="7"/>
      <c r="X4" s="7"/>
      <c r="Y4" s="7"/>
      <c r="Z4" s="7"/>
      <c r="AA4" s="7"/>
      <c r="AB4" s="7"/>
    </row>
    <row r="5" spans="2:28" ht="21.5" customHeight="1" thickBot="1" x14ac:dyDescent="0.5">
      <c r="B5" s="7"/>
      <c r="C5" s="306" t="s">
        <v>122</v>
      </c>
      <c r="D5" s="306"/>
      <c r="E5" s="307"/>
      <c r="F5" s="308"/>
      <c r="G5" s="308"/>
      <c r="H5" s="308"/>
      <c r="I5" s="308"/>
      <c r="J5" s="308"/>
      <c r="K5" s="308"/>
      <c r="L5" s="309"/>
      <c r="M5" s="310"/>
      <c r="N5" s="309"/>
      <c r="O5" s="309"/>
      <c r="P5" s="309"/>
      <c r="Q5" s="309"/>
      <c r="R5" s="309"/>
      <c r="S5" s="311"/>
      <c r="T5" s="311"/>
      <c r="U5" s="311"/>
      <c r="V5" s="904" t="s">
        <v>295</v>
      </c>
      <c r="W5"/>
      <c r="X5"/>
      <c r="Y5"/>
      <c r="Z5"/>
      <c r="AA5"/>
      <c r="AB5"/>
    </row>
    <row r="6" spans="2:28" ht="15" hidden="1" outlineLevel="1" thickTop="1" x14ac:dyDescent="0.35">
      <c r="B6" s="7"/>
      <c r="C6" s="295" t="s">
        <v>338</v>
      </c>
      <c r="D6" s="297"/>
      <c r="E6" s="296"/>
      <c r="F6" s="297"/>
      <c r="G6" s="298"/>
      <c r="H6" s="299" t="s">
        <v>341</v>
      </c>
      <c r="I6" s="279"/>
      <c r="J6" s="297"/>
      <c r="K6" s="297"/>
      <c r="L6" s="299" t="s">
        <v>342</v>
      </c>
      <c r="M6" s="297"/>
      <c r="N6" s="297"/>
      <c r="O6" s="298"/>
      <c r="P6" s="877" t="s">
        <v>123</v>
      </c>
      <c r="Q6" s="878"/>
      <c r="R6" s="878"/>
      <c r="S6" s="879"/>
      <c r="T6" s="888" t="s">
        <v>335</v>
      </c>
      <c r="U6" s="888"/>
      <c r="V6" s="879"/>
      <c r="W6"/>
      <c r="X6"/>
      <c r="Y6"/>
      <c r="Z6"/>
      <c r="AA6"/>
      <c r="AB6"/>
    </row>
    <row r="7" spans="2:28" hidden="1" outlineLevel="1" x14ac:dyDescent="0.35">
      <c r="B7" s="7"/>
      <c r="C7" s="138" t="s">
        <v>140</v>
      </c>
      <c r="D7" s="77"/>
      <c r="E7" s="913"/>
      <c r="F7" s="913"/>
      <c r="G7" s="914"/>
      <c r="H7" s="138" t="s">
        <v>84</v>
      </c>
      <c r="I7" s="77"/>
      <c r="J7" s="77"/>
      <c r="K7" s="796">
        <f>K8*G12</f>
        <v>0</v>
      </c>
      <c r="L7" s="263" t="s">
        <v>111</v>
      </c>
      <c r="M7" s="77"/>
      <c r="N7" s="127"/>
      <c r="O7" s="264">
        <v>0.08</v>
      </c>
      <c r="P7" s="138" t="s">
        <v>159</v>
      </c>
      <c r="Q7" s="7"/>
      <c r="R7" s="126">
        <v>7.0000000000000007E-2</v>
      </c>
      <c r="S7" s="880">
        <f>IFERROR(ROUND(I196,3),0)</f>
        <v>0</v>
      </c>
      <c r="T7" s="918" t="s">
        <v>344</v>
      </c>
      <c r="U7" s="919"/>
      <c r="V7" s="920"/>
      <c r="W7"/>
      <c r="X7"/>
      <c r="Y7"/>
      <c r="Z7"/>
      <c r="AA7"/>
      <c r="AB7"/>
    </row>
    <row r="8" spans="2:28" hidden="1" outlineLevel="1" x14ac:dyDescent="0.35">
      <c r="B8" s="7"/>
      <c r="C8" s="138" t="s">
        <v>126</v>
      </c>
      <c r="D8" s="77"/>
      <c r="E8" s="927"/>
      <c r="F8" s="927"/>
      <c r="G8" s="928"/>
      <c r="H8" s="138" t="s">
        <v>85</v>
      </c>
      <c r="I8" s="77"/>
      <c r="J8" s="460" t="str">
        <f>IFERROR(IF(_xlfn.ISFORMULA(K7)=TRUE,"",K7/G12),"")</f>
        <v/>
      </c>
      <c r="K8" s="587">
        <v>0</v>
      </c>
      <c r="L8" s="263" t="s">
        <v>139</v>
      </c>
      <c r="M8" s="77"/>
      <c r="N8" s="237">
        <f>1-O8</f>
        <v>0.7</v>
      </c>
      <c r="O8" s="265">
        <v>0.3</v>
      </c>
      <c r="P8" s="138" t="s">
        <v>160</v>
      </c>
      <c r="Q8" s="7"/>
      <c r="R8" s="126">
        <v>0.15</v>
      </c>
      <c r="S8" s="880">
        <f>ROUND(S3,3)</f>
        <v>0</v>
      </c>
      <c r="T8" s="921"/>
      <c r="U8" s="922"/>
      <c r="V8" s="923"/>
      <c r="W8"/>
      <c r="X8"/>
      <c r="Y8"/>
      <c r="Z8"/>
      <c r="AA8"/>
      <c r="AB8"/>
    </row>
    <row r="9" spans="2:28" hidden="1" outlineLevel="1" x14ac:dyDescent="0.35">
      <c r="B9" s="7"/>
      <c r="C9" s="595" t="s">
        <v>135</v>
      </c>
      <c r="D9" s="580"/>
      <c r="E9" s="585"/>
      <c r="F9" s="130" t="s">
        <v>178</v>
      </c>
      <c r="G9" s="275">
        <v>1</v>
      </c>
      <c r="H9" s="138" t="s">
        <v>3</v>
      </c>
      <c r="I9" s="77"/>
      <c r="J9" s="77"/>
      <c r="K9" s="588">
        <v>0</v>
      </c>
      <c r="L9" s="263" t="s">
        <v>5</v>
      </c>
      <c r="M9" s="77"/>
      <c r="N9" s="238">
        <f>J215</f>
        <v>0</v>
      </c>
      <c r="O9" s="264">
        <v>0.02</v>
      </c>
      <c r="P9" s="661" t="s">
        <v>239</v>
      </c>
      <c r="R9" s="125">
        <v>1.65</v>
      </c>
      <c r="S9" s="881">
        <f>IFERROR(I208,0)</f>
        <v>0</v>
      </c>
      <c r="T9" s="921"/>
      <c r="U9" s="922"/>
      <c r="V9" s="923"/>
      <c r="W9"/>
      <c r="X9"/>
      <c r="Y9"/>
      <c r="Z9"/>
      <c r="AA9"/>
      <c r="AB9"/>
    </row>
    <row r="10" spans="2:28" hidden="1" outlineLevel="1" x14ac:dyDescent="0.35">
      <c r="B10" s="7"/>
      <c r="C10" s="80" t="s">
        <v>339</v>
      </c>
      <c r="D10" s="58"/>
      <c r="E10" s="81"/>
      <c r="F10" s="58"/>
      <c r="G10" s="78"/>
      <c r="H10" s="138" t="s">
        <v>211</v>
      </c>
      <c r="I10" s="77"/>
      <c r="J10" s="303">
        <f>K10*K7</f>
        <v>0</v>
      </c>
      <c r="K10" s="588">
        <v>0</v>
      </c>
      <c r="L10" s="263" t="s">
        <v>6</v>
      </c>
      <c r="M10" s="77"/>
      <c r="N10" s="238">
        <f>I216</f>
        <v>0</v>
      </c>
      <c r="O10" s="264">
        <v>0.02</v>
      </c>
      <c r="P10" s="138" t="s">
        <v>161</v>
      </c>
      <c r="Q10" s="7"/>
      <c r="R10" s="125">
        <v>1.25</v>
      </c>
      <c r="S10" s="881">
        <f>IFERROR(MIN(K143:V143),0)</f>
        <v>0</v>
      </c>
      <c r="T10" s="921"/>
      <c r="U10" s="922"/>
      <c r="V10" s="923"/>
      <c r="W10"/>
      <c r="X10"/>
      <c r="Y10"/>
      <c r="Z10"/>
      <c r="AA10"/>
      <c r="AB10"/>
    </row>
    <row r="11" spans="2:28" hidden="1" outlineLevel="1" x14ac:dyDescent="0.35">
      <c r="B11" s="7"/>
      <c r="C11" s="138" t="s">
        <v>136</v>
      </c>
      <c r="D11" s="77"/>
      <c r="E11" s="77"/>
      <c r="F11" s="139" t="str">
        <f>IFERROR(TEXT(G11/$A$43,"#")&amp;" /SF" &amp; " · "&amp;TEXT(G11/$H$43/1000,"#,##")&amp;"k /unit","")</f>
        <v/>
      </c>
      <c r="G11" s="794"/>
      <c r="H11" s="580" t="s">
        <v>210</v>
      </c>
      <c r="I11" s="7"/>
      <c r="J11" s="7"/>
      <c r="K11" s="589">
        <v>0</v>
      </c>
      <c r="L11" s="138" t="s">
        <v>83</v>
      </c>
      <c r="M11" s="77"/>
      <c r="N11" s="238">
        <f>I217</f>
        <v>0</v>
      </c>
      <c r="O11" s="264">
        <v>0</v>
      </c>
      <c r="P11" s="138" t="s">
        <v>124</v>
      </c>
      <c r="Q11" s="77"/>
      <c r="R11" s="77"/>
      <c r="S11" s="882" t="str">
        <f>IF(MIN(K142:V142)&lt;0,"CHECK","OK")</f>
        <v>OK</v>
      </c>
      <c r="T11" s="921"/>
      <c r="U11" s="922"/>
      <c r="V11" s="923"/>
      <c r="W11"/>
      <c r="X11"/>
      <c r="Y11"/>
      <c r="Z11"/>
      <c r="AA11"/>
      <c r="AB11"/>
    </row>
    <row r="12" spans="2:28" hidden="1" outlineLevel="1" x14ac:dyDescent="0.35">
      <c r="B12" s="7"/>
      <c r="C12" s="138" t="s">
        <v>208</v>
      </c>
      <c r="D12" s="77"/>
      <c r="E12" s="77"/>
      <c r="F12" s="139" t="str">
        <f>IFERROR(TEXT(G12/$A$43,"#")&amp;" /SF" &amp; " · "&amp;TEXT(G12/$H$43/1000,"#,##")&amp;"k /unit","")</f>
        <v/>
      </c>
      <c r="G12" s="794"/>
      <c r="H12" s="138" t="s">
        <v>4</v>
      </c>
      <c r="I12" s="7"/>
      <c r="J12" s="7"/>
      <c r="K12" s="584">
        <v>30</v>
      </c>
      <c r="L12" s="266" t="s">
        <v>7</v>
      </c>
      <c r="M12" s="128"/>
      <c r="N12" s="238">
        <f>IFERROR(I218,0)</f>
        <v>0</v>
      </c>
      <c r="O12" s="267">
        <v>0</v>
      </c>
      <c r="P12" s="138" t="s">
        <v>127</v>
      </c>
      <c r="Q12" s="883"/>
      <c r="R12" s="883"/>
      <c r="S12" s="882" t="str">
        <f>IF(MAX(K165:V165)=100%,"OK","CHECK")</f>
        <v>CHECK</v>
      </c>
      <c r="T12" s="921"/>
      <c r="U12" s="922"/>
      <c r="V12" s="923"/>
      <c r="W12"/>
      <c r="X12"/>
      <c r="Y12"/>
      <c r="Z12"/>
      <c r="AA12"/>
      <c r="AB12"/>
    </row>
    <row r="13" spans="2:28" hidden="1" outlineLevel="1" x14ac:dyDescent="0.35">
      <c r="B13" s="7"/>
      <c r="C13" s="138" t="s">
        <v>282</v>
      </c>
      <c r="D13" s="77"/>
      <c r="E13" s="77"/>
      <c r="F13" s="77"/>
      <c r="G13" s="777">
        <f ca="1">EDATE(NOW(),3)</f>
        <v>45163</v>
      </c>
      <c r="H13" s="582" t="s">
        <v>173</v>
      </c>
      <c r="I13" s="235">
        <f>IFERROR(J143,0)</f>
        <v>0</v>
      </c>
      <c r="J13" s="583" t="s">
        <v>172</v>
      </c>
      <c r="K13" s="590">
        <f>IFERROR(M143,0)</f>
        <v>0</v>
      </c>
      <c r="L13" s="268" t="s">
        <v>343</v>
      </c>
      <c r="M13" s="79"/>
      <c r="N13" s="79"/>
      <c r="O13" s="269"/>
      <c r="P13" s="260" t="s">
        <v>133</v>
      </c>
      <c r="Q13" s="884"/>
      <c r="R13" s="884"/>
      <c r="S13" s="78" t="s">
        <v>73</v>
      </c>
      <c r="T13" s="921"/>
      <c r="U13" s="922"/>
      <c r="V13" s="923"/>
      <c r="W13"/>
      <c r="X13"/>
      <c r="Y13"/>
      <c r="Z13"/>
      <c r="AA13"/>
      <c r="AB13"/>
    </row>
    <row r="14" spans="2:28" hidden="1" outlineLevel="1" x14ac:dyDescent="0.35">
      <c r="B14" s="7"/>
      <c r="C14" s="138" t="s">
        <v>70</v>
      </c>
      <c r="D14" s="77"/>
      <c r="E14" s="77"/>
      <c r="F14" s="77"/>
      <c r="G14" s="274">
        <v>0.05</v>
      </c>
      <c r="H14" s="138" t="s">
        <v>114</v>
      </c>
      <c r="I14" s="77"/>
      <c r="J14" s="581" t="str">
        <f>IF(K15&gt;1,IF(HLOOKUP(K15,C148:V159,12,0)&lt;0,"ERROR",""),"")</f>
        <v/>
      </c>
      <c r="K14" s="800" t="str">
        <f>IFERROR(HLOOKUP(K15,$K$77:$V$96,20,0)*K16,"0")</f>
        <v>0</v>
      </c>
      <c r="L14" s="138" t="s">
        <v>255</v>
      </c>
      <c r="M14" s="77"/>
      <c r="N14" s="77"/>
      <c r="O14" s="748">
        <v>2</v>
      </c>
      <c r="P14" s="596" t="s">
        <v>128</v>
      </c>
      <c r="Q14" s="130" t="s">
        <v>129</v>
      </c>
      <c r="R14" s="131">
        <f>IFERROR(S14/S16,0)</f>
        <v>0</v>
      </c>
      <c r="S14" s="132">
        <f>K7</f>
        <v>0</v>
      </c>
      <c r="T14" s="921"/>
      <c r="U14" s="922"/>
      <c r="V14" s="923"/>
      <c r="W14"/>
      <c r="X14"/>
      <c r="Y14"/>
      <c r="Z14"/>
      <c r="AA14"/>
      <c r="AB14"/>
    </row>
    <row r="15" spans="2:28" hidden="1" outlineLevel="1" x14ac:dyDescent="0.35">
      <c r="B15" s="7"/>
      <c r="C15" s="138" t="s">
        <v>138</v>
      </c>
      <c r="D15" s="77"/>
      <c r="E15" s="77"/>
      <c r="F15" s="77"/>
      <c r="G15" s="277">
        <f>IFERROR(M94/G12,0)</f>
        <v>0</v>
      </c>
      <c r="H15" s="138" t="s">
        <v>113</v>
      </c>
      <c r="I15" s="77"/>
      <c r="J15" s="77"/>
      <c r="K15" s="591"/>
      <c r="L15" s="138" t="s">
        <v>275</v>
      </c>
      <c r="M15" s="77"/>
      <c r="N15" s="77"/>
      <c r="O15" s="747">
        <v>12</v>
      </c>
      <c r="P15" s="138"/>
      <c r="Q15" s="130" t="s">
        <v>130</v>
      </c>
      <c r="R15" s="131">
        <f>IFERROR(S15/S16,0)</f>
        <v>0</v>
      </c>
      <c r="S15" s="132">
        <f>S23-S14</f>
        <v>0</v>
      </c>
      <c r="T15" s="921"/>
      <c r="U15" s="922"/>
      <c r="V15" s="923"/>
      <c r="W15"/>
      <c r="X15"/>
      <c r="Y15"/>
      <c r="Z15"/>
      <c r="AA15"/>
      <c r="AB15"/>
    </row>
    <row r="16" spans="2:28" hidden="1" outlineLevel="1" x14ac:dyDescent="0.35">
      <c r="B16" s="7"/>
      <c r="C16" s="138" t="s">
        <v>0</v>
      </c>
      <c r="D16" s="77"/>
      <c r="E16" s="77"/>
      <c r="F16" s="238">
        <f>G12*G16</f>
        <v>0</v>
      </c>
      <c r="G16" s="274">
        <v>2.5000000000000001E-2</v>
      </c>
      <c r="H16" s="138" t="s">
        <v>85</v>
      </c>
      <c r="I16" s="77"/>
      <c r="J16" s="460" t="str">
        <f>IFERROR(IF(_xlfn.ISFORMULA(K14)=TRUE,"",K14/HLOOKUP(K15,$K$77:$V$96,20,0)),"")</f>
        <v/>
      </c>
      <c r="K16" s="587">
        <v>0</v>
      </c>
      <c r="L16" s="138" t="s">
        <v>141</v>
      </c>
      <c r="M16" s="77"/>
      <c r="N16" s="77"/>
      <c r="O16" s="270">
        <f>O43/(O15-1-O14)</f>
        <v>0</v>
      </c>
      <c r="P16" s="261" t="s">
        <v>202</v>
      </c>
      <c r="Q16" s="133"/>
      <c r="R16" s="134">
        <f>IFERROR(SUM(R14:R15),0)</f>
        <v>0</v>
      </c>
      <c r="S16" s="885">
        <f>SUM(S14:S15)</f>
        <v>0</v>
      </c>
      <c r="T16" s="921"/>
      <c r="U16" s="922"/>
      <c r="V16" s="923"/>
      <c r="W16"/>
      <c r="X16"/>
      <c r="Y16"/>
      <c r="Z16"/>
      <c r="AA16"/>
      <c r="AB16"/>
    </row>
    <row r="17" spans="1:28" hidden="1" outlineLevel="1" x14ac:dyDescent="0.35">
      <c r="B17" s="7"/>
      <c r="C17" s="138" t="s">
        <v>166</v>
      </c>
      <c r="D17" s="77"/>
      <c r="E17" s="77"/>
      <c r="F17" s="787">
        <f>IFERROR(G17/('UW Model'!$M$88/12),0)</f>
        <v>0</v>
      </c>
      <c r="G17" s="794">
        <f>IF(V6="ON",V17*V8*0.5,M88*0.5)</f>
        <v>0</v>
      </c>
      <c r="H17" s="138" t="s">
        <v>3</v>
      </c>
      <c r="I17" s="77"/>
      <c r="J17" s="77"/>
      <c r="K17" s="592">
        <v>0.06</v>
      </c>
      <c r="L17" s="271" t="s">
        <v>243</v>
      </c>
      <c r="M17" s="7"/>
      <c r="N17" s="7"/>
      <c r="O17" s="272"/>
      <c r="P17" s="661"/>
      <c r="S17" s="886"/>
      <c r="T17" s="921"/>
      <c r="U17" s="922"/>
      <c r="V17" s="923"/>
      <c r="W17"/>
      <c r="X17"/>
      <c r="Y17"/>
      <c r="Z17"/>
      <c r="AA17"/>
      <c r="AB17"/>
    </row>
    <row r="18" spans="1:28" ht="15" hidden="1" outlineLevel="1" thickBot="1" x14ac:dyDescent="0.4">
      <c r="B18" s="7"/>
      <c r="C18" s="138" t="s">
        <v>334</v>
      </c>
      <c r="D18" s="77"/>
      <c r="E18" s="77"/>
      <c r="F18" s="77"/>
      <c r="G18" s="278">
        <v>250</v>
      </c>
      <c r="H18" s="138" t="s">
        <v>83</v>
      </c>
      <c r="I18" s="77"/>
      <c r="J18" s="303">
        <f>K14*K18</f>
        <v>0</v>
      </c>
      <c r="K18" s="592">
        <v>1.4999999999999999E-2</v>
      </c>
      <c r="L18" s="665">
        <f>'GPR Logic'!R5</f>
        <v>0</v>
      </c>
      <c r="M18" s="666">
        <f>'GPR Logic'!S5-'GPR Logic'!R5</f>
        <v>0</v>
      </c>
      <c r="N18" s="667">
        <f>'GPR Logic'!T5-'GPR Logic'!S5</f>
        <v>0</v>
      </c>
      <c r="O18" s="668">
        <f>SUM(L18:N18)</f>
        <v>0</v>
      </c>
      <c r="P18" s="596" t="s">
        <v>131</v>
      </c>
      <c r="Q18" s="130" t="s">
        <v>132</v>
      </c>
      <c r="R18" s="131">
        <f>IFERROR(S18/$S$23,0)</f>
        <v>0</v>
      </c>
      <c r="S18" s="132">
        <f>G12</f>
        <v>0</v>
      </c>
      <c r="T18" s="921"/>
      <c r="U18" s="922"/>
      <c r="V18" s="923"/>
      <c r="W18"/>
      <c r="X18"/>
      <c r="Y18"/>
      <c r="Z18"/>
      <c r="AA18"/>
      <c r="AB18"/>
    </row>
    <row r="19" spans="1:28" hidden="1" outlineLevel="1" x14ac:dyDescent="0.35">
      <c r="A19" s="771" t="s">
        <v>280</v>
      </c>
      <c r="C19" s="80" t="s">
        <v>340</v>
      </c>
      <c r="D19" s="58"/>
      <c r="E19" s="81"/>
      <c r="F19" s="58"/>
      <c r="G19" s="78"/>
      <c r="H19" s="580" t="s">
        <v>210</v>
      </c>
      <c r="I19" s="7"/>
      <c r="J19" s="7"/>
      <c r="K19" s="589">
        <v>0</v>
      </c>
      <c r="L19" s="271" t="s">
        <v>179</v>
      </c>
      <c r="M19" s="7"/>
      <c r="N19" s="763" t="s">
        <v>283</v>
      </c>
      <c r="O19" s="427" t="s">
        <v>177</v>
      </c>
      <c r="P19" s="138"/>
      <c r="Q19" s="130" t="s">
        <v>212</v>
      </c>
      <c r="R19" s="131">
        <f>IFERROR(S19/$S$23,0)</f>
        <v>0</v>
      </c>
      <c r="S19" s="132">
        <f>J10+F16</f>
        <v>0</v>
      </c>
      <c r="T19" s="921"/>
      <c r="U19" s="922"/>
      <c r="V19" s="923"/>
      <c r="W19"/>
      <c r="X19"/>
      <c r="Y19"/>
      <c r="Z19"/>
      <c r="AA19"/>
      <c r="AB19"/>
    </row>
    <row r="20" spans="1:28" ht="15" hidden="1" outlineLevel="1" thickBot="1" x14ac:dyDescent="0.4">
      <c r="A20" s="768">
        <f>IFERROR(VLOOKUP("Property Value",$G$77:$V$100,MATCH(G20,$G$77:$V$77,0),0),0)</f>
        <v>0</v>
      </c>
      <c r="B20" s="448">
        <f>IF('IRR Sensitivity'!C3="",G23,'IRR Sensitivity'!C3)</f>
        <v>5.7500000000000002E-2</v>
      </c>
      <c r="C20" s="138" t="s">
        <v>137</v>
      </c>
      <c r="D20" s="77"/>
      <c r="E20" s="7"/>
      <c r="F20" s="394" t="str">
        <f>IFERROR(TEXT(A20/A43,"#"),0)&amp;" /SF · "&amp;IFERROR(TEXT(ROUND((A20/H43)/1000,0),"#,##"),0) &amp;"k /unit · "&amp;IFERROR(TEXT(ROUND(A20/1000000,1),"0.0"),0)&amp;"M"</f>
        <v>0 /SF · 0k /unit · 0.0M</v>
      </c>
      <c r="G20" s="605">
        <v>5</v>
      </c>
      <c r="H20" s="138" t="s">
        <v>4</v>
      </c>
      <c r="I20" s="7"/>
      <c r="J20" s="7"/>
      <c r="K20" s="584">
        <v>30</v>
      </c>
      <c r="L20" s="595" t="s">
        <v>293</v>
      </c>
      <c r="M20" s="77"/>
      <c r="N20" s="762" t="str">
        <f>IFERROR(TEXT(Q43/SUMIF(O28:O42,"&gt;0",A28:A42),"0.00") &amp;" · " &amp; TEXT(IFERROR(P43,0),"0,##"),"")</f>
        <v/>
      </c>
      <c r="O20" s="793">
        <f>Q43</f>
        <v>0</v>
      </c>
      <c r="P20" s="138"/>
      <c r="Q20" s="130" t="s">
        <v>179</v>
      </c>
      <c r="R20" s="131">
        <f>IFERROR(S20/$S$23,0)</f>
        <v>0</v>
      </c>
      <c r="S20" s="132">
        <f>O23</f>
        <v>0</v>
      </c>
      <c r="T20" s="921"/>
      <c r="U20" s="922"/>
      <c r="V20" s="923"/>
      <c r="W20"/>
      <c r="X20"/>
      <c r="Y20"/>
      <c r="Z20"/>
      <c r="AA20"/>
      <c r="AB20"/>
    </row>
    <row r="21" spans="1:28" hidden="1" outlineLevel="1" x14ac:dyDescent="0.35">
      <c r="B21" s="7"/>
      <c r="C21" s="595" t="s">
        <v>2</v>
      </c>
      <c r="D21" s="580"/>
      <c r="E21" s="7"/>
      <c r="F21" s="303">
        <f>IFERROR(HLOOKUP(MATCH(G20,$M$148:$V$148,0),$M$148:$V$155,8,0),0)</f>
        <v>0</v>
      </c>
      <c r="G21" s="264">
        <v>0.03</v>
      </c>
      <c r="H21" s="138" t="s">
        <v>214</v>
      </c>
      <c r="I21" s="77"/>
      <c r="J21" s="77"/>
      <c r="K21" s="593">
        <f>IFERROR(HLOOKUP(K15,$K$77:$V$96,MATCH("Market CAP Rate",$G$77:$G$96,0),0),0)</f>
        <v>0</v>
      </c>
      <c r="L21" s="595" t="s">
        <v>294</v>
      </c>
      <c r="M21" s="77"/>
      <c r="N21" s="762" t="str">
        <f>IFERROR(TEXT(O21/SUMIF(H28:H42,"&gt;0",A28:A42),"0.00") &amp;" · " &amp;TEXT(IFERROR(O21/H43,0),"0,##"),"")</f>
        <v/>
      </c>
      <c r="O21" s="794">
        <v>0</v>
      </c>
      <c r="P21" s="138"/>
      <c r="Q21" s="130" t="s">
        <v>166</v>
      </c>
      <c r="R21" s="131">
        <f>IFERROR(S21/$S$23,0)</f>
        <v>0</v>
      </c>
      <c r="S21" s="132">
        <f>G17</f>
        <v>0</v>
      </c>
      <c r="T21" s="921"/>
      <c r="U21" s="922"/>
      <c r="V21" s="923"/>
      <c r="W21"/>
      <c r="X21"/>
      <c r="Y21"/>
      <c r="Z21"/>
      <c r="AA21"/>
      <c r="AB21"/>
    </row>
    <row r="22" spans="1:28" hidden="1" outlineLevel="1" x14ac:dyDescent="0.35">
      <c r="B22" s="7"/>
      <c r="C22" s="138" t="s">
        <v>235</v>
      </c>
      <c r="D22" s="77"/>
      <c r="E22" s="7"/>
      <c r="F22" s="303">
        <f>G22*G17</f>
        <v>0</v>
      </c>
      <c r="G22" s="466">
        <v>0.5</v>
      </c>
      <c r="H22" s="138" t="s">
        <v>213</v>
      </c>
      <c r="I22" s="77"/>
      <c r="J22" s="77"/>
      <c r="K22" s="586">
        <f>IFERROR(HLOOKUP(K15,$K$77:$V$96,MATCH("Property Value",$G$77:$G$96,0),0),0)</f>
        <v>0</v>
      </c>
      <c r="L22" s="595" t="s">
        <v>236</v>
      </c>
      <c r="M22" s="467">
        <v>0</v>
      </c>
      <c r="N22" s="581" t="str">
        <f>IFERROR(TEXT(O22/SUMIF(H28:H42,"&gt;0",A28:A42),"0.00") &amp;" · " &amp;TEXT(IFERROR(O22/H43,0),"0,##"),"")</f>
        <v/>
      </c>
      <c r="O22" s="132">
        <f>M22*(O21+O20)</f>
        <v>0</v>
      </c>
      <c r="P22" s="138"/>
      <c r="Q22" s="130" t="s">
        <v>5</v>
      </c>
      <c r="R22" s="131">
        <f>IFERROR(S22/$S$23,0)</f>
        <v>0</v>
      </c>
      <c r="S22" s="132">
        <f>G12*O9</f>
        <v>0</v>
      </c>
      <c r="T22" s="921"/>
      <c r="U22" s="922"/>
      <c r="V22" s="923"/>
      <c r="W22"/>
      <c r="X22"/>
      <c r="Y22"/>
      <c r="Z22"/>
      <c r="AA22"/>
      <c r="AB22"/>
    </row>
    <row r="23" spans="1:28" ht="15" hidden="1" outlineLevel="1" thickBot="1" x14ac:dyDescent="0.4">
      <c r="B23" s="7"/>
      <c r="C23" s="140" t="s">
        <v>1</v>
      </c>
      <c r="D23" s="141"/>
      <c r="E23" s="141"/>
      <c r="F23" s="465">
        <v>1.5E-3</v>
      </c>
      <c r="G23" s="797">
        <f>(F23*G20)+G14</f>
        <v>5.7500000000000002E-2</v>
      </c>
      <c r="H23" s="276" t="str">
        <f>"DSCR Yr "&amp;IF(OR(K15=0,K15=""),"  - ",K15+1)</f>
        <v xml:space="preserve">DSCR Yr   - </v>
      </c>
      <c r="I23" s="179">
        <f>IFERROR(HLOOKUP(K15+1,$N$123:$V$143,MATCH("DSCR",$G$123:$G$143,0),0),0)</f>
        <v>0</v>
      </c>
      <c r="J23" s="137"/>
      <c r="K23" s="594" t="str">
        <f>"Return of Capital        "&amp;TEXT(HLOOKUP(K15,C148:V165,MATCH("% of Capital Returned",$C$148:$C$165,0),0),"0.0%")</f>
        <v>Return of Capital        0.0%</v>
      </c>
      <c r="L23" s="273" t="s">
        <v>278</v>
      </c>
      <c r="M23" s="129"/>
      <c r="N23" s="760" t="str">
        <f>IFERROR(TEXT(O23/SUMIF(H28:H42,"&gt;0",A28:A42),"0.00") &amp;" · " &amp;TEXT(IFERROR(O23/H43,0),"0,##"),"")</f>
        <v/>
      </c>
      <c r="O23" s="795">
        <f>SUM(O20:O22)</f>
        <v>0</v>
      </c>
      <c r="P23" s="262" t="s">
        <v>203</v>
      </c>
      <c r="Q23" s="135"/>
      <c r="R23" s="136">
        <f>IFERROR(SUM(R18:R22),0)</f>
        <v>0</v>
      </c>
      <c r="S23" s="887">
        <f>SUM(S18:S22)</f>
        <v>0</v>
      </c>
      <c r="T23" s="924"/>
      <c r="U23" s="925"/>
      <c r="V23" s="926"/>
      <c r="W23"/>
      <c r="X23"/>
      <c r="Y23"/>
      <c r="Z23"/>
      <c r="AA23"/>
      <c r="AB23"/>
    </row>
    <row r="24" spans="1:28" ht="15" collapsed="1" thickTop="1" x14ac:dyDescent="0.35">
      <c r="B24" s="7"/>
      <c r="C24" s="7"/>
      <c r="D24" s="7"/>
      <c r="E24" s="7"/>
      <c r="F24" s="7"/>
      <c r="G24" s="7"/>
      <c r="H24" s="7"/>
      <c r="I24" s="7"/>
      <c r="J24" s="7"/>
      <c r="K24" s="7"/>
      <c r="L24" s="7"/>
      <c r="M24" s="526"/>
      <c r="O24" s="7"/>
      <c r="P24" s="761"/>
      <c r="Q24" s="7"/>
      <c r="R24" s="7"/>
      <c r="S24" s="7"/>
      <c r="T24"/>
      <c r="U24"/>
      <c r="V24"/>
      <c r="W24"/>
      <c r="X24"/>
      <c r="Y24"/>
      <c r="Z24"/>
      <c r="AA24"/>
      <c r="AB24"/>
    </row>
    <row r="25" spans="1:28" ht="19" thickBot="1" x14ac:dyDescent="0.5">
      <c r="B25" s="7"/>
      <c r="C25" s="306" t="s">
        <v>157</v>
      </c>
      <c r="D25" s="306"/>
      <c r="E25" s="307"/>
      <c r="F25" s="308"/>
      <c r="G25" s="308"/>
      <c r="H25" s="308"/>
      <c r="I25" s="308"/>
      <c r="J25" s="308"/>
      <c r="K25" s="308"/>
      <c r="L25" s="309"/>
      <c r="M25" s="310"/>
      <c r="N25" s="309"/>
      <c r="O25" s="309"/>
      <c r="P25" s="309"/>
      <c r="Q25" s="309"/>
      <c r="R25" s="309"/>
      <c r="S25" s="309"/>
      <c r="T25" s="309"/>
      <c r="U25" s="309"/>
      <c r="V25" s="803" t="s">
        <v>295</v>
      </c>
      <c r="W25" s="7"/>
      <c r="X25" s="7"/>
      <c r="Y25" s="7"/>
      <c r="Z25" s="7"/>
      <c r="AA25" s="7"/>
      <c r="AB25" s="7"/>
    </row>
    <row r="26" spans="1:28" ht="12.5" hidden="1" customHeight="1" outlineLevel="1" thickTop="1" x14ac:dyDescent="0.35">
      <c r="A26" s="764"/>
      <c r="B26" s="7"/>
      <c r="C26" s="64" t="s">
        <v>112</v>
      </c>
      <c r="D26" s="805"/>
      <c r="E26" s="56"/>
      <c r="F26" s="56"/>
      <c r="G26" s="56"/>
      <c r="H26" s="56"/>
      <c r="I26" s="915" t="s">
        <v>277</v>
      </c>
      <c r="J26" s="916"/>
      <c r="K26" s="917"/>
      <c r="L26" s="915" t="s">
        <v>217</v>
      </c>
      <c r="M26" s="916"/>
      <c r="N26" s="917"/>
      <c r="O26" s="915" t="s">
        <v>8</v>
      </c>
      <c r="P26" s="916"/>
      <c r="Q26" s="916"/>
      <c r="R26" s="916"/>
      <c r="S26" s="917"/>
      <c r="T26" s="65" t="s">
        <v>218</v>
      </c>
      <c r="U26" s="66"/>
      <c r="V26" s="89"/>
      <c r="W26" s="7"/>
      <c r="X26" s="7"/>
      <c r="Y26" s="7"/>
      <c r="Z26" s="7"/>
      <c r="AA26" s="7"/>
      <c r="AB26" s="7"/>
    </row>
    <row r="27" spans="1:28" ht="37" hidden="1" customHeight="1" outlineLevel="1" thickBot="1" x14ac:dyDescent="0.4">
      <c r="A27" s="765" t="s">
        <v>14</v>
      </c>
      <c r="B27" s="7"/>
      <c r="C27" s="663" t="s">
        <v>9</v>
      </c>
      <c r="D27" s="180" t="s">
        <v>297</v>
      </c>
      <c r="E27" s="180" t="s">
        <v>10</v>
      </c>
      <c r="F27" s="180" t="s">
        <v>11</v>
      </c>
      <c r="G27" s="180" t="s">
        <v>12</v>
      </c>
      <c r="H27" s="180" t="s">
        <v>13</v>
      </c>
      <c r="I27" s="181" t="s">
        <v>17</v>
      </c>
      <c r="J27" s="180" t="s">
        <v>16</v>
      </c>
      <c r="K27" s="182" t="s">
        <v>18</v>
      </c>
      <c r="L27" s="181" t="s">
        <v>17</v>
      </c>
      <c r="M27" s="180" t="s">
        <v>16</v>
      </c>
      <c r="N27" s="182" t="s">
        <v>18</v>
      </c>
      <c r="O27" s="183" t="s">
        <v>71</v>
      </c>
      <c r="P27" s="180" t="s">
        <v>19</v>
      </c>
      <c r="Q27" s="182" t="s">
        <v>20</v>
      </c>
      <c r="R27" s="180" t="s">
        <v>72</v>
      </c>
      <c r="S27" s="184" t="s">
        <v>185</v>
      </c>
      <c r="T27" s="185" t="s">
        <v>17</v>
      </c>
      <c r="U27" s="186" t="s">
        <v>16</v>
      </c>
      <c r="V27" s="187" t="s">
        <v>18</v>
      </c>
      <c r="W27" s="7"/>
      <c r="X27" s="7"/>
      <c r="Y27" s="7"/>
      <c r="Z27" s="7"/>
      <c r="AA27" s="7"/>
    </row>
    <row r="28" spans="1:28" hidden="1" outlineLevel="1" x14ac:dyDescent="0.35">
      <c r="A28" s="766" t="str">
        <f t="shared" ref="A28:A42" si="0">IF(G28="","",G28*H28)</f>
        <v/>
      </c>
      <c r="B28" s="313"/>
      <c r="C28" s="829" t="str">
        <f>IF(H28&gt;0,E28&amp;"/"&amp;F28&amp;" "&amp;TEXT(G28,"#,##")&amp;"sf"&amp;IF(D28="Y"," - R",""),"")</f>
        <v/>
      </c>
      <c r="D28" s="832"/>
      <c r="E28" s="142"/>
      <c r="F28" s="143"/>
      <c r="G28" s="144"/>
      <c r="H28" s="142"/>
      <c r="I28" s="151"/>
      <c r="J28" s="163" t="str">
        <f t="shared" ref="J28:J42" si="1">IFERROR(IF(I28="","",I28/$G28),"")</f>
        <v/>
      </c>
      <c r="K28" s="176" t="str">
        <f t="shared" ref="K28:K42" si="2">IF(I28="","",I28*$H28)</f>
        <v/>
      </c>
      <c r="L28" s="151"/>
      <c r="M28" s="163" t="str">
        <f t="shared" ref="M28:M42" si="3">IFERROR(IF(L28="","",L28/$G28),"")</f>
        <v/>
      </c>
      <c r="N28" s="176" t="str">
        <f t="shared" ref="N28:N42" si="4">IF(L28="","",L28*$H28)</f>
        <v/>
      </c>
      <c r="O28" s="154"/>
      <c r="P28" s="155"/>
      <c r="Q28" s="173" t="str">
        <f t="shared" ref="Q28:Q42" si="5">IF(O28&lt;1,"",O28*P28)</f>
        <v/>
      </c>
      <c r="R28" s="155"/>
      <c r="S28" s="161" t="str">
        <f t="shared" ref="S28:S42" si="6">IFERROR(IF(O28&gt;0,(R28*12)/P28,""),0)</f>
        <v/>
      </c>
      <c r="T28" s="162" t="str">
        <f t="shared" ref="T28:T42" si="7">IF(H28&gt;0,V28/H28,"")</f>
        <v/>
      </c>
      <c r="U28" s="163" t="str">
        <f t="shared" ref="U28:U42" si="8">IFERROR(IF(T28="","",T28/$G28),0)</f>
        <v/>
      </c>
      <c r="V28" s="164" t="str">
        <f t="shared" ref="V28:V42" si="9">IF(O28="",N28,(L28*(H28-O28)+(O28*(L28+R28))))</f>
        <v/>
      </c>
      <c r="W28" s="7"/>
      <c r="X28" s="7"/>
      <c r="Y28" s="7"/>
      <c r="Z28" s="7"/>
      <c r="AA28" s="7"/>
    </row>
    <row r="29" spans="1:28" hidden="1" outlineLevel="1" x14ac:dyDescent="0.35">
      <c r="A29" s="767" t="str">
        <f t="shared" si="0"/>
        <v/>
      </c>
      <c r="B29" s="313"/>
      <c r="C29" s="830" t="str">
        <f>IF(H29&gt;0,E29&amp;"/"&amp;F29&amp;" "&amp;TEXT(G29,"#,##")&amp;"sf"&amp;IF(D29="Y"," - R",""),"")</f>
        <v/>
      </c>
      <c r="D29" s="833"/>
      <c r="E29" s="145"/>
      <c r="F29" s="146"/>
      <c r="G29" s="147"/>
      <c r="H29" s="145"/>
      <c r="I29" s="152"/>
      <c r="J29" s="167" t="str">
        <f t="shared" si="1"/>
        <v/>
      </c>
      <c r="K29" s="177" t="str">
        <f t="shared" si="2"/>
        <v/>
      </c>
      <c r="L29" s="152"/>
      <c r="M29" s="167" t="str">
        <f t="shared" si="3"/>
        <v/>
      </c>
      <c r="N29" s="177" t="str">
        <f t="shared" si="4"/>
        <v/>
      </c>
      <c r="O29" s="156"/>
      <c r="P29" s="157"/>
      <c r="Q29" s="174" t="str">
        <f t="shared" si="5"/>
        <v/>
      </c>
      <c r="R29" s="157"/>
      <c r="S29" s="165" t="str">
        <f t="shared" si="6"/>
        <v/>
      </c>
      <c r="T29" s="166" t="str">
        <f t="shared" si="7"/>
        <v/>
      </c>
      <c r="U29" s="167" t="str">
        <f t="shared" si="8"/>
        <v/>
      </c>
      <c r="V29" s="168" t="str">
        <f t="shared" si="9"/>
        <v/>
      </c>
      <c r="W29" s="7"/>
      <c r="X29" s="7"/>
      <c r="Y29" s="7"/>
      <c r="Z29" s="7"/>
      <c r="AA29" s="7"/>
    </row>
    <row r="30" spans="1:28" hidden="1" outlineLevel="1" x14ac:dyDescent="0.35">
      <c r="A30" s="767" t="str">
        <f t="shared" si="0"/>
        <v/>
      </c>
      <c r="B30" s="313"/>
      <c r="C30" s="830" t="str">
        <f t="shared" ref="C30:C42" si="10">IF(H30&gt;0,E30&amp;"/"&amp;F30&amp;" "&amp;TEXT(G30,"#,##")&amp;"sf"&amp;IF(D30="Y"," - R",""),"")</f>
        <v/>
      </c>
      <c r="D30" s="833"/>
      <c r="E30" s="145"/>
      <c r="F30" s="146"/>
      <c r="G30" s="147"/>
      <c r="H30" s="145"/>
      <c r="I30" s="152"/>
      <c r="J30" s="167" t="str">
        <f t="shared" si="1"/>
        <v/>
      </c>
      <c r="K30" s="177" t="str">
        <f t="shared" si="2"/>
        <v/>
      </c>
      <c r="L30" s="152"/>
      <c r="M30" s="167" t="str">
        <f t="shared" si="3"/>
        <v/>
      </c>
      <c r="N30" s="177" t="str">
        <f t="shared" si="4"/>
        <v/>
      </c>
      <c r="O30" s="156"/>
      <c r="P30" s="157"/>
      <c r="Q30" s="174" t="str">
        <f t="shared" si="5"/>
        <v/>
      </c>
      <c r="R30" s="157"/>
      <c r="S30" s="165" t="str">
        <f t="shared" si="6"/>
        <v/>
      </c>
      <c r="T30" s="166" t="str">
        <f t="shared" si="7"/>
        <v/>
      </c>
      <c r="U30" s="167" t="str">
        <f t="shared" si="8"/>
        <v/>
      </c>
      <c r="V30" s="168" t="str">
        <f t="shared" si="9"/>
        <v/>
      </c>
      <c r="W30" s="7"/>
      <c r="X30" s="314"/>
      <c r="Y30" s="7"/>
      <c r="Z30" s="7"/>
      <c r="AA30" s="7"/>
    </row>
    <row r="31" spans="1:28" hidden="1" outlineLevel="1" x14ac:dyDescent="0.35">
      <c r="A31" s="767" t="str">
        <f t="shared" si="0"/>
        <v/>
      </c>
      <c r="B31" s="313"/>
      <c r="C31" s="830" t="str">
        <f t="shared" si="10"/>
        <v/>
      </c>
      <c r="D31" s="833"/>
      <c r="E31" s="145"/>
      <c r="F31" s="146"/>
      <c r="G31" s="147"/>
      <c r="H31" s="145"/>
      <c r="I31" s="152"/>
      <c r="J31" s="167" t="str">
        <f t="shared" si="1"/>
        <v/>
      </c>
      <c r="K31" s="177" t="str">
        <f t="shared" si="2"/>
        <v/>
      </c>
      <c r="L31" s="152"/>
      <c r="M31" s="167" t="str">
        <f t="shared" si="3"/>
        <v/>
      </c>
      <c r="N31" s="177" t="str">
        <f t="shared" si="4"/>
        <v/>
      </c>
      <c r="O31" s="156"/>
      <c r="P31" s="157"/>
      <c r="Q31" s="174" t="str">
        <f t="shared" si="5"/>
        <v/>
      </c>
      <c r="R31" s="157"/>
      <c r="S31" s="165" t="str">
        <f t="shared" si="6"/>
        <v/>
      </c>
      <c r="T31" s="166" t="str">
        <f t="shared" si="7"/>
        <v/>
      </c>
      <c r="U31" s="167" t="str">
        <f t="shared" si="8"/>
        <v/>
      </c>
      <c r="V31" s="168" t="str">
        <f t="shared" si="9"/>
        <v/>
      </c>
      <c r="W31" s="7"/>
      <c r="X31" s="314"/>
      <c r="Y31" s="7"/>
      <c r="Z31" s="7"/>
      <c r="AA31" s="7"/>
    </row>
    <row r="32" spans="1:28" hidden="1" outlineLevel="1" x14ac:dyDescent="0.35">
      <c r="A32" s="767" t="str">
        <f t="shared" si="0"/>
        <v/>
      </c>
      <c r="B32" s="313"/>
      <c r="C32" s="830" t="str">
        <f t="shared" si="10"/>
        <v/>
      </c>
      <c r="D32" s="833"/>
      <c r="E32" s="145"/>
      <c r="F32" s="146"/>
      <c r="G32" s="147"/>
      <c r="H32" s="145"/>
      <c r="I32" s="152"/>
      <c r="J32" s="167" t="str">
        <f t="shared" si="1"/>
        <v/>
      </c>
      <c r="K32" s="177" t="str">
        <f t="shared" si="2"/>
        <v/>
      </c>
      <c r="L32" s="152"/>
      <c r="M32" s="167" t="str">
        <f t="shared" si="3"/>
        <v/>
      </c>
      <c r="N32" s="177" t="str">
        <f t="shared" si="4"/>
        <v/>
      </c>
      <c r="O32" s="156"/>
      <c r="P32" s="157"/>
      <c r="Q32" s="174" t="str">
        <f t="shared" si="5"/>
        <v/>
      </c>
      <c r="R32" s="157"/>
      <c r="S32" s="165" t="str">
        <f t="shared" si="6"/>
        <v/>
      </c>
      <c r="T32" s="166" t="str">
        <f t="shared" si="7"/>
        <v/>
      </c>
      <c r="U32" s="167" t="str">
        <f t="shared" si="8"/>
        <v/>
      </c>
      <c r="V32" s="168" t="str">
        <f t="shared" si="9"/>
        <v/>
      </c>
      <c r="W32" s="7"/>
      <c r="X32" s="7"/>
      <c r="Y32" s="7"/>
      <c r="Z32" s="7"/>
      <c r="AA32" s="7"/>
    </row>
    <row r="33" spans="1:27" hidden="1" outlineLevel="1" x14ac:dyDescent="0.35">
      <c r="A33" s="767" t="str">
        <f t="shared" si="0"/>
        <v/>
      </c>
      <c r="B33" s="313"/>
      <c r="C33" s="830" t="str">
        <f t="shared" si="10"/>
        <v/>
      </c>
      <c r="D33" s="833"/>
      <c r="E33" s="145"/>
      <c r="F33" s="146"/>
      <c r="G33" s="147"/>
      <c r="H33" s="145"/>
      <c r="I33" s="152"/>
      <c r="J33" s="167" t="str">
        <f t="shared" si="1"/>
        <v/>
      </c>
      <c r="K33" s="177" t="str">
        <f t="shared" si="2"/>
        <v/>
      </c>
      <c r="L33" s="152"/>
      <c r="M33" s="167" t="str">
        <f t="shared" si="3"/>
        <v/>
      </c>
      <c r="N33" s="177" t="str">
        <f t="shared" si="4"/>
        <v/>
      </c>
      <c r="O33" s="156"/>
      <c r="P33" s="157"/>
      <c r="Q33" s="174" t="str">
        <f t="shared" si="5"/>
        <v/>
      </c>
      <c r="R33" s="157"/>
      <c r="S33" s="165" t="str">
        <f t="shared" si="6"/>
        <v/>
      </c>
      <c r="T33" s="166" t="str">
        <f t="shared" si="7"/>
        <v/>
      </c>
      <c r="U33" s="167" t="str">
        <f t="shared" si="8"/>
        <v/>
      </c>
      <c r="V33" s="168" t="str">
        <f t="shared" si="9"/>
        <v/>
      </c>
      <c r="W33" s="7"/>
      <c r="X33" s="7"/>
      <c r="Y33" s="7"/>
      <c r="Z33" s="7"/>
      <c r="AA33" s="7"/>
    </row>
    <row r="34" spans="1:27" hidden="1" outlineLevel="1" x14ac:dyDescent="0.35">
      <c r="A34" s="767" t="str">
        <f t="shared" si="0"/>
        <v/>
      </c>
      <c r="B34" s="313"/>
      <c r="C34" s="830" t="str">
        <f t="shared" si="10"/>
        <v/>
      </c>
      <c r="D34" s="833"/>
      <c r="E34" s="145"/>
      <c r="F34" s="146"/>
      <c r="G34" s="147"/>
      <c r="H34" s="145"/>
      <c r="I34" s="152"/>
      <c r="J34" s="167" t="str">
        <f t="shared" si="1"/>
        <v/>
      </c>
      <c r="K34" s="177" t="str">
        <f t="shared" si="2"/>
        <v/>
      </c>
      <c r="L34" s="152"/>
      <c r="M34" s="167" t="str">
        <f t="shared" si="3"/>
        <v/>
      </c>
      <c r="N34" s="177" t="str">
        <f t="shared" si="4"/>
        <v/>
      </c>
      <c r="O34" s="156"/>
      <c r="P34" s="157"/>
      <c r="Q34" s="174" t="str">
        <f t="shared" si="5"/>
        <v/>
      </c>
      <c r="R34" s="157"/>
      <c r="S34" s="165" t="str">
        <f t="shared" si="6"/>
        <v/>
      </c>
      <c r="T34" s="166" t="str">
        <f t="shared" si="7"/>
        <v/>
      </c>
      <c r="U34" s="167" t="str">
        <f t="shared" si="8"/>
        <v/>
      </c>
      <c r="V34" s="168" t="str">
        <f t="shared" si="9"/>
        <v/>
      </c>
      <c r="W34" s="7"/>
      <c r="X34" s="7"/>
      <c r="Y34" s="7"/>
      <c r="Z34" s="7"/>
      <c r="AA34" s="7"/>
    </row>
    <row r="35" spans="1:27" hidden="1" outlineLevel="1" x14ac:dyDescent="0.35">
      <c r="A35" s="767" t="str">
        <f t="shared" si="0"/>
        <v/>
      </c>
      <c r="B35" s="313"/>
      <c r="C35" s="830" t="str">
        <f t="shared" si="10"/>
        <v/>
      </c>
      <c r="D35" s="833"/>
      <c r="E35" s="145"/>
      <c r="F35" s="146"/>
      <c r="G35" s="147"/>
      <c r="H35" s="145"/>
      <c r="I35" s="152"/>
      <c r="J35" s="167" t="str">
        <f t="shared" si="1"/>
        <v/>
      </c>
      <c r="K35" s="177" t="str">
        <f t="shared" si="2"/>
        <v/>
      </c>
      <c r="L35" s="152"/>
      <c r="M35" s="167" t="str">
        <f t="shared" si="3"/>
        <v/>
      </c>
      <c r="N35" s="177" t="str">
        <f t="shared" si="4"/>
        <v/>
      </c>
      <c r="O35" s="158"/>
      <c r="P35" s="157"/>
      <c r="Q35" s="174" t="str">
        <f t="shared" si="5"/>
        <v/>
      </c>
      <c r="R35" s="157"/>
      <c r="S35" s="165" t="str">
        <f t="shared" si="6"/>
        <v/>
      </c>
      <c r="T35" s="166" t="str">
        <f t="shared" si="7"/>
        <v/>
      </c>
      <c r="U35" s="167" t="str">
        <f t="shared" si="8"/>
        <v/>
      </c>
      <c r="V35" s="168" t="str">
        <f t="shared" si="9"/>
        <v/>
      </c>
      <c r="W35" s="7"/>
      <c r="X35" s="7"/>
      <c r="Y35" s="7"/>
      <c r="Z35" s="7"/>
      <c r="AA35" s="7"/>
    </row>
    <row r="36" spans="1:27" hidden="1" outlineLevel="1" x14ac:dyDescent="0.35">
      <c r="A36" s="767" t="str">
        <f t="shared" si="0"/>
        <v/>
      </c>
      <c r="B36" s="313"/>
      <c r="C36" s="830" t="str">
        <f t="shared" si="10"/>
        <v/>
      </c>
      <c r="D36" s="833"/>
      <c r="E36" s="145"/>
      <c r="F36" s="146"/>
      <c r="G36" s="147"/>
      <c r="H36" s="145"/>
      <c r="I36" s="152"/>
      <c r="J36" s="167" t="str">
        <f t="shared" si="1"/>
        <v/>
      </c>
      <c r="K36" s="177" t="str">
        <f t="shared" si="2"/>
        <v/>
      </c>
      <c r="L36" s="152"/>
      <c r="M36" s="167" t="str">
        <f t="shared" si="3"/>
        <v/>
      </c>
      <c r="N36" s="177" t="str">
        <f t="shared" si="4"/>
        <v/>
      </c>
      <c r="O36" s="158"/>
      <c r="P36" s="157"/>
      <c r="Q36" s="174" t="str">
        <f t="shared" si="5"/>
        <v/>
      </c>
      <c r="R36" s="157"/>
      <c r="S36" s="165" t="str">
        <f t="shared" si="6"/>
        <v/>
      </c>
      <c r="T36" s="166" t="str">
        <f t="shared" si="7"/>
        <v/>
      </c>
      <c r="U36" s="167" t="str">
        <f t="shared" si="8"/>
        <v/>
      </c>
      <c r="V36" s="168" t="str">
        <f t="shared" si="9"/>
        <v/>
      </c>
      <c r="W36" s="7"/>
      <c r="X36" s="7"/>
      <c r="Y36" s="7"/>
      <c r="Z36" s="7"/>
      <c r="AA36" s="7"/>
    </row>
    <row r="37" spans="1:27" hidden="1" outlineLevel="1" x14ac:dyDescent="0.35">
      <c r="A37" s="767" t="str">
        <f t="shared" si="0"/>
        <v/>
      </c>
      <c r="B37" s="313"/>
      <c r="C37" s="830" t="str">
        <f t="shared" si="10"/>
        <v/>
      </c>
      <c r="D37" s="833"/>
      <c r="E37" s="145"/>
      <c r="F37" s="146"/>
      <c r="G37" s="147"/>
      <c r="H37" s="145"/>
      <c r="I37" s="152"/>
      <c r="J37" s="167" t="str">
        <f t="shared" si="1"/>
        <v/>
      </c>
      <c r="K37" s="177" t="str">
        <f t="shared" si="2"/>
        <v/>
      </c>
      <c r="L37" s="152"/>
      <c r="M37" s="167" t="str">
        <f t="shared" si="3"/>
        <v/>
      </c>
      <c r="N37" s="177" t="str">
        <f t="shared" si="4"/>
        <v/>
      </c>
      <c r="O37" s="156"/>
      <c r="P37" s="157"/>
      <c r="Q37" s="174" t="str">
        <f t="shared" si="5"/>
        <v/>
      </c>
      <c r="R37" s="157"/>
      <c r="S37" s="165" t="str">
        <f t="shared" si="6"/>
        <v/>
      </c>
      <c r="T37" s="166" t="str">
        <f t="shared" si="7"/>
        <v/>
      </c>
      <c r="U37" s="167" t="str">
        <f t="shared" si="8"/>
        <v/>
      </c>
      <c r="V37" s="168" t="str">
        <f t="shared" si="9"/>
        <v/>
      </c>
      <c r="W37" s="7"/>
      <c r="X37" s="7"/>
      <c r="Y37" s="7"/>
      <c r="Z37" s="7"/>
      <c r="AA37" s="7"/>
    </row>
    <row r="38" spans="1:27" hidden="1" outlineLevel="1" x14ac:dyDescent="0.35">
      <c r="A38" s="767" t="str">
        <f t="shared" si="0"/>
        <v/>
      </c>
      <c r="B38" s="313"/>
      <c r="C38" s="830" t="str">
        <f t="shared" si="10"/>
        <v/>
      </c>
      <c r="D38" s="833"/>
      <c r="E38" s="145"/>
      <c r="F38" s="146"/>
      <c r="G38" s="147"/>
      <c r="H38" s="145"/>
      <c r="I38" s="152"/>
      <c r="J38" s="167" t="str">
        <f t="shared" si="1"/>
        <v/>
      </c>
      <c r="K38" s="177" t="str">
        <f t="shared" si="2"/>
        <v/>
      </c>
      <c r="L38" s="152"/>
      <c r="M38" s="167" t="str">
        <f t="shared" si="3"/>
        <v/>
      </c>
      <c r="N38" s="177" t="str">
        <f t="shared" si="4"/>
        <v/>
      </c>
      <c r="O38" s="156"/>
      <c r="P38" s="157"/>
      <c r="Q38" s="174" t="str">
        <f t="shared" si="5"/>
        <v/>
      </c>
      <c r="R38" s="157"/>
      <c r="S38" s="165" t="str">
        <f t="shared" si="6"/>
        <v/>
      </c>
      <c r="T38" s="166" t="str">
        <f t="shared" si="7"/>
        <v/>
      </c>
      <c r="U38" s="167" t="str">
        <f t="shared" si="8"/>
        <v/>
      </c>
      <c r="V38" s="168" t="str">
        <f t="shared" si="9"/>
        <v/>
      </c>
      <c r="W38" s="7"/>
      <c r="X38" s="7"/>
      <c r="Y38" s="7"/>
      <c r="Z38" s="7"/>
      <c r="AA38" s="7"/>
    </row>
    <row r="39" spans="1:27" hidden="1" outlineLevel="1" x14ac:dyDescent="0.35">
      <c r="A39" s="767" t="str">
        <f t="shared" si="0"/>
        <v/>
      </c>
      <c r="B39" s="313"/>
      <c r="C39" s="830" t="str">
        <f t="shared" si="10"/>
        <v/>
      </c>
      <c r="D39" s="833"/>
      <c r="E39" s="145"/>
      <c r="F39" s="146"/>
      <c r="G39" s="147"/>
      <c r="H39" s="145"/>
      <c r="I39" s="152"/>
      <c r="J39" s="167" t="str">
        <f t="shared" si="1"/>
        <v/>
      </c>
      <c r="K39" s="177" t="str">
        <f t="shared" si="2"/>
        <v/>
      </c>
      <c r="L39" s="152"/>
      <c r="M39" s="167" t="str">
        <f t="shared" si="3"/>
        <v/>
      </c>
      <c r="N39" s="177" t="str">
        <f t="shared" si="4"/>
        <v/>
      </c>
      <c r="O39" s="156"/>
      <c r="P39" s="157"/>
      <c r="Q39" s="174" t="str">
        <f t="shared" si="5"/>
        <v/>
      </c>
      <c r="R39" s="157"/>
      <c r="S39" s="165" t="str">
        <f t="shared" si="6"/>
        <v/>
      </c>
      <c r="T39" s="166" t="str">
        <f t="shared" si="7"/>
        <v/>
      </c>
      <c r="U39" s="167" t="str">
        <f t="shared" si="8"/>
        <v/>
      </c>
      <c r="V39" s="168" t="str">
        <f t="shared" si="9"/>
        <v/>
      </c>
      <c r="W39" s="7"/>
      <c r="X39" s="7"/>
      <c r="Y39" s="7"/>
      <c r="Z39" s="7"/>
      <c r="AA39" s="7"/>
    </row>
    <row r="40" spans="1:27" hidden="1" outlineLevel="1" x14ac:dyDescent="0.35">
      <c r="A40" s="767" t="str">
        <f t="shared" si="0"/>
        <v/>
      </c>
      <c r="B40" s="313"/>
      <c r="C40" s="830" t="str">
        <f t="shared" si="10"/>
        <v/>
      </c>
      <c r="D40" s="833"/>
      <c r="E40" s="145"/>
      <c r="F40" s="146"/>
      <c r="G40" s="147"/>
      <c r="H40" s="145"/>
      <c r="I40" s="152"/>
      <c r="J40" s="167" t="str">
        <f t="shared" si="1"/>
        <v/>
      </c>
      <c r="K40" s="177" t="str">
        <f t="shared" si="2"/>
        <v/>
      </c>
      <c r="L40" s="152"/>
      <c r="M40" s="167" t="str">
        <f t="shared" si="3"/>
        <v/>
      </c>
      <c r="N40" s="177" t="str">
        <f t="shared" si="4"/>
        <v/>
      </c>
      <c r="O40" s="158"/>
      <c r="P40" s="157"/>
      <c r="Q40" s="174" t="str">
        <f t="shared" si="5"/>
        <v/>
      </c>
      <c r="R40" s="157"/>
      <c r="S40" s="165" t="str">
        <f t="shared" si="6"/>
        <v/>
      </c>
      <c r="T40" s="166" t="str">
        <f t="shared" si="7"/>
        <v/>
      </c>
      <c r="U40" s="167" t="str">
        <f t="shared" si="8"/>
        <v/>
      </c>
      <c r="V40" s="168" t="str">
        <f t="shared" si="9"/>
        <v/>
      </c>
      <c r="W40" s="7"/>
      <c r="X40" s="7"/>
      <c r="Y40" s="7"/>
      <c r="Z40" s="7"/>
      <c r="AA40" s="7"/>
    </row>
    <row r="41" spans="1:27" hidden="1" outlineLevel="1" x14ac:dyDescent="0.35">
      <c r="A41" s="767" t="str">
        <f t="shared" si="0"/>
        <v/>
      </c>
      <c r="B41" s="313"/>
      <c r="C41" s="830" t="str">
        <f t="shared" si="10"/>
        <v/>
      </c>
      <c r="D41" s="833"/>
      <c r="E41" s="145"/>
      <c r="F41" s="146"/>
      <c r="G41" s="147"/>
      <c r="H41" s="145"/>
      <c r="I41" s="152"/>
      <c r="J41" s="167" t="str">
        <f t="shared" si="1"/>
        <v/>
      </c>
      <c r="K41" s="177" t="str">
        <f t="shared" si="2"/>
        <v/>
      </c>
      <c r="L41" s="152"/>
      <c r="M41" s="167" t="str">
        <f t="shared" si="3"/>
        <v/>
      </c>
      <c r="N41" s="177" t="str">
        <f t="shared" si="4"/>
        <v/>
      </c>
      <c r="O41" s="158"/>
      <c r="P41" s="157"/>
      <c r="Q41" s="174" t="str">
        <f t="shared" si="5"/>
        <v/>
      </c>
      <c r="R41" s="157"/>
      <c r="S41" s="165" t="str">
        <f t="shared" si="6"/>
        <v/>
      </c>
      <c r="T41" s="166" t="str">
        <f t="shared" si="7"/>
        <v/>
      </c>
      <c r="U41" s="167" t="str">
        <f t="shared" si="8"/>
        <v/>
      </c>
      <c r="V41" s="168" t="str">
        <f t="shared" si="9"/>
        <v/>
      </c>
      <c r="W41" s="7"/>
      <c r="X41" s="7"/>
      <c r="Y41" s="7"/>
      <c r="Z41" s="7"/>
      <c r="AA41" s="7"/>
    </row>
    <row r="42" spans="1:27" ht="15" hidden="1" outlineLevel="1" thickBot="1" x14ac:dyDescent="0.4">
      <c r="A42" s="768" t="str">
        <f t="shared" si="0"/>
        <v/>
      </c>
      <c r="B42" s="313"/>
      <c r="C42" s="831" t="str">
        <f t="shared" si="10"/>
        <v/>
      </c>
      <c r="D42" s="834"/>
      <c r="E42" s="148"/>
      <c r="F42" s="149"/>
      <c r="G42" s="150"/>
      <c r="H42" s="148"/>
      <c r="I42" s="153"/>
      <c r="J42" s="171" t="str">
        <f t="shared" si="1"/>
        <v/>
      </c>
      <c r="K42" s="178" t="str">
        <f t="shared" si="2"/>
        <v/>
      </c>
      <c r="L42" s="153"/>
      <c r="M42" s="171" t="str">
        <f t="shared" si="3"/>
        <v/>
      </c>
      <c r="N42" s="178" t="str">
        <f t="shared" si="4"/>
        <v/>
      </c>
      <c r="O42" s="159"/>
      <c r="P42" s="160"/>
      <c r="Q42" s="175" t="str">
        <f t="shared" si="5"/>
        <v/>
      </c>
      <c r="R42" s="160"/>
      <c r="S42" s="169" t="str">
        <f t="shared" si="6"/>
        <v/>
      </c>
      <c r="T42" s="170" t="str">
        <f t="shared" si="7"/>
        <v/>
      </c>
      <c r="U42" s="171" t="str">
        <f t="shared" si="8"/>
        <v/>
      </c>
      <c r="V42" s="172" t="str">
        <f t="shared" si="9"/>
        <v/>
      </c>
      <c r="W42" s="7"/>
      <c r="X42" s="7"/>
      <c r="Y42" s="7"/>
      <c r="Z42" s="7"/>
      <c r="AA42" s="7"/>
    </row>
    <row r="43" spans="1:27" ht="15" hidden="1" outlineLevel="1" thickBot="1" x14ac:dyDescent="0.4">
      <c r="A43" s="769">
        <f>IF(V6="ON",V10,SUM(A28:A42))</f>
        <v>0</v>
      </c>
      <c r="B43" s="7"/>
      <c r="C43" s="839" t="s">
        <v>15</v>
      </c>
      <c r="D43" s="840"/>
      <c r="E43" s="841"/>
      <c r="F43" s="842"/>
      <c r="G43" s="842">
        <f>IFERROR(IF($V$6="ON",V9,A43/H43),0)</f>
        <v>0</v>
      </c>
      <c r="H43" s="843">
        <f>IF(V6="ON",V8,SUM(H28:H42))</f>
        <v>0</v>
      </c>
      <c r="I43" s="44">
        <f>IFERROR(K43/H43,0)</f>
        <v>0</v>
      </c>
      <c r="J43" s="844">
        <f>IFERROR(K43/$A43,0)</f>
        <v>0</v>
      </c>
      <c r="K43" s="845">
        <f>IF(S6="ON",S7*S12,SUM(K28:K42))</f>
        <v>0</v>
      </c>
      <c r="L43" s="44">
        <f>IFERROR(IF(V8="ON",V13,N43/$H43),0)</f>
        <v>0</v>
      </c>
      <c r="M43" s="844">
        <f>IFERROR(N43/$A43,0)</f>
        <v>0</v>
      </c>
      <c r="N43" s="845">
        <f>IF(V6="ON",V8*V13,SUM(N28:N42))</f>
        <v>0</v>
      </c>
      <c r="O43" s="846">
        <f>IF(V6="ON",V20,SUM(O28:O42))</f>
        <v>0</v>
      </c>
      <c r="P43" s="45">
        <f>IFERROR(IF(V6="ON",V22,Q43/O43),0)</f>
        <v>0</v>
      </c>
      <c r="Q43" s="45">
        <f>IF(V6="ON",V20*V22,SUM(Q28:Q42))</f>
        <v>0</v>
      </c>
      <c r="R43" s="45">
        <f>IFERROR(IF(V6="ON",V21,SUMPRODUCT(O28:O42,R28:R42)/O43),0)</f>
        <v>0</v>
      </c>
      <c r="S43" s="847">
        <f>IFERROR((R43*12)/P43,0)</f>
        <v>0</v>
      </c>
      <c r="T43" s="45">
        <f>IFERROR(IF(V6="ON",((V20*(V13+V21))+((V8-V20)*V13))/V8,V43/$H43),0)</f>
        <v>0</v>
      </c>
      <c r="U43" s="848">
        <f>IFERROR(T43/$G43,0)</f>
        <v>0</v>
      </c>
      <c r="V43" s="69">
        <f>IF(V6="ON",T43*H43,SUM(V28:V42))</f>
        <v>0</v>
      </c>
      <c r="W43" s="7"/>
      <c r="X43" s="7"/>
      <c r="Y43" s="7"/>
      <c r="Z43" s="7"/>
      <c r="AA43" s="7"/>
    </row>
    <row r="44" spans="1:27" ht="15" hidden="1" outlineLevel="1" thickBot="1" x14ac:dyDescent="0.4">
      <c r="A44" s="770"/>
      <c r="B44" s="7"/>
      <c r="C44" s="73"/>
      <c r="D44" s="74"/>
      <c r="E44" s="74"/>
      <c r="F44" s="74"/>
      <c r="G44" s="74"/>
      <c r="H44" s="305"/>
      <c r="I44" s="74"/>
      <c r="J44" s="75" t="s">
        <v>186</v>
      </c>
      <c r="K44" s="304">
        <f>K43*12</f>
        <v>0</v>
      </c>
      <c r="L44" s="759">
        <f>(N43-K43)*12</f>
        <v>0</v>
      </c>
      <c r="M44" s="75" t="s">
        <v>186</v>
      </c>
      <c r="N44" s="304">
        <f>N43*12</f>
        <v>0</v>
      </c>
      <c r="O44" s="74"/>
      <c r="P44" s="74"/>
      <c r="Q44" s="74"/>
      <c r="R44" s="236">
        <f>IFERROR(TEXT(R43,"$#,##")&amp;" / "&amp;TEXT(R43/(SUMPRODUCT(O28:O42,L28:L42)/O43),"0%"),0)</f>
        <v>0</v>
      </c>
      <c r="S44" s="305"/>
      <c r="T44" s="236">
        <f>IFERROR(TEXT(T43-L43,"$#,##")&amp; " / " &amp; TEXT(T43/L43-1,"0%"),0)</f>
        <v>0</v>
      </c>
      <c r="U44" s="75" t="s">
        <v>186</v>
      </c>
      <c r="V44" s="76">
        <f>V43*12</f>
        <v>0</v>
      </c>
      <c r="W44" s="7"/>
      <c r="X44" s="7"/>
      <c r="Y44" s="7"/>
      <c r="Z44" s="7"/>
      <c r="AA44" s="7"/>
    </row>
    <row r="45" spans="1:27" ht="15" collapsed="1" thickTop="1" x14ac:dyDescent="0.35">
      <c r="B45" s="7"/>
      <c r="C45" s="7"/>
      <c r="D45" s="7"/>
      <c r="E45" s="7"/>
      <c r="F45" s="7"/>
      <c r="G45" s="7"/>
      <c r="H45" s="7"/>
      <c r="I45" s="7"/>
      <c r="J45" s="7"/>
      <c r="K45" s="7"/>
      <c r="L45" s="7"/>
      <c r="M45" s="7"/>
      <c r="N45" s="7"/>
      <c r="O45" s="7"/>
      <c r="P45" s="7"/>
      <c r="Q45" s="7"/>
      <c r="R45" s="7"/>
      <c r="S45" s="7"/>
      <c r="T45" s="7"/>
      <c r="U45" s="7"/>
      <c r="V45" s="7"/>
      <c r="W45" s="7"/>
      <c r="X45" s="7"/>
      <c r="Y45" s="7"/>
      <c r="Z45" s="7"/>
      <c r="AA45" s="7"/>
    </row>
    <row r="46" spans="1:27" ht="19" thickBot="1" x14ac:dyDescent="0.5">
      <c r="B46" s="7"/>
      <c r="C46" s="306" t="s">
        <v>68</v>
      </c>
      <c r="D46" s="306"/>
      <c r="E46" s="307"/>
      <c r="F46" s="308"/>
      <c r="G46" s="308"/>
      <c r="H46" s="308"/>
      <c r="I46" s="308"/>
      <c r="J46" s="93"/>
      <c r="K46" s="308"/>
      <c r="L46" s="309"/>
      <c r="M46" s="319"/>
      <c r="N46" s="320"/>
      <c r="O46" s="309"/>
      <c r="P46" s="309"/>
      <c r="Q46" s="309"/>
      <c r="R46" s="309"/>
      <c r="S46" s="309"/>
      <c r="T46" s="309"/>
      <c r="U46" s="309"/>
      <c r="V46" s="803" t="s">
        <v>295</v>
      </c>
      <c r="W46" s="7"/>
      <c r="X46" s="7"/>
      <c r="Y46" s="7"/>
      <c r="Z46" s="7"/>
      <c r="AA46" s="7"/>
    </row>
    <row r="47" spans="1:27" ht="15" hidden="1" outlineLevel="1" thickTop="1" x14ac:dyDescent="0.35">
      <c r="B47" s="619" t="e">
        <f>MID(ADDRESS(1,MATCH(J47,#REF!,0)),2,SEARCH("$",ADDRESS(1,MATCH(J47,#REF!,0)),2)-2)&amp;"6:"&amp;MID(ADDRESS(1,MATCH(J47,#REF!,0)),2,SEARCH("$",ADDRESS(1,MATCH(J47,#REF!,0)),2)-2)&amp;"300"</f>
        <v>#REF!</v>
      </c>
      <c r="C47" s="597"/>
      <c r="D47" s="599"/>
      <c r="E47" s="598"/>
      <c r="F47" s="599"/>
      <c r="G47" s="599"/>
      <c r="H47" s="627" t="s">
        <v>63</v>
      </c>
      <c r="I47" s="626" t="s">
        <v>62</v>
      </c>
      <c r="J47" s="628" t="s">
        <v>244</v>
      </c>
      <c r="K47" s="600" t="s">
        <v>63</v>
      </c>
      <c r="L47" s="601" t="s">
        <v>62</v>
      </c>
      <c r="M47" s="606">
        <v>1</v>
      </c>
      <c r="N47" s="602">
        <f t="shared" ref="N47:V47" si="11">M47+1</f>
        <v>2</v>
      </c>
      <c r="O47" s="602">
        <f t="shared" si="11"/>
        <v>3</v>
      </c>
      <c r="P47" s="602">
        <f t="shared" si="11"/>
        <v>4</v>
      </c>
      <c r="Q47" s="602">
        <f t="shared" si="11"/>
        <v>5</v>
      </c>
      <c r="R47" s="602">
        <f t="shared" si="11"/>
        <v>6</v>
      </c>
      <c r="S47" s="602">
        <f t="shared" si="11"/>
        <v>7</v>
      </c>
      <c r="T47" s="602">
        <f t="shared" si="11"/>
        <v>8</v>
      </c>
      <c r="U47" s="602">
        <f t="shared" si="11"/>
        <v>9</v>
      </c>
      <c r="V47" s="603">
        <f t="shared" si="11"/>
        <v>10</v>
      </c>
      <c r="W47" s="7"/>
      <c r="X47" s="7"/>
      <c r="Y47" s="7"/>
      <c r="Z47" s="7"/>
      <c r="AA47" s="7"/>
    </row>
    <row r="48" spans="1:27" ht="12" hidden="1" customHeight="1" outlineLevel="1" x14ac:dyDescent="0.35">
      <c r="B48" s="312"/>
      <c r="C48" s="16" t="s">
        <v>183</v>
      </c>
      <c r="D48" s="806"/>
      <c r="E48" s="321"/>
      <c r="F48" s="321"/>
      <c r="G48" s="321"/>
      <c r="H48" s="487">
        <f>IFERROR(J48/J48,0)</f>
        <v>0</v>
      </c>
      <c r="I48" s="338">
        <f>IFERROR(J48/$H$43,0)</f>
        <v>0</v>
      </c>
      <c r="J48" s="900">
        <v>0</v>
      </c>
      <c r="K48" s="538">
        <f>IFERROR(M48/M48,0)</f>
        <v>0</v>
      </c>
      <c r="L48" s="72">
        <f>IFERROR(M48/H43,0)</f>
        <v>0</v>
      </c>
      <c r="M48" s="514">
        <f>IFERROR(IF($V$6="ON",'GPR Logic'!R150,M53*H43*12),0)</f>
        <v>0</v>
      </c>
      <c r="N48" s="329">
        <f>IFERROR(
IF($V$6="ON",'GPR Logic'!S150,
IF(SUM($M$54:N54)&gt;0,
IF(N54&gt;0,N54*$H$43*12,M48*(1+N104)),
N53*$H$43*12)),0)</f>
        <v>0</v>
      </c>
      <c r="O48" s="72">
        <f>IFERROR(
IF($V$6="ON",'GPR Logic'!T150,
IF(SUM($M$54:O54)&gt;0,
IF(O54&gt;0,O54*$H$43*12,N48*(1+O104)),
O53*$H$43*12)),0)</f>
        <v>0</v>
      </c>
      <c r="P48" s="72">
        <f>IFERROR(
IF($V$6="ON",'GPR Logic'!U150,
IF(SUM($M$54:P54)&gt;0,
IF(P54&gt;0,P54*$H$43*12,O48*(1+P104)),
P53*$H$43*12)),0)</f>
        <v>0</v>
      </c>
      <c r="Q48" s="72">
        <f>IFERROR(
IF($V$6="ON",'GPR Logic'!V150,
IF(SUM($M$54:Q54)&gt;0,
IF(Q54&gt;0,Q54*$H$43*12,P48*(1+Q104)),
Q53*$H$43*12)),0)</f>
        <v>0</v>
      </c>
      <c r="R48" s="72">
        <f>IFERROR(
IF($V$6="ON",Q48*(1+R104),
IF(SUM($M$54:R54)&gt;0,
IF(R54&gt;0,R54*$H$43*12,Q48*(1+R104)),
R53*$H$43*12)),0)</f>
        <v>0</v>
      </c>
      <c r="S48" s="72">
        <f>IFERROR(
IF($V$6="ON",R48*(1+S104),
IF(SUM($M$54:S54)&gt;0,
IF(S54&gt;0,S54*$H$43*12,R48*(1+S104)),
S53*$H$43*12)),0)</f>
        <v>0</v>
      </c>
      <c r="T48" s="72">
        <f>IFERROR(
IF($V$6="ON",S48*(1+T104),
IF(SUM($M$54:T54)&gt;0,
IF(T54&gt;0,T54*$H$43*12,S48*(1+T104)),
T53*$H$43*12)),0)</f>
        <v>0</v>
      </c>
      <c r="U48" s="72">
        <f>IFERROR(
IF($V$6="ON",T48*(1+U104),
IF(SUM($M$54:U54)&gt;0,
IF(U54&gt;0,U54*$H$43*12,T48*(1+U104)),
U53*$H$43*12)),0)</f>
        <v>0</v>
      </c>
      <c r="V48" s="330">
        <f>IFERROR(
IF($V$6="ON",U48*(1+V104),
IF(SUM($M$54:V54)&gt;0,
IF(V54&gt;0,V54*$H$43*12,U48*(1+V104)),
V53*$H$43*12)),0)</f>
        <v>0</v>
      </c>
      <c r="W48" s="7"/>
      <c r="X48" s="7"/>
      <c r="Y48" s="7"/>
      <c r="Z48" s="7"/>
      <c r="AA48" s="7"/>
    </row>
    <row r="49" spans="2:27" ht="12" hidden="1" customHeight="1" outlineLevel="2" x14ac:dyDescent="0.35">
      <c r="B49" s="312"/>
      <c r="C49" s="2"/>
      <c r="D49" s="807"/>
      <c r="E49" s="321"/>
      <c r="F49" s="322"/>
      <c r="G49" s="322" t="s">
        <v>66</v>
      </c>
      <c r="H49" s="488"/>
      <c r="I49" s="481"/>
      <c r="J49" s="527"/>
      <c r="K49" s="539"/>
      <c r="L49" s="332"/>
      <c r="M49" s="613">
        <f>'GPR Logic'!R5</f>
        <v>0</v>
      </c>
      <c r="N49" s="331">
        <f>'GPR Logic'!S5</f>
        <v>0</v>
      </c>
      <c r="O49" s="332">
        <f>'GPR Logic'!T5</f>
        <v>0</v>
      </c>
      <c r="P49" s="332">
        <f t="shared" ref="P49:V49" si="12">IFERROR(O49,0)</f>
        <v>0</v>
      </c>
      <c r="Q49" s="332">
        <f t="shared" si="12"/>
        <v>0</v>
      </c>
      <c r="R49" s="332">
        <f t="shared" si="12"/>
        <v>0</v>
      </c>
      <c r="S49" s="332">
        <f t="shared" si="12"/>
        <v>0</v>
      </c>
      <c r="T49" s="332">
        <f t="shared" si="12"/>
        <v>0</v>
      </c>
      <c r="U49" s="332">
        <f t="shared" si="12"/>
        <v>0</v>
      </c>
      <c r="V49" s="333">
        <f t="shared" si="12"/>
        <v>0</v>
      </c>
      <c r="W49" s="7"/>
      <c r="X49" s="7"/>
    </row>
    <row r="50" spans="2:27" ht="12" hidden="1" customHeight="1" outlineLevel="2" x14ac:dyDescent="0.35">
      <c r="B50" s="312"/>
      <c r="C50" s="2"/>
      <c r="D50" s="807"/>
      <c r="E50" s="321"/>
      <c r="F50" s="323"/>
      <c r="G50" s="323" t="s">
        <v>64</v>
      </c>
      <c r="H50" s="489"/>
      <c r="I50" s="343"/>
      <c r="J50" s="10"/>
      <c r="K50" s="540"/>
      <c r="L50" s="327"/>
      <c r="M50" s="334">
        <f>'GPR Logic'!R85</f>
        <v>0</v>
      </c>
      <c r="N50" s="335">
        <f>'GPR Logic'!S85</f>
        <v>0</v>
      </c>
      <c r="O50" s="327">
        <f>'GPR Logic'!T85</f>
        <v>0</v>
      </c>
      <c r="P50" s="327">
        <f t="shared" ref="P50:V50" si="13">IFERROR(ROUND($H$43-P49,0),0)</f>
        <v>0</v>
      </c>
      <c r="Q50" s="327">
        <f t="shared" si="13"/>
        <v>0</v>
      </c>
      <c r="R50" s="327">
        <f t="shared" si="13"/>
        <v>0</v>
      </c>
      <c r="S50" s="327">
        <f t="shared" si="13"/>
        <v>0</v>
      </c>
      <c r="T50" s="327">
        <f t="shared" si="13"/>
        <v>0</v>
      </c>
      <c r="U50" s="327">
        <f t="shared" si="13"/>
        <v>0</v>
      </c>
      <c r="V50" s="336">
        <f t="shared" si="13"/>
        <v>0</v>
      </c>
      <c r="W50" s="7"/>
      <c r="X50" s="7"/>
      <c r="Y50" s="7"/>
      <c r="Z50" s="7"/>
      <c r="AA50" s="7"/>
    </row>
    <row r="51" spans="2:27" ht="12" hidden="1" customHeight="1" outlineLevel="2" x14ac:dyDescent="0.35">
      <c r="B51" s="312"/>
      <c r="C51" s="2"/>
      <c r="D51" s="807"/>
      <c r="E51" s="321"/>
      <c r="F51" s="323"/>
      <c r="G51" s="323" t="s">
        <v>67</v>
      </c>
      <c r="H51" s="489"/>
      <c r="I51" s="343"/>
      <c r="J51" s="10"/>
      <c r="K51" s="428"/>
      <c r="L51" s="327">
        <f>'GPR Logic'!R37</f>
        <v>0</v>
      </c>
      <c r="M51" s="523">
        <f>'GPR Logic'!R133</f>
        <v>0</v>
      </c>
      <c r="N51" s="337">
        <f>'GPR Logic'!S37</f>
        <v>0</v>
      </c>
      <c r="O51" s="338">
        <f>'GPR Logic'!T37</f>
        <v>0</v>
      </c>
      <c r="P51" s="338">
        <f t="shared" ref="P51:V52" si="14">IFERROR(O51*(1+P$104),0)</f>
        <v>0</v>
      </c>
      <c r="Q51" s="338">
        <f t="shared" si="14"/>
        <v>0</v>
      </c>
      <c r="R51" s="338">
        <f t="shared" si="14"/>
        <v>0</v>
      </c>
      <c r="S51" s="338">
        <f t="shared" si="14"/>
        <v>0</v>
      </c>
      <c r="T51" s="338">
        <f t="shared" si="14"/>
        <v>0</v>
      </c>
      <c r="U51" s="338">
        <f t="shared" si="14"/>
        <v>0</v>
      </c>
      <c r="V51" s="339">
        <f t="shared" si="14"/>
        <v>0</v>
      </c>
      <c r="W51" s="7"/>
      <c r="X51" s="7"/>
      <c r="Y51" s="7"/>
      <c r="Z51" s="7"/>
      <c r="AA51" s="7"/>
    </row>
    <row r="52" spans="2:27" ht="12" hidden="1" customHeight="1" outlineLevel="2" x14ac:dyDescent="0.35">
      <c r="B52" s="312"/>
      <c r="C52" s="2"/>
      <c r="D52" s="807"/>
      <c r="E52" s="321"/>
      <c r="F52" s="324"/>
      <c r="G52" s="324" t="s">
        <v>65</v>
      </c>
      <c r="H52" s="490"/>
      <c r="I52" s="482"/>
      <c r="J52" s="528"/>
      <c r="K52" s="541"/>
      <c r="L52" s="328">
        <f>'GPR Logic'!R117</f>
        <v>0</v>
      </c>
      <c r="M52" s="542">
        <f>'GPR Logic'!R134</f>
        <v>0</v>
      </c>
      <c r="N52" s="340">
        <f>'GPR Logic'!S117</f>
        <v>0</v>
      </c>
      <c r="O52" s="341">
        <f>'GPR Logic'!T117</f>
        <v>0</v>
      </c>
      <c r="P52" s="341">
        <f t="shared" si="14"/>
        <v>0</v>
      </c>
      <c r="Q52" s="341">
        <f t="shared" si="14"/>
        <v>0</v>
      </c>
      <c r="R52" s="341">
        <f t="shared" si="14"/>
        <v>0</v>
      </c>
      <c r="S52" s="341">
        <f t="shared" si="14"/>
        <v>0</v>
      </c>
      <c r="T52" s="341">
        <f t="shared" si="14"/>
        <v>0</v>
      </c>
      <c r="U52" s="341">
        <f t="shared" si="14"/>
        <v>0</v>
      </c>
      <c r="V52" s="342">
        <f t="shared" si="14"/>
        <v>0</v>
      </c>
      <c r="W52" s="7"/>
      <c r="X52" s="7"/>
      <c r="Y52" s="7"/>
      <c r="Z52" s="7"/>
      <c r="AA52" s="7"/>
    </row>
    <row r="53" spans="2:27" ht="12" hidden="1" customHeight="1" outlineLevel="1" collapsed="1" x14ac:dyDescent="0.35">
      <c r="B53" s="312"/>
      <c r="C53" s="2"/>
      <c r="D53" s="807"/>
      <c r="E53" s="321"/>
      <c r="F53" s="323"/>
      <c r="G53" s="323" t="s">
        <v>31</v>
      </c>
      <c r="H53" s="489"/>
      <c r="I53" s="338">
        <f>IFERROR(J48/H43/12,0)</f>
        <v>0</v>
      </c>
      <c r="J53" s="347"/>
      <c r="K53" s="428"/>
      <c r="M53" s="523">
        <f>IFERROR(IF($V$6="ON",M48/$V$8/12,IF(M54&gt;0,M54,'GPR Logic'!R136)),0)</f>
        <v>0</v>
      </c>
      <c r="N53" s="335">
        <f>IFERROR(IF($V$6="ON",N48/$V$8/12,IF(SUM($M$54:N54)&gt;0,N48/$H$43/12,'GPR Logic'!S136)),0)</f>
        <v>0</v>
      </c>
      <c r="O53" s="327">
        <f>IFERROR(IF($V$6="ON",O48/$V$8/12,IF(SUM($M$54:O54)&gt;0,O48/$H$43/12,'GPR Logic'!T136)),0)</f>
        <v>0</v>
      </c>
      <c r="P53" s="327">
        <f>IFERROR(IF($V$6="ON",P48/$V$8/12,IF(SUM($M$54:P54)&gt;0,P48/$H$43/12,'GPR Logic'!U136)),0)</f>
        <v>0</v>
      </c>
      <c r="Q53" s="327">
        <f>IFERROR(IF(SUM($M$54:Q54)&gt;0,Q48/$H$43/12,P53*(1+Q104)),0)</f>
        <v>0</v>
      </c>
      <c r="R53" s="327">
        <f>IFERROR(IF(SUM($M$54:R54)&gt;0,R48/$H$43/12,Q53*(1+R104)),0)</f>
        <v>0</v>
      </c>
      <c r="S53" s="327">
        <f>IFERROR(IF(SUM($M$54:S54)&gt;0,S48/$H$43/12,R53*(1+S104)),0)</f>
        <v>0</v>
      </c>
      <c r="T53" s="327">
        <f>IFERROR(IF(SUM($M$54:T54)&gt;0,T48/$H$43/12,S53*(1+T104)),0)</f>
        <v>0</v>
      </c>
      <c r="U53" s="327">
        <f>IFERROR(IF(SUM($M$54:U54)&gt;0,U48/$H$43/12,T53*(1+U104)),0)</f>
        <v>0</v>
      </c>
      <c r="V53" s="336">
        <f>IFERROR(IF(SUM($M$54:V54)&gt;0,V48/$H$43/12,U53*(1+V104)),0)</f>
        <v>0</v>
      </c>
      <c r="W53" s="7"/>
      <c r="X53" s="7"/>
      <c r="Y53" s="7"/>
      <c r="Z53" s="7"/>
      <c r="AA53" s="7"/>
    </row>
    <row r="54" spans="2:27" ht="12" hidden="1" customHeight="1" outlineLevel="1" x14ac:dyDescent="0.35">
      <c r="B54" s="312"/>
      <c r="C54" s="2"/>
      <c r="D54" s="807"/>
      <c r="E54" s="321"/>
      <c r="F54" s="323"/>
      <c r="G54" s="323" t="s">
        <v>158</v>
      </c>
      <c r="H54" s="489"/>
      <c r="I54" s="343"/>
      <c r="J54" s="10"/>
      <c r="K54" s="389"/>
      <c r="L54" s="343"/>
      <c r="M54" s="621"/>
      <c r="N54" s="622"/>
      <c r="O54" s="622"/>
      <c r="P54" s="622"/>
      <c r="Q54" s="622"/>
      <c r="R54" s="622"/>
      <c r="S54" s="622"/>
      <c r="T54" s="622"/>
      <c r="U54" s="622"/>
      <c r="V54" s="623"/>
      <c r="W54" s="7"/>
      <c r="X54" s="7"/>
      <c r="Y54" s="7"/>
      <c r="Z54" s="7"/>
      <c r="AA54" s="7"/>
    </row>
    <row r="55" spans="2:27" ht="12" hidden="1" customHeight="1" outlineLevel="1" x14ac:dyDescent="0.35">
      <c r="B55" s="312"/>
      <c r="C55" s="2"/>
      <c r="D55" s="807"/>
      <c r="E55" s="321"/>
      <c r="F55" s="323"/>
      <c r="G55" s="323" t="s">
        <v>119</v>
      </c>
      <c r="H55" s="489"/>
      <c r="I55" s="72"/>
      <c r="J55" s="10"/>
      <c r="K55" s="389"/>
      <c r="M55" s="564">
        <f>IFERROR(M53/I53-1,0)</f>
        <v>0</v>
      </c>
      <c r="N55" s="293">
        <f t="shared" ref="N55" si="15">IFERROR(N53/M53-1,0)</f>
        <v>0</v>
      </c>
      <c r="O55" s="293">
        <f t="shared" ref="O55" si="16">IFERROR(O53/N53-1,0)</f>
        <v>0</v>
      </c>
      <c r="P55" s="293">
        <f t="shared" ref="P55" si="17">IFERROR(P53/O53-1,0)</f>
        <v>0</v>
      </c>
      <c r="Q55" s="293">
        <f t="shared" ref="Q55" si="18">IFERROR(Q53/P53-1,0)</f>
        <v>0</v>
      </c>
      <c r="R55" s="293">
        <f t="shared" ref="R55" si="19">IFERROR(R53/Q53-1,0)</f>
        <v>0</v>
      </c>
      <c r="S55" s="293">
        <f t="shared" ref="S55" si="20">IFERROR(S53/R53-1,0)</f>
        <v>0</v>
      </c>
      <c r="T55" s="293">
        <f t="shared" ref="T55:V55" si="21">IFERROR(T53/S53-1,0)</f>
        <v>0</v>
      </c>
      <c r="U55" s="293">
        <f t="shared" si="21"/>
        <v>0</v>
      </c>
      <c r="V55" s="294">
        <f t="shared" si="21"/>
        <v>0</v>
      </c>
      <c r="W55" s="7"/>
      <c r="X55" s="7"/>
      <c r="Y55" s="7"/>
      <c r="Z55" s="7"/>
      <c r="AA55" s="7"/>
    </row>
    <row r="56" spans="2:27" ht="12" hidden="1" customHeight="1" outlineLevel="1" x14ac:dyDescent="0.35">
      <c r="B56" s="312"/>
      <c r="C56" s="2" t="s">
        <v>32</v>
      </c>
      <c r="D56" s="807"/>
      <c r="E56" s="321"/>
      <c r="F56" s="321"/>
      <c r="G56" s="321"/>
      <c r="H56" s="489"/>
      <c r="I56" s="343"/>
      <c r="J56" s="10"/>
      <c r="K56" s="491">
        <f>IFERROR(-M56/$M$48,0)</f>
        <v>0</v>
      </c>
      <c r="L56" s="327">
        <f t="shared" ref="L56:L61" si="22">IFERROR(M56/$H$43,0)</f>
        <v>0</v>
      </c>
      <c r="M56" s="799">
        <f>IF(SUM($M$54:M54)&gt;0,0,-'GPR Logic'!R53)</f>
        <v>0</v>
      </c>
      <c r="N56" s="798">
        <f>IF(SUM($M$54:N54)&gt;0,0,-'GPR Logic'!S53)</f>
        <v>0</v>
      </c>
      <c r="O56" s="612">
        <f>IF(SUM($M$54:O54)&gt;0,0,-'GPR Logic'!T53)</f>
        <v>0</v>
      </c>
      <c r="P56" s="612">
        <f>IF(SUM($M$54:P54)&gt;0,0,-'GPR Logic'!U53)</f>
        <v>0</v>
      </c>
      <c r="Q56" s="343">
        <f t="shared" ref="Q56:V56" si="23">-(Q49-P49)*2*Q52</f>
        <v>0</v>
      </c>
      <c r="R56" s="343">
        <f t="shared" si="23"/>
        <v>0</v>
      </c>
      <c r="S56" s="343">
        <f t="shared" si="23"/>
        <v>0</v>
      </c>
      <c r="T56" s="343">
        <f t="shared" si="23"/>
        <v>0</v>
      </c>
      <c r="U56" s="343">
        <f t="shared" si="23"/>
        <v>0</v>
      </c>
      <c r="V56" s="344">
        <f t="shared" si="23"/>
        <v>0</v>
      </c>
      <c r="W56" s="7"/>
      <c r="X56" s="7"/>
      <c r="Y56" s="7"/>
      <c r="Z56" s="7"/>
      <c r="AA56" s="7"/>
    </row>
    <row r="57" spans="2:27" ht="12" hidden="1" customHeight="1" outlineLevel="1" x14ac:dyDescent="0.35">
      <c r="B57" s="312"/>
      <c r="C57" s="2" t="s">
        <v>246</v>
      </c>
      <c r="D57" s="807" t="s">
        <v>247</v>
      </c>
      <c r="E57" s="321"/>
      <c r="F57" s="321"/>
      <c r="G57" s="618"/>
      <c r="H57" s="491">
        <f>IFERROR(-J57/$J$48,0)</f>
        <v>0</v>
      </c>
      <c r="I57" s="338">
        <f>IFERROR(J57/$H$43,0)</f>
        <v>0</v>
      </c>
      <c r="J57" s="900">
        <v>0</v>
      </c>
      <c r="K57" s="543">
        <v>0</v>
      </c>
      <c r="L57" s="327">
        <f t="shared" si="22"/>
        <v>0</v>
      </c>
      <c r="M57" s="901">
        <f>-($M$48+M64+M65)*K57</f>
        <v>0</v>
      </c>
      <c r="N57" s="343">
        <f t="shared" ref="N57:V57" si="24">-(N$48+N64+N65)*N107</f>
        <v>0</v>
      </c>
      <c r="O57" s="343">
        <f t="shared" si="24"/>
        <v>0</v>
      </c>
      <c r="P57" s="343">
        <f t="shared" si="24"/>
        <v>0</v>
      </c>
      <c r="Q57" s="343">
        <f t="shared" si="24"/>
        <v>0</v>
      </c>
      <c r="R57" s="343">
        <f t="shared" si="24"/>
        <v>0</v>
      </c>
      <c r="S57" s="343">
        <f t="shared" si="24"/>
        <v>0</v>
      </c>
      <c r="T57" s="343">
        <f t="shared" si="24"/>
        <v>0</v>
      </c>
      <c r="U57" s="343">
        <f t="shared" si="24"/>
        <v>0</v>
      </c>
      <c r="V57" s="344">
        <f t="shared" si="24"/>
        <v>0</v>
      </c>
      <c r="W57" s="7"/>
      <c r="X57" s="7"/>
      <c r="Y57" s="7"/>
      <c r="Z57" s="7"/>
      <c r="AA57" s="7"/>
    </row>
    <row r="58" spans="2:27" ht="12" hidden="1" customHeight="1" outlineLevel="1" x14ac:dyDescent="0.35">
      <c r="B58" s="312"/>
      <c r="C58" s="16" t="s">
        <v>33</v>
      </c>
      <c r="D58" s="806"/>
      <c r="E58" s="321"/>
      <c r="F58" s="321"/>
      <c r="G58" s="321"/>
      <c r="H58" s="491">
        <f>IFERROR(-J58/$J$48,0)</f>
        <v>0</v>
      </c>
      <c r="I58" s="338">
        <f>IFERROR(J58/$H$43,0)</f>
        <v>0</v>
      </c>
      <c r="J58" s="900">
        <v>0</v>
      </c>
      <c r="K58" s="543">
        <v>0</v>
      </c>
      <c r="L58" s="327">
        <f t="shared" si="22"/>
        <v>0</v>
      </c>
      <c r="M58" s="901">
        <f>-$M$48*K58</f>
        <v>0</v>
      </c>
      <c r="N58" s="343">
        <f t="shared" ref="N58:V58" si="25">-N$48*N108</f>
        <v>0</v>
      </c>
      <c r="O58" s="343">
        <f t="shared" si="25"/>
        <v>0</v>
      </c>
      <c r="P58" s="343">
        <f t="shared" si="25"/>
        <v>0</v>
      </c>
      <c r="Q58" s="343">
        <f t="shared" si="25"/>
        <v>0</v>
      </c>
      <c r="R58" s="343">
        <f t="shared" si="25"/>
        <v>0</v>
      </c>
      <c r="S58" s="343">
        <f t="shared" si="25"/>
        <v>0</v>
      </c>
      <c r="T58" s="343">
        <f t="shared" si="25"/>
        <v>0</v>
      </c>
      <c r="U58" s="343">
        <f t="shared" si="25"/>
        <v>0</v>
      </c>
      <c r="V58" s="344">
        <f t="shared" si="25"/>
        <v>0</v>
      </c>
      <c r="W58" s="7"/>
      <c r="X58" s="7"/>
      <c r="Y58" s="7"/>
      <c r="Z58" s="7"/>
      <c r="AA58" s="7"/>
    </row>
    <row r="59" spans="2:27" ht="12" hidden="1" customHeight="1" outlineLevel="1" x14ac:dyDescent="0.35">
      <c r="B59" s="312"/>
      <c r="C59" s="2" t="s">
        <v>34</v>
      </c>
      <c r="D59" s="807"/>
      <c r="E59" s="321"/>
      <c r="F59" s="321"/>
      <c r="G59" s="321"/>
      <c r="H59" s="491">
        <f>IFERROR(-J59/$J$48,0)</f>
        <v>0</v>
      </c>
      <c r="I59" s="338">
        <f>IFERROR(J59/$H$43,0)</f>
        <v>0</v>
      </c>
      <c r="J59" s="900">
        <v>0</v>
      </c>
      <c r="K59" s="543">
        <v>0</v>
      </c>
      <c r="L59" s="327">
        <f t="shared" si="22"/>
        <v>0</v>
      </c>
      <c r="M59" s="901">
        <f>-$M$48*K59</f>
        <v>0</v>
      </c>
      <c r="N59" s="343">
        <f t="shared" ref="N59:V59" si="26">-N$48*N109</f>
        <v>0</v>
      </c>
      <c r="O59" s="343">
        <f t="shared" si="26"/>
        <v>0</v>
      </c>
      <c r="P59" s="343">
        <f t="shared" si="26"/>
        <v>0</v>
      </c>
      <c r="Q59" s="343">
        <f t="shared" si="26"/>
        <v>0</v>
      </c>
      <c r="R59" s="343">
        <f t="shared" si="26"/>
        <v>0</v>
      </c>
      <c r="S59" s="343">
        <f t="shared" si="26"/>
        <v>0</v>
      </c>
      <c r="T59" s="343">
        <f t="shared" si="26"/>
        <v>0</v>
      </c>
      <c r="U59" s="343">
        <f t="shared" si="26"/>
        <v>0</v>
      </c>
      <c r="V59" s="344">
        <f t="shared" si="26"/>
        <v>0</v>
      </c>
      <c r="W59" s="7"/>
      <c r="X59" s="7"/>
      <c r="Y59" s="7"/>
      <c r="Z59" s="7"/>
      <c r="AA59" s="7"/>
    </row>
    <row r="60" spans="2:27" ht="12" hidden="1" customHeight="1" outlineLevel="1" x14ac:dyDescent="0.35">
      <c r="B60" s="312"/>
      <c r="C60" s="2" t="s">
        <v>35</v>
      </c>
      <c r="D60" s="807"/>
      <c r="E60" s="321"/>
      <c r="F60" s="321"/>
      <c r="G60" s="321"/>
      <c r="H60" s="492">
        <f>IFERROR(-J60/$J$48,0)</f>
        <v>0</v>
      </c>
      <c r="I60" s="343">
        <f>IFERROR(J60/$H$43,0)</f>
        <v>0</v>
      </c>
      <c r="J60" s="900">
        <v>0</v>
      </c>
      <c r="K60" s="543">
        <v>0</v>
      </c>
      <c r="L60" s="524">
        <f t="shared" si="22"/>
        <v>0</v>
      </c>
      <c r="M60" s="902">
        <f>-$M$48*K60</f>
        <v>0</v>
      </c>
      <c r="N60" s="343">
        <f t="shared" ref="N60:V60" si="27">-N$48*N110</f>
        <v>0</v>
      </c>
      <c r="O60" s="343">
        <f t="shared" si="27"/>
        <v>0</v>
      </c>
      <c r="P60" s="343">
        <f t="shared" si="27"/>
        <v>0</v>
      </c>
      <c r="Q60" s="343">
        <f t="shared" si="27"/>
        <v>0</v>
      </c>
      <c r="R60" s="343">
        <f t="shared" si="27"/>
        <v>0</v>
      </c>
      <c r="S60" s="343">
        <f t="shared" si="27"/>
        <v>0</v>
      </c>
      <c r="T60" s="343">
        <f t="shared" si="27"/>
        <v>0</v>
      </c>
      <c r="U60" s="343">
        <f t="shared" si="27"/>
        <v>0</v>
      </c>
      <c r="V60" s="344">
        <f t="shared" si="27"/>
        <v>0</v>
      </c>
      <c r="W60" s="7"/>
      <c r="X60" s="7"/>
      <c r="Y60" s="7"/>
      <c r="Z60" s="7"/>
      <c r="AA60" s="7"/>
    </row>
    <row r="61" spans="2:27" ht="12" hidden="1" customHeight="1" outlineLevel="1" x14ac:dyDescent="0.35">
      <c r="B61" s="312"/>
      <c r="C61" s="40" t="s">
        <v>36</v>
      </c>
      <c r="D61" s="808"/>
      <c r="E61" s="41"/>
      <c r="F61" s="41"/>
      <c r="G61" s="41"/>
      <c r="H61" s="493">
        <f>IFERROR(H48-SUM(H56:H60),0)</f>
        <v>0</v>
      </c>
      <c r="I61" s="483">
        <f>IFERROR(J61/$H$43,0)</f>
        <v>0</v>
      </c>
      <c r="J61" s="42">
        <f>IFERROR(SUM(J56:J60,J48),0)</f>
        <v>0</v>
      </c>
      <c r="K61" s="493">
        <f>IFERROR(K48-SUM(K56:K60),0)</f>
        <v>0</v>
      </c>
      <c r="L61" s="483">
        <f t="shared" si="22"/>
        <v>0</v>
      </c>
      <c r="M61" s="516">
        <f t="shared" ref="M61:V61" si="28">IFERROR(IF($V$6="ON",M48-(M48*(IF(M47&gt;(ROUNDUP($O$15/12,0)),$V$15,$V$14))-(-M56/M48)),SUM(M56:M60,M48)),0)</f>
        <v>0</v>
      </c>
      <c r="N61" s="20">
        <f t="shared" si="28"/>
        <v>0</v>
      </c>
      <c r="O61" s="20">
        <f t="shared" si="28"/>
        <v>0</v>
      </c>
      <c r="P61" s="20">
        <f t="shared" si="28"/>
        <v>0</v>
      </c>
      <c r="Q61" s="20">
        <f t="shared" si="28"/>
        <v>0</v>
      </c>
      <c r="R61" s="20">
        <f t="shared" si="28"/>
        <v>0</v>
      </c>
      <c r="S61" s="20">
        <f t="shared" si="28"/>
        <v>0</v>
      </c>
      <c r="T61" s="20">
        <f t="shared" si="28"/>
        <v>0</v>
      </c>
      <c r="U61" s="20">
        <f t="shared" si="28"/>
        <v>0</v>
      </c>
      <c r="V61" s="21">
        <f t="shared" si="28"/>
        <v>0</v>
      </c>
      <c r="W61" s="7"/>
      <c r="X61" s="7"/>
      <c r="Y61" s="7"/>
      <c r="Z61" s="7"/>
      <c r="AA61" s="7"/>
    </row>
    <row r="62" spans="2:27" ht="12" hidden="1" customHeight="1" outlineLevel="1" x14ac:dyDescent="0.35">
      <c r="B62" s="312"/>
      <c r="C62" s="345"/>
      <c r="D62" s="321"/>
      <c r="E62" s="321"/>
      <c r="F62" s="346"/>
      <c r="G62" s="346" t="s">
        <v>17</v>
      </c>
      <c r="H62" s="494"/>
      <c r="I62" s="495">
        <f>IFERROR(J61/$H$43/12,0)</f>
        <v>0</v>
      </c>
      <c r="J62" s="486"/>
      <c r="K62" s="544"/>
      <c r="L62" s="495">
        <f>IFERROR(M61/$H$43/12,0)</f>
        <v>0</v>
      </c>
      <c r="M62" s="871"/>
      <c r="N62" s="338">
        <f t="shared" ref="N62:V62" si="29">IFERROR(N61/$H$43/12,0)</f>
        <v>0</v>
      </c>
      <c r="O62" s="338">
        <f t="shared" si="29"/>
        <v>0</v>
      </c>
      <c r="P62" s="338">
        <f t="shared" si="29"/>
        <v>0</v>
      </c>
      <c r="Q62" s="338">
        <f t="shared" si="29"/>
        <v>0</v>
      </c>
      <c r="R62" s="338">
        <f t="shared" si="29"/>
        <v>0</v>
      </c>
      <c r="S62" s="338">
        <f t="shared" si="29"/>
        <v>0</v>
      </c>
      <c r="T62" s="338">
        <f t="shared" si="29"/>
        <v>0</v>
      </c>
      <c r="U62" s="338">
        <f t="shared" si="29"/>
        <v>0</v>
      </c>
      <c r="V62" s="339">
        <f t="shared" si="29"/>
        <v>0</v>
      </c>
      <c r="W62" s="7"/>
      <c r="X62" s="7"/>
      <c r="Y62" s="7"/>
      <c r="Z62" s="7"/>
      <c r="AA62" s="7"/>
    </row>
    <row r="63" spans="2:27" ht="12" hidden="1" customHeight="1" outlineLevel="1" x14ac:dyDescent="0.35">
      <c r="B63" s="620" t="e">
        <f>MID(ADDRESS(1,MATCH(J63,#REF!,0)),2,SEARCH("$",ADDRESS(1,MATCH(J63,#REF!,0)),2)-2)&amp;"6:"&amp;MID(ADDRESS(1,MATCH(J63,#REF!,0)),2,SEARCH("$",ADDRESS(1,MATCH(J63,#REF!,0)),2)-2)&amp;"300"</f>
        <v>#REF!</v>
      </c>
      <c r="C63" s="345"/>
      <c r="D63" s="321"/>
      <c r="E63" s="321"/>
      <c r="F63" s="321"/>
      <c r="G63" s="321"/>
      <c r="H63" s="496"/>
      <c r="I63" s="321"/>
      <c r="J63" s="625" t="s">
        <v>244</v>
      </c>
      <c r="K63" s="545"/>
      <c r="L63" s="10"/>
      <c r="M63" s="872"/>
      <c r="N63" s="10"/>
      <c r="O63" s="10"/>
      <c r="P63" s="10"/>
      <c r="Q63" s="10"/>
      <c r="R63" s="348"/>
      <c r="S63" s="348"/>
      <c r="T63" s="348"/>
      <c r="U63" s="348"/>
      <c r="V63" s="349"/>
      <c r="W63" s="7"/>
      <c r="X63" s="7"/>
      <c r="Y63" s="7"/>
      <c r="Z63" s="7"/>
      <c r="AA63" s="7"/>
    </row>
    <row r="64" spans="2:27" ht="12" hidden="1" customHeight="1" outlineLevel="1" x14ac:dyDescent="0.35">
      <c r="B64" s="312"/>
      <c r="C64" s="16" t="s">
        <v>37</v>
      </c>
      <c r="D64" s="806"/>
      <c r="E64" s="321"/>
      <c r="F64" s="321"/>
      <c r="G64" s="321"/>
      <c r="H64" s="491">
        <f>IFERROR(J64/$J$48,0)</f>
        <v>0</v>
      </c>
      <c r="I64" s="338">
        <f>IFERROR(J64/$H$43,0)</f>
        <v>0</v>
      </c>
      <c r="J64" s="900">
        <v>0</v>
      </c>
      <c r="K64" s="491">
        <f>IFERROR(M64/$M$48,0)</f>
        <v>0</v>
      </c>
      <c r="L64" s="338">
        <f>IFERROR(M64/$H$43,0)</f>
        <v>0</v>
      </c>
      <c r="M64" s="873">
        <v>0</v>
      </c>
      <c r="N64" s="327">
        <f t="shared" ref="N64:V64" si="30">M64*(1+N$112)</f>
        <v>0</v>
      </c>
      <c r="O64" s="327">
        <f t="shared" si="30"/>
        <v>0</v>
      </c>
      <c r="P64" s="327">
        <f t="shared" si="30"/>
        <v>0</v>
      </c>
      <c r="Q64" s="327">
        <f t="shared" si="30"/>
        <v>0</v>
      </c>
      <c r="R64" s="327">
        <f t="shared" si="30"/>
        <v>0</v>
      </c>
      <c r="S64" s="327">
        <f t="shared" si="30"/>
        <v>0</v>
      </c>
      <c r="T64" s="327">
        <f t="shared" si="30"/>
        <v>0</v>
      </c>
      <c r="U64" s="327">
        <f t="shared" si="30"/>
        <v>0</v>
      </c>
      <c r="V64" s="336">
        <f t="shared" si="30"/>
        <v>0</v>
      </c>
      <c r="W64" s="7"/>
      <c r="X64" s="7"/>
      <c r="Y64" s="7"/>
      <c r="Z64" s="7"/>
      <c r="AA64" s="7"/>
    </row>
    <row r="65" spans="2:27" ht="12" hidden="1" customHeight="1" outlineLevel="1" x14ac:dyDescent="0.35">
      <c r="B65" s="312"/>
      <c r="C65" s="16" t="s">
        <v>27</v>
      </c>
      <c r="D65" s="806"/>
      <c r="E65" s="321"/>
      <c r="F65" s="321"/>
      <c r="G65" s="321"/>
      <c r="H65" s="492">
        <f>IFERROR(J65/$J$48,0)</f>
        <v>0</v>
      </c>
      <c r="I65" s="343">
        <f>IFERROR(J65/$H$43,0)</f>
        <v>0</v>
      </c>
      <c r="J65" s="900">
        <v>0</v>
      </c>
      <c r="K65" s="492">
        <f>IFERROR(M65/$M$48,0)</f>
        <v>0</v>
      </c>
      <c r="L65" s="343">
        <f>IFERROR(M65/$H$43,0)</f>
        <v>0</v>
      </c>
      <c r="M65" s="874">
        <v>0</v>
      </c>
      <c r="N65" s="343">
        <f t="shared" ref="N65:V65" si="31">M65*(1+N$112)</f>
        <v>0</v>
      </c>
      <c r="O65" s="343">
        <f t="shared" si="31"/>
        <v>0</v>
      </c>
      <c r="P65" s="343">
        <f t="shared" si="31"/>
        <v>0</v>
      </c>
      <c r="Q65" s="343">
        <f t="shared" si="31"/>
        <v>0</v>
      </c>
      <c r="R65" s="343">
        <f t="shared" si="31"/>
        <v>0</v>
      </c>
      <c r="S65" s="343">
        <f t="shared" si="31"/>
        <v>0</v>
      </c>
      <c r="T65" s="343">
        <f t="shared" si="31"/>
        <v>0</v>
      </c>
      <c r="U65" s="343">
        <f t="shared" si="31"/>
        <v>0</v>
      </c>
      <c r="V65" s="344">
        <f t="shared" si="31"/>
        <v>0</v>
      </c>
      <c r="W65" s="7"/>
      <c r="X65" s="7"/>
      <c r="Y65" s="7"/>
      <c r="Z65" s="7"/>
      <c r="AA65" s="7"/>
    </row>
    <row r="66" spans="2:27" ht="12" hidden="1" customHeight="1" outlineLevel="1" x14ac:dyDescent="0.35">
      <c r="B66" s="312"/>
      <c r="C66" s="43" t="s">
        <v>38</v>
      </c>
      <c r="D66" s="809"/>
      <c r="E66" s="37"/>
      <c r="F66" s="37"/>
      <c r="G66" s="37"/>
      <c r="H66" s="497">
        <f>IFERROR(J66/J48,0)</f>
        <v>0</v>
      </c>
      <c r="I66" s="483">
        <f>IFERROR(J66/$H$43,0)</f>
        <v>0</v>
      </c>
      <c r="J66" s="38">
        <f>SUM(J64:J65)</f>
        <v>0</v>
      </c>
      <c r="K66" s="497">
        <f>IFERROR(M66/M48,0)</f>
        <v>0</v>
      </c>
      <c r="L66" s="483">
        <f>IFERROR(M66/$H$43,0)</f>
        <v>0</v>
      </c>
      <c r="M66" s="516">
        <f>IFERROR(IF($V$6="ON",$V$16*V8,SUM(M64:M65)),0)</f>
        <v>0</v>
      </c>
      <c r="N66" s="20">
        <f t="shared" ref="N66:V66" si="32">IF($V$6="ON",M66*(1+N112),SUM(N64:N65))</f>
        <v>0</v>
      </c>
      <c r="O66" s="20">
        <f t="shared" si="32"/>
        <v>0</v>
      </c>
      <c r="P66" s="20">
        <f t="shared" si="32"/>
        <v>0</v>
      </c>
      <c r="Q66" s="20">
        <f t="shared" si="32"/>
        <v>0</v>
      </c>
      <c r="R66" s="20">
        <f t="shared" si="32"/>
        <v>0</v>
      </c>
      <c r="S66" s="20">
        <f t="shared" si="32"/>
        <v>0</v>
      </c>
      <c r="T66" s="20">
        <f t="shared" si="32"/>
        <v>0</v>
      </c>
      <c r="U66" s="20">
        <f t="shared" si="32"/>
        <v>0</v>
      </c>
      <c r="V66" s="21">
        <f t="shared" si="32"/>
        <v>0</v>
      </c>
      <c r="W66" s="7"/>
      <c r="X66" s="7"/>
      <c r="Y66" s="7"/>
      <c r="Z66" s="7"/>
      <c r="AA66" s="7"/>
    </row>
    <row r="67" spans="2:27" ht="12" hidden="1" customHeight="1" outlineLevel="1" x14ac:dyDescent="0.35">
      <c r="B67" s="312"/>
      <c r="C67" s="350"/>
      <c r="D67" s="810"/>
      <c r="E67" s="351"/>
      <c r="F67" s="351"/>
      <c r="G67" s="351"/>
      <c r="H67" s="499"/>
      <c r="I67" s="484"/>
      <c r="J67" s="352"/>
      <c r="K67" s="499"/>
      <c r="L67" s="484"/>
      <c r="M67" s="500"/>
      <c r="N67" s="352"/>
      <c r="O67" s="352"/>
      <c r="P67" s="352"/>
      <c r="Q67" s="352"/>
      <c r="R67" s="352"/>
      <c r="S67" s="352"/>
      <c r="T67" s="352"/>
      <c r="U67" s="352"/>
      <c r="V67" s="353"/>
      <c r="W67" s="7"/>
      <c r="X67" s="7"/>
      <c r="Y67" s="7"/>
      <c r="Z67" s="7"/>
      <c r="AA67" s="7"/>
    </row>
    <row r="68" spans="2:27" ht="12" hidden="1" customHeight="1" outlineLevel="1" x14ac:dyDescent="0.35">
      <c r="B68" s="312"/>
      <c r="C68" s="33" t="s">
        <v>69</v>
      </c>
      <c r="D68" s="811"/>
      <c r="E68" s="34"/>
      <c r="F68" s="34"/>
      <c r="G68" s="34"/>
      <c r="H68" s="501">
        <f>IFERROR(J68/J48,0)</f>
        <v>0</v>
      </c>
      <c r="I68" s="483">
        <f>IFERROR(J68/$H$43,0)</f>
        <v>0</v>
      </c>
      <c r="J68" s="35">
        <f>J61+J66</f>
        <v>0</v>
      </c>
      <c r="K68" s="501">
        <f>IFERROR(M68/M48,0)</f>
        <v>0</v>
      </c>
      <c r="L68" s="483">
        <f>IFERROR(M68/$H$43,0)</f>
        <v>0</v>
      </c>
      <c r="M68" s="516">
        <f t="shared" ref="M68:V68" si="33">M61+M66</f>
        <v>0</v>
      </c>
      <c r="N68" s="20">
        <f t="shared" si="33"/>
        <v>0</v>
      </c>
      <c r="O68" s="20">
        <f t="shared" si="33"/>
        <v>0</v>
      </c>
      <c r="P68" s="20">
        <f t="shared" si="33"/>
        <v>0</v>
      </c>
      <c r="Q68" s="20">
        <f t="shared" si="33"/>
        <v>0</v>
      </c>
      <c r="R68" s="20">
        <f t="shared" si="33"/>
        <v>0</v>
      </c>
      <c r="S68" s="20">
        <f t="shared" si="33"/>
        <v>0</v>
      </c>
      <c r="T68" s="20">
        <f t="shared" si="33"/>
        <v>0</v>
      </c>
      <c r="U68" s="20">
        <f t="shared" si="33"/>
        <v>0</v>
      </c>
      <c r="V68" s="21">
        <f t="shared" si="33"/>
        <v>0</v>
      </c>
      <c r="W68" s="7"/>
      <c r="X68" s="7"/>
      <c r="Y68" s="7"/>
      <c r="Z68" s="7"/>
      <c r="AA68" s="7"/>
    </row>
    <row r="69" spans="2:27" ht="12" hidden="1" customHeight="1" outlineLevel="1" x14ac:dyDescent="0.35">
      <c r="B69" s="312"/>
      <c r="C69" s="354" t="s">
        <v>42</v>
      </c>
      <c r="D69" s="812"/>
      <c r="E69" s="321"/>
      <c r="F69" s="323"/>
      <c r="G69" s="485" t="s">
        <v>17</v>
      </c>
      <c r="H69" s="494"/>
      <c r="J69" s="327">
        <f>IFERROR(J68/$H$43/12,0)</f>
        <v>0</v>
      </c>
      <c r="K69" s="428"/>
      <c r="M69" s="334">
        <f t="shared" ref="M69:V69" si="34">IFERROR(M68/$H$43/12,0)</f>
        <v>0</v>
      </c>
      <c r="N69" s="327">
        <f t="shared" si="34"/>
        <v>0</v>
      </c>
      <c r="O69" s="327">
        <f t="shared" si="34"/>
        <v>0</v>
      </c>
      <c r="P69" s="327">
        <f t="shared" si="34"/>
        <v>0</v>
      </c>
      <c r="Q69" s="327">
        <f t="shared" si="34"/>
        <v>0</v>
      </c>
      <c r="R69" s="327">
        <f t="shared" si="34"/>
        <v>0</v>
      </c>
      <c r="S69" s="327">
        <f t="shared" si="34"/>
        <v>0</v>
      </c>
      <c r="T69" s="327">
        <f t="shared" si="34"/>
        <v>0</v>
      </c>
      <c r="U69" s="327">
        <f t="shared" si="34"/>
        <v>0</v>
      </c>
      <c r="V69" s="336">
        <f t="shared" si="34"/>
        <v>0</v>
      </c>
      <c r="W69" s="7"/>
      <c r="X69" s="7"/>
      <c r="Y69" s="7"/>
      <c r="Z69" s="7"/>
      <c r="AA69" s="7"/>
    </row>
    <row r="70" spans="2:27" ht="12" hidden="1" customHeight="1" outlineLevel="1" x14ac:dyDescent="0.35">
      <c r="B70" s="7"/>
      <c r="C70" s="16"/>
      <c r="D70" s="806"/>
      <c r="E70" s="321"/>
      <c r="F70" s="323"/>
      <c r="G70" s="323" t="s">
        <v>54</v>
      </c>
      <c r="H70" s="428"/>
      <c r="J70" s="327">
        <f>IFERROR(J68/$H$43,0)</f>
        <v>0</v>
      </c>
      <c r="K70" s="428"/>
      <c r="M70" s="334">
        <f>IFERROR(M68/$H$43,0)</f>
        <v>0</v>
      </c>
      <c r="N70" s="327">
        <f t="shared" ref="N70:V70" si="35">IFERROR(N68/$H$43,0)</f>
        <v>0</v>
      </c>
      <c r="O70" s="327">
        <f t="shared" si="35"/>
        <v>0</v>
      </c>
      <c r="P70" s="327">
        <f t="shared" si="35"/>
        <v>0</v>
      </c>
      <c r="Q70" s="327">
        <f t="shared" si="35"/>
        <v>0</v>
      </c>
      <c r="R70" s="327">
        <f t="shared" si="35"/>
        <v>0</v>
      </c>
      <c r="S70" s="327">
        <f t="shared" si="35"/>
        <v>0</v>
      </c>
      <c r="T70" s="327">
        <f t="shared" si="35"/>
        <v>0</v>
      </c>
      <c r="U70" s="327">
        <f t="shared" si="35"/>
        <v>0</v>
      </c>
      <c r="V70" s="336">
        <f t="shared" si="35"/>
        <v>0</v>
      </c>
      <c r="W70" s="7"/>
      <c r="X70" s="433"/>
      <c r="Y70" s="7"/>
      <c r="Z70" s="7"/>
      <c r="AA70" s="7"/>
    </row>
    <row r="71" spans="2:27" ht="12" hidden="1" customHeight="1" outlineLevel="1" x14ac:dyDescent="0.35">
      <c r="B71" s="7"/>
      <c r="C71" s="16"/>
      <c r="D71" s="806"/>
      <c r="E71" s="321"/>
      <c r="F71" s="323"/>
      <c r="G71" s="323" t="s">
        <v>55</v>
      </c>
      <c r="H71" s="428"/>
      <c r="J71" s="382">
        <f>IFERROR(J68/$A$43,0)</f>
        <v>0</v>
      </c>
      <c r="K71" s="428"/>
      <c r="M71" s="383">
        <f>IFERROR(M68/$A$43,0)</f>
        <v>0</v>
      </c>
      <c r="N71" s="382">
        <f t="shared" ref="N71:V71" si="36">IFERROR(N68/$A$43,0)</f>
        <v>0</v>
      </c>
      <c r="O71" s="382">
        <f t="shared" si="36"/>
        <v>0</v>
      </c>
      <c r="P71" s="382">
        <f t="shared" si="36"/>
        <v>0</v>
      </c>
      <c r="Q71" s="382">
        <f t="shared" si="36"/>
        <v>0</v>
      </c>
      <c r="R71" s="382">
        <f t="shared" si="36"/>
        <v>0</v>
      </c>
      <c r="S71" s="382">
        <f t="shared" si="36"/>
        <v>0</v>
      </c>
      <c r="T71" s="382">
        <f t="shared" si="36"/>
        <v>0</v>
      </c>
      <c r="U71" s="382">
        <f t="shared" si="36"/>
        <v>0</v>
      </c>
      <c r="V71" s="384">
        <f t="shared" si="36"/>
        <v>0</v>
      </c>
      <c r="W71" s="7"/>
      <c r="X71" s="433"/>
      <c r="Y71" s="7"/>
      <c r="Z71" s="7"/>
      <c r="AA71" s="7"/>
    </row>
    <row r="72" spans="2:27" ht="12" hidden="1" customHeight="1" outlineLevel="1" x14ac:dyDescent="0.35">
      <c r="B72" s="312"/>
      <c r="C72" s="355"/>
      <c r="D72" s="813"/>
      <c r="E72" s="356"/>
      <c r="F72" s="323"/>
      <c r="G72" s="323" t="s">
        <v>39</v>
      </c>
      <c r="H72" s="494"/>
      <c r="J72" s="358">
        <f>IFERROR(-SUM(J56:J57)/J48,0)</f>
        <v>0</v>
      </c>
      <c r="K72" s="546"/>
      <c r="M72" s="522">
        <f>IFERROR(-SUM(M56:M57)/M48,0)</f>
        <v>0</v>
      </c>
      <c r="N72" s="358">
        <f t="shared" ref="N72:V72" si="37">IFERROR(-SUM(N56:N57)/N48,0)</f>
        <v>0</v>
      </c>
      <c r="O72" s="358">
        <f t="shared" si="37"/>
        <v>0</v>
      </c>
      <c r="P72" s="358">
        <f t="shared" si="37"/>
        <v>0</v>
      </c>
      <c r="Q72" s="358">
        <f t="shared" si="37"/>
        <v>0</v>
      </c>
      <c r="R72" s="358">
        <f t="shared" si="37"/>
        <v>0</v>
      </c>
      <c r="S72" s="358">
        <f t="shared" si="37"/>
        <v>0</v>
      </c>
      <c r="T72" s="358">
        <f t="shared" si="37"/>
        <v>0</v>
      </c>
      <c r="U72" s="358">
        <f t="shared" si="37"/>
        <v>0</v>
      </c>
      <c r="V72" s="359">
        <f t="shared" si="37"/>
        <v>0</v>
      </c>
      <c r="W72" s="7"/>
      <c r="X72" s="7"/>
      <c r="Y72" s="7"/>
      <c r="Z72" s="7"/>
      <c r="AA72" s="7"/>
    </row>
    <row r="73" spans="2:27" ht="12" hidden="1" customHeight="1" outlineLevel="1" x14ac:dyDescent="0.35">
      <c r="B73" s="312"/>
      <c r="C73" s="360"/>
      <c r="D73" s="356"/>
      <c r="E73" s="321"/>
      <c r="F73" s="323"/>
      <c r="G73" s="323" t="s">
        <v>40</v>
      </c>
      <c r="H73" s="494"/>
      <c r="J73" s="358">
        <f>IFERROR((J48-J61)/J48,0)</f>
        <v>0</v>
      </c>
      <c r="K73" s="546"/>
      <c r="M73" s="522">
        <f t="shared" ref="M73:V73" si="38">IFERROR((M48-M61)/M48,0)</f>
        <v>0</v>
      </c>
      <c r="N73" s="358">
        <f t="shared" si="38"/>
        <v>0</v>
      </c>
      <c r="O73" s="358">
        <f t="shared" si="38"/>
        <v>0</v>
      </c>
      <c r="P73" s="358">
        <f t="shared" si="38"/>
        <v>0</v>
      </c>
      <c r="Q73" s="358">
        <f t="shared" si="38"/>
        <v>0</v>
      </c>
      <c r="R73" s="358">
        <f t="shared" si="38"/>
        <v>0</v>
      </c>
      <c r="S73" s="358">
        <f t="shared" si="38"/>
        <v>0</v>
      </c>
      <c r="T73" s="358">
        <f t="shared" si="38"/>
        <v>0</v>
      </c>
      <c r="U73" s="358">
        <f t="shared" si="38"/>
        <v>0</v>
      </c>
      <c r="V73" s="359">
        <f t="shared" si="38"/>
        <v>0</v>
      </c>
      <c r="W73" s="7"/>
      <c r="X73" s="7"/>
      <c r="Y73" s="7"/>
      <c r="Z73" s="7"/>
      <c r="AA73" s="7"/>
    </row>
    <row r="74" spans="2:27" ht="12" hidden="1" customHeight="1" outlineLevel="1" thickBot="1" x14ac:dyDescent="0.4">
      <c r="B74" s="312"/>
      <c r="C74" s="362"/>
      <c r="D74" s="363"/>
      <c r="E74" s="363"/>
      <c r="F74" s="364"/>
      <c r="G74" s="364" t="s">
        <v>42</v>
      </c>
      <c r="H74" s="502"/>
      <c r="I74" s="386"/>
      <c r="J74" s="401"/>
      <c r="K74" s="547"/>
      <c r="L74" s="386"/>
      <c r="M74" s="565">
        <f>IFERROR(M68/J68-1,0)</f>
        <v>0</v>
      </c>
      <c r="N74" s="365">
        <f t="shared" ref="N74:V74" si="39">IFERROR(N68/M68-1,0)</f>
        <v>0</v>
      </c>
      <c r="O74" s="365">
        <f t="shared" si="39"/>
        <v>0</v>
      </c>
      <c r="P74" s="365">
        <f t="shared" si="39"/>
        <v>0</v>
      </c>
      <c r="Q74" s="365">
        <f t="shared" si="39"/>
        <v>0</v>
      </c>
      <c r="R74" s="365">
        <f t="shared" si="39"/>
        <v>0</v>
      </c>
      <c r="S74" s="365">
        <f t="shared" si="39"/>
        <v>0</v>
      </c>
      <c r="T74" s="365">
        <f t="shared" si="39"/>
        <v>0</v>
      </c>
      <c r="U74" s="365">
        <f t="shared" si="39"/>
        <v>0</v>
      </c>
      <c r="V74" s="367">
        <f t="shared" si="39"/>
        <v>0</v>
      </c>
      <c r="W74" s="7"/>
      <c r="X74" s="7"/>
      <c r="Y74" s="7"/>
      <c r="Z74" s="7"/>
      <c r="AA74" s="7"/>
    </row>
    <row r="75" spans="2:27" ht="12.5" customHeight="1" collapsed="1" thickTop="1" x14ac:dyDescent="0.35">
      <c r="B75" s="312"/>
      <c r="C75" s="17"/>
      <c r="D75" s="17"/>
      <c r="E75" s="17"/>
      <c r="F75" s="30"/>
      <c r="G75" s="30"/>
      <c r="H75" s="31"/>
      <c r="I75" s="17"/>
      <c r="J75" s="17"/>
      <c r="M75" s="32"/>
      <c r="W75" s="7"/>
      <c r="X75" s="7"/>
      <c r="Y75" s="7"/>
      <c r="Z75" s="7"/>
      <c r="AA75" s="7"/>
    </row>
    <row r="76" spans="2:27" ht="19" thickBot="1" x14ac:dyDescent="0.5">
      <c r="B76" s="312"/>
      <c r="C76" s="90" t="s">
        <v>215</v>
      </c>
      <c r="D76" s="90"/>
      <c r="E76" s="91"/>
      <c r="F76" s="92"/>
      <c r="G76" s="92"/>
      <c r="H76" s="92"/>
      <c r="I76" s="92"/>
      <c r="J76" s="92"/>
      <c r="K76" s="93"/>
      <c r="L76" s="94"/>
      <c r="M76" s="92"/>
      <c r="N76" s="93"/>
      <c r="O76" s="93"/>
      <c r="P76" s="93"/>
      <c r="Q76" s="93"/>
      <c r="R76" s="93"/>
      <c r="S76" s="93"/>
      <c r="T76" s="93"/>
      <c r="U76" s="93"/>
      <c r="V76" s="938" t="s">
        <v>295</v>
      </c>
      <c r="W76" s="7"/>
      <c r="X76" s="7"/>
      <c r="Y76" s="7"/>
      <c r="Z76" s="7"/>
      <c r="AA76" s="7"/>
    </row>
    <row r="77" spans="2:27" ht="12" hidden="1" customHeight="1" outlineLevel="1" thickTop="1" x14ac:dyDescent="0.35">
      <c r="B77" s="312"/>
      <c r="C77" s="597"/>
      <c r="D77" s="599"/>
      <c r="E77" s="598"/>
      <c r="F77" s="599"/>
      <c r="G77" s="599"/>
      <c r="H77" s="600" t="s">
        <v>43</v>
      </c>
      <c r="I77" s="601" t="s">
        <v>62</v>
      </c>
      <c r="J77" s="604" t="s">
        <v>245</v>
      </c>
      <c r="K77" s="600" t="s">
        <v>43</v>
      </c>
      <c r="L77" s="601" t="s">
        <v>62</v>
      </c>
      <c r="M77" s="606">
        <v>1</v>
      </c>
      <c r="N77" s="602">
        <f t="shared" ref="N77:V77" si="40">M77+1</f>
        <v>2</v>
      </c>
      <c r="O77" s="602">
        <f t="shared" si="40"/>
        <v>3</v>
      </c>
      <c r="P77" s="602">
        <f t="shared" si="40"/>
        <v>4</v>
      </c>
      <c r="Q77" s="602">
        <f t="shared" si="40"/>
        <v>5</v>
      </c>
      <c r="R77" s="602">
        <f t="shared" si="40"/>
        <v>6</v>
      </c>
      <c r="S77" s="602">
        <f t="shared" si="40"/>
        <v>7</v>
      </c>
      <c r="T77" s="602">
        <f t="shared" si="40"/>
        <v>8</v>
      </c>
      <c r="U77" s="602">
        <f t="shared" si="40"/>
        <v>9</v>
      </c>
      <c r="V77" s="603">
        <f t="shared" si="40"/>
        <v>10</v>
      </c>
      <c r="W77" s="7"/>
      <c r="X77" s="7"/>
      <c r="Y77" s="7"/>
      <c r="Z77" s="7"/>
      <c r="AA77" s="7"/>
    </row>
    <row r="78" spans="2:27" ht="12" hidden="1" customHeight="1" outlineLevel="1" x14ac:dyDescent="0.35">
      <c r="B78" s="620" t="e">
        <f>MID(ADDRESS(1,MATCH(J77,#REF!,0)),2,SEARCH("$",ADDRESS(1,MATCH(J77,#REF!,0)),2)-2)&amp;"6:"&amp;MID(ADDRESS(1,MATCH(J77,#REF!,0)),2,SEARCH("$",ADDRESS(1,MATCH(J77,#REF!,0)),2)-2)&amp;"300"</f>
        <v>#REF!</v>
      </c>
      <c r="C78" s="16" t="s">
        <v>44</v>
      </c>
      <c r="D78" s="806"/>
      <c r="E78" s="321"/>
      <c r="F78" s="321"/>
      <c r="G78" s="321"/>
      <c r="H78" s="503">
        <f t="shared" ref="H78:H88" si="41">IFERROR(J78/J$68,0)</f>
        <v>0</v>
      </c>
      <c r="I78" s="343">
        <f t="shared" ref="I78:I88" si="42">IFERROR(J78/$H$43,0)</f>
        <v>0</v>
      </c>
      <c r="J78" s="900">
        <v>0</v>
      </c>
      <c r="K78" s="905">
        <f t="shared" ref="K78:K83" si="43">IFERROR(M78/M$68,0)</f>
        <v>0</v>
      </c>
      <c r="L78" s="525">
        <v>0</v>
      </c>
      <c r="M78" s="906">
        <f t="shared" ref="M78:M83" si="44">IFERROR(L78*$H$43,0)</f>
        <v>0</v>
      </c>
      <c r="N78" s="343">
        <f t="shared" ref="N78:V78" si="45">IFERROR(M78*(1+N$113),0)</f>
        <v>0</v>
      </c>
      <c r="O78" s="343">
        <f t="shared" si="45"/>
        <v>0</v>
      </c>
      <c r="P78" s="343">
        <f t="shared" si="45"/>
        <v>0</v>
      </c>
      <c r="Q78" s="343">
        <f t="shared" si="45"/>
        <v>0</v>
      </c>
      <c r="R78" s="343">
        <f t="shared" si="45"/>
        <v>0</v>
      </c>
      <c r="S78" s="343">
        <f t="shared" si="45"/>
        <v>0</v>
      </c>
      <c r="T78" s="343">
        <f t="shared" si="45"/>
        <v>0</v>
      </c>
      <c r="U78" s="343">
        <f t="shared" si="45"/>
        <v>0</v>
      </c>
      <c r="V78" s="344">
        <f t="shared" si="45"/>
        <v>0</v>
      </c>
      <c r="W78" s="7"/>
      <c r="X78" s="7"/>
      <c r="Y78" s="7"/>
      <c r="Z78" s="7"/>
      <c r="AA78" s="7"/>
    </row>
    <row r="79" spans="2:27" ht="12" hidden="1" customHeight="1" outlineLevel="1" x14ac:dyDescent="0.35">
      <c r="B79" s="312"/>
      <c r="C79" s="16" t="s">
        <v>45</v>
      </c>
      <c r="D79" s="806"/>
      <c r="E79" s="321"/>
      <c r="F79" s="321"/>
      <c r="G79" s="321"/>
      <c r="H79" s="503">
        <f t="shared" si="41"/>
        <v>0</v>
      </c>
      <c r="I79" s="343">
        <f t="shared" si="42"/>
        <v>0</v>
      </c>
      <c r="J79" s="900">
        <v>0</v>
      </c>
      <c r="K79" s="905">
        <f t="shared" si="43"/>
        <v>0</v>
      </c>
      <c r="L79" s="525">
        <v>0</v>
      </c>
      <c r="M79" s="906">
        <f t="shared" si="44"/>
        <v>0</v>
      </c>
      <c r="N79" s="343">
        <f t="shared" ref="N79:V79" si="46">IFERROR(M79*(1+N$113),0)</f>
        <v>0</v>
      </c>
      <c r="O79" s="343">
        <f t="shared" si="46"/>
        <v>0</v>
      </c>
      <c r="P79" s="343">
        <f t="shared" si="46"/>
        <v>0</v>
      </c>
      <c r="Q79" s="343">
        <f t="shared" si="46"/>
        <v>0</v>
      </c>
      <c r="R79" s="343">
        <f t="shared" si="46"/>
        <v>0</v>
      </c>
      <c r="S79" s="343">
        <f t="shared" si="46"/>
        <v>0</v>
      </c>
      <c r="T79" s="343">
        <f t="shared" si="46"/>
        <v>0</v>
      </c>
      <c r="U79" s="343">
        <f t="shared" si="46"/>
        <v>0</v>
      </c>
      <c r="V79" s="344">
        <f t="shared" si="46"/>
        <v>0</v>
      </c>
      <c r="W79" s="7"/>
      <c r="X79" s="7"/>
      <c r="Y79" s="7"/>
      <c r="Z79" s="7"/>
      <c r="AA79" s="7"/>
    </row>
    <row r="80" spans="2:27" ht="12" hidden="1" customHeight="1" outlineLevel="1" x14ac:dyDescent="0.35">
      <c r="B80" s="7"/>
      <c r="C80" s="16" t="s">
        <v>46</v>
      </c>
      <c r="D80" s="806"/>
      <c r="E80" s="321"/>
      <c r="F80" s="321"/>
      <c r="G80" s="321"/>
      <c r="H80" s="503">
        <f t="shared" si="41"/>
        <v>0</v>
      </c>
      <c r="I80" s="343">
        <f t="shared" si="42"/>
        <v>0</v>
      </c>
      <c r="J80" s="900">
        <v>0</v>
      </c>
      <c r="K80" s="905">
        <f t="shared" si="43"/>
        <v>0</v>
      </c>
      <c r="L80" s="525">
        <v>0</v>
      </c>
      <c r="M80" s="906">
        <f t="shared" si="44"/>
        <v>0</v>
      </c>
      <c r="N80" s="343">
        <f t="shared" ref="N80:V80" si="47">IFERROR(M80*(1+N$113),0)</f>
        <v>0</v>
      </c>
      <c r="O80" s="343">
        <f t="shared" si="47"/>
        <v>0</v>
      </c>
      <c r="P80" s="343">
        <f t="shared" si="47"/>
        <v>0</v>
      </c>
      <c r="Q80" s="343">
        <f t="shared" si="47"/>
        <v>0</v>
      </c>
      <c r="R80" s="343">
        <f t="shared" si="47"/>
        <v>0</v>
      </c>
      <c r="S80" s="343">
        <f t="shared" si="47"/>
        <v>0</v>
      </c>
      <c r="T80" s="343">
        <f t="shared" si="47"/>
        <v>0</v>
      </c>
      <c r="U80" s="343">
        <f t="shared" si="47"/>
        <v>0</v>
      </c>
      <c r="V80" s="344">
        <f t="shared" si="47"/>
        <v>0</v>
      </c>
      <c r="W80" s="7"/>
      <c r="X80" s="7"/>
      <c r="Y80" s="7"/>
      <c r="Z80" s="7"/>
      <c r="AA80" s="7"/>
    </row>
    <row r="81" spans="2:27" ht="12" hidden="1" customHeight="1" outlineLevel="1" x14ac:dyDescent="0.35">
      <c r="B81" s="7"/>
      <c r="C81" s="16" t="s">
        <v>47</v>
      </c>
      <c r="D81" s="806"/>
      <c r="E81" s="321"/>
      <c r="F81" s="321"/>
      <c r="G81" s="321"/>
      <c r="H81" s="503">
        <f t="shared" si="41"/>
        <v>0</v>
      </c>
      <c r="I81" s="343">
        <f t="shared" si="42"/>
        <v>0</v>
      </c>
      <c r="J81" s="900">
        <v>0</v>
      </c>
      <c r="K81" s="905">
        <f t="shared" si="43"/>
        <v>0</v>
      </c>
      <c r="L81" s="525">
        <v>0</v>
      </c>
      <c r="M81" s="906">
        <f t="shared" si="44"/>
        <v>0</v>
      </c>
      <c r="N81" s="343">
        <f t="shared" ref="N81:V81" si="48">IFERROR(M81*(1+N$113),0)</f>
        <v>0</v>
      </c>
      <c r="O81" s="343">
        <f t="shared" si="48"/>
        <v>0</v>
      </c>
      <c r="P81" s="343">
        <f t="shared" si="48"/>
        <v>0</v>
      </c>
      <c r="Q81" s="343">
        <f t="shared" si="48"/>
        <v>0</v>
      </c>
      <c r="R81" s="343">
        <f t="shared" si="48"/>
        <v>0</v>
      </c>
      <c r="S81" s="343">
        <f t="shared" si="48"/>
        <v>0</v>
      </c>
      <c r="T81" s="343">
        <f t="shared" si="48"/>
        <v>0</v>
      </c>
      <c r="U81" s="343">
        <f t="shared" si="48"/>
        <v>0</v>
      </c>
      <c r="V81" s="344">
        <f t="shared" si="48"/>
        <v>0</v>
      </c>
      <c r="W81" s="7"/>
      <c r="X81" s="7"/>
      <c r="Y81" s="7"/>
      <c r="Z81" s="7"/>
      <c r="AA81" s="7"/>
    </row>
    <row r="82" spans="2:27" ht="12" hidden="1" customHeight="1" outlineLevel="1" x14ac:dyDescent="0.35">
      <c r="B82" s="7"/>
      <c r="C82" s="16" t="s">
        <v>48</v>
      </c>
      <c r="D82" s="806"/>
      <c r="E82" s="321"/>
      <c r="F82" s="321"/>
      <c r="G82" s="321"/>
      <c r="H82" s="503">
        <f t="shared" si="41"/>
        <v>0</v>
      </c>
      <c r="I82" s="343">
        <f t="shared" si="42"/>
        <v>0</v>
      </c>
      <c r="J82" s="900">
        <v>0</v>
      </c>
      <c r="K82" s="905">
        <f t="shared" si="43"/>
        <v>0</v>
      </c>
      <c r="L82" s="525">
        <v>0</v>
      </c>
      <c r="M82" s="906">
        <f t="shared" si="44"/>
        <v>0</v>
      </c>
      <c r="N82" s="343">
        <f t="shared" ref="N82:V82" si="49">IFERROR(M82*(1+N$113),0)</f>
        <v>0</v>
      </c>
      <c r="O82" s="343">
        <f t="shared" si="49"/>
        <v>0</v>
      </c>
      <c r="P82" s="343">
        <f t="shared" si="49"/>
        <v>0</v>
      </c>
      <c r="Q82" s="343">
        <f t="shared" si="49"/>
        <v>0</v>
      </c>
      <c r="R82" s="343">
        <f t="shared" si="49"/>
        <v>0</v>
      </c>
      <c r="S82" s="343">
        <f t="shared" si="49"/>
        <v>0</v>
      </c>
      <c r="T82" s="343">
        <f t="shared" si="49"/>
        <v>0</v>
      </c>
      <c r="U82" s="343">
        <f t="shared" si="49"/>
        <v>0</v>
      </c>
      <c r="V82" s="344">
        <f t="shared" si="49"/>
        <v>0</v>
      </c>
      <c r="W82" s="7"/>
      <c r="X82" s="7"/>
      <c r="Y82" s="7"/>
      <c r="Z82" s="7"/>
      <c r="AA82" s="7"/>
    </row>
    <row r="83" spans="2:27" ht="12" hidden="1" customHeight="1" outlineLevel="1" x14ac:dyDescent="0.35">
      <c r="B83" s="7"/>
      <c r="C83" s="16" t="s">
        <v>49</v>
      </c>
      <c r="D83" s="806"/>
      <c r="E83" s="321"/>
      <c r="F83" s="321"/>
      <c r="G83" s="321"/>
      <c r="H83" s="503">
        <f t="shared" si="41"/>
        <v>0</v>
      </c>
      <c r="I83" s="343">
        <f t="shared" si="42"/>
        <v>0</v>
      </c>
      <c r="J83" s="900">
        <v>0</v>
      </c>
      <c r="K83" s="905">
        <f t="shared" si="43"/>
        <v>0</v>
      </c>
      <c r="L83" s="525">
        <v>0</v>
      </c>
      <c r="M83" s="906">
        <f t="shared" si="44"/>
        <v>0</v>
      </c>
      <c r="N83" s="343">
        <f t="shared" ref="N83:V83" si="50">IFERROR(M83*(1+N$113),0)</f>
        <v>0</v>
      </c>
      <c r="O83" s="343">
        <f t="shared" si="50"/>
        <v>0</v>
      </c>
      <c r="P83" s="343">
        <f t="shared" si="50"/>
        <v>0</v>
      </c>
      <c r="Q83" s="343">
        <f t="shared" si="50"/>
        <v>0</v>
      </c>
      <c r="R83" s="343">
        <f t="shared" si="50"/>
        <v>0</v>
      </c>
      <c r="S83" s="343">
        <f t="shared" si="50"/>
        <v>0</v>
      </c>
      <c r="T83" s="343">
        <f t="shared" si="50"/>
        <v>0</v>
      </c>
      <c r="U83" s="343">
        <f t="shared" si="50"/>
        <v>0</v>
      </c>
      <c r="V83" s="344">
        <f t="shared" si="50"/>
        <v>0</v>
      </c>
      <c r="W83" s="7"/>
      <c r="X83" s="7"/>
      <c r="Y83" s="7"/>
      <c r="Z83" s="7"/>
      <c r="AA83" s="7"/>
    </row>
    <row r="84" spans="2:27" ht="12" hidden="1" customHeight="1" outlineLevel="1" x14ac:dyDescent="0.35">
      <c r="B84" s="7"/>
      <c r="C84" s="16" t="s">
        <v>50</v>
      </c>
      <c r="D84" s="806"/>
      <c r="E84" s="321"/>
      <c r="F84" s="321"/>
      <c r="G84" s="321"/>
      <c r="H84" s="503">
        <f t="shared" si="41"/>
        <v>0</v>
      </c>
      <c r="I84" s="343">
        <f t="shared" si="42"/>
        <v>0</v>
      </c>
      <c r="J84" s="900">
        <v>0</v>
      </c>
      <c r="K84" s="548">
        <v>0</v>
      </c>
      <c r="L84" s="343">
        <f>IFERROR(M84/$H$43,0)</f>
        <v>0</v>
      </c>
      <c r="M84" s="514">
        <f t="shared" ref="M84:V84" si="51">IFERROR($K$84*M68,0)</f>
        <v>0</v>
      </c>
      <c r="N84" s="343">
        <f t="shared" si="51"/>
        <v>0</v>
      </c>
      <c r="O84" s="343">
        <f t="shared" si="51"/>
        <v>0</v>
      </c>
      <c r="P84" s="343">
        <f t="shared" si="51"/>
        <v>0</v>
      </c>
      <c r="Q84" s="343">
        <f t="shared" si="51"/>
        <v>0</v>
      </c>
      <c r="R84" s="343">
        <f t="shared" si="51"/>
        <v>0</v>
      </c>
      <c r="S84" s="343">
        <f t="shared" si="51"/>
        <v>0</v>
      </c>
      <c r="T84" s="343">
        <f t="shared" si="51"/>
        <v>0</v>
      </c>
      <c r="U84" s="343">
        <f t="shared" si="51"/>
        <v>0</v>
      </c>
      <c r="V84" s="344">
        <f t="shared" si="51"/>
        <v>0</v>
      </c>
      <c r="W84" s="7"/>
      <c r="X84" s="7"/>
      <c r="Y84" s="7"/>
      <c r="Z84" s="7"/>
      <c r="AA84" s="7"/>
    </row>
    <row r="85" spans="2:27" ht="12" hidden="1" customHeight="1" outlineLevel="1" x14ac:dyDescent="0.35">
      <c r="B85" s="7"/>
      <c r="C85" s="16" t="s">
        <v>51</v>
      </c>
      <c r="D85" s="806"/>
      <c r="E85" s="321"/>
      <c r="F85" s="321"/>
      <c r="G85" s="321"/>
      <c r="H85" s="503">
        <f t="shared" si="41"/>
        <v>0</v>
      </c>
      <c r="I85" s="343">
        <f t="shared" si="42"/>
        <v>0</v>
      </c>
      <c r="J85" s="900">
        <v>0</v>
      </c>
      <c r="K85" s="905">
        <f>IFERROR(M85/M$68,0)</f>
        <v>0</v>
      </c>
      <c r="L85" s="525">
        <v>0</v>
      </c>
      <c r="M85" s="514">
        <f>IFERROR(L85*$H$43,0)</f>
        <v>0</v>
      </c>
      <c r="N85" s="343">
        <f t="shared" ref="N85:V85" si="52">IFERROR(M85*(1+N$113),0)</f>
        <v>0</v>
      </c>
      <c r="O85" s="343">
        <f t="shared" si="52"/>
        <v>0</v>
      </c>
      <c r="P85" s="343">
        <f t="shared" si="52"/>
        <v>0</v>
      </c>
      <c r="Q85" s="343">
        <f t="shared" si="52"/>
        <v>0</v>
      </c>
      <c r="R85" s="343">
        <f t="shared" si="52"/>
        <v>0</v>
      </c>
      <c r="S85" s="343">
        <f t="shared" si="52"/>
        <v>0</v>
      </c>
      <c r="T85" s="343">
        <f t="shared" si="52"/>
        <v>0</v>
      </c>
      <c r="U85" s="343">
        <f t="shared" si="52"/>
        <v>0</v>
      </c>
      <c r="V85" s="344">
        <f t="shared" si="52"/>
        <v>0</v>
      </c>
      <c r="W85" s="7"/>
      <c r="X85" s="7"/>
      <c r="Y85" s="7"/>
      <c r="Z85" s="7"/>
      <c r="AA85" s="7"/>
    </row>
    <row r="86" spans="2:27" ht="12" hidden="1" customHeight="1" outlineLevel="1" x14ac:dyDescent="0.35">
      <c r="B86" s="7"/>
      <c r="C86" s="16" t="s">
        <v>28</v>
      </c>
      <c r="D86" s="806"/>
      <c r="E86" s="321"/>
      <c r="F86" s="321"/>
      <c r="G86" s="321"/>
      <c r="H86" s="503">
        <f t="shared" si="41"/>
        <v>0</v>
      </c>
      <c r="I86" s="343">
        <f t="shared" si="42"/>
        <v>0</v>
      </c>
      <c r="J86" s="900">
        <v>0</v>
      </c>
      <c r="K86" s="905">
        <f>IFERROR(M86/M$68,0)</f>
        <v>0</v>
      </c>
      <c r="L86" s="343">
        <f>IFERROR(M86/$H$43,0)</f>
        <v>0</v>
      </c>
      <c r="M86" s="504">
        <v>0</v>
      </c>
      <c r="N86" s="343">
        <f t="shared" ref="N86:V86" si="53">IFERROR(M86*(1+N$114),0)</f>
        <v>0</v>
      </c>
      <c r="O86" s="343">
        <f t="shared" si="53"/>
        <v>0</v>
      </c>
      <c r="P86" s="343">
        <f t="shared" si="53"/>
        <v>0</v>
      </c>
      <c r="Q86" s="343">
        <f t="shared" si="53"/>
        <v>0</v>
      </c>
      <c r="R86" s="343">
        <f t="shared" si="53"/>
        <v>0</v>
      </c>
      <c r="S86" s="343">
        <f t="shared" si="53"/>
        <v>0</v>
      </c>
      <c r="T86" s="343">
        <f t="shared" si="53"/>
        <v>0</v>
      </c>
      <c r="U86" s="343">
        <f t="shared" si="53"/>
        <v>0</v>
      </c>
      <c r="V86" s="344">
        <f t="shared" si="53"/>
        <v>0</v>
      </c>
      <c r="W86" s="7"/>
      <c r="X86" s="7"/>
      <c r="Y86" s="7"/>
      <c r="Z86" s="7"/>
      <c r="AA86" s="7"/>
    </row>
    <row r="87" spans="2:27" ht="12" hidden="1" customHeight="1" outlineLevel="1" x14ac:dyDescent="0.35">
      <c r="B87" s="7"/>
      <c r="C87" s="16" t="s">
        <v>52</v>
      </c>
      <c r="D87" s="806"/>
      <c r="E87" s="321"/>
      <c r="F87" s="321"/>
      <c r="G87" s="321"/>
      <c r="H87" s="503">
        <f t="shared" si="41"/>
        <v>0</v>
      </c>
      <c r="I87" s="343">
        <f t="shared" si="42"/>
        <v>0</v>
      </c>
      <c r="J87" s="900">
        <v>0</v>
      </c>
      <c r="K87" s="905">
        <f>IFERROR(M87/M$68,0)</f>
        <v>0</v>
      </c>
      <c r="L87" s="903">
        <v>0</v>
      </c>
      <c r="M87" s="514">
        <f>IFERROR(L87*$H$43,0)</f>
        <v>0</v>
      </c>
      <c r="N87" s="343">
        <f t="shared" ref="N87:V87" si="54">IFERROR(M87*(1+N$113),0)</f>
        <v>0</v>
      </c>
      <c r="O87" s="343">
        <f t="shared" si="54"/>
        <v>0</v>
      </c>
      <c r="P87" s="343">
        <f t="shared" si="54"/>
        <v>0</v>
      </c>
      <c r="Q87" s="343">
        <f t="shared" si="54"/>
        <v>0</v>
      </c>
      <c r="R87" s="343">
        <f t="shared" si="54"/>
        <v>0</v>
      </c>
      <c r="S87" s="343">
        <f t="shared" si="54"/>
        <v>0</v>
      </c>
      <c r="T87" s="343">
        <f t="shared" si="54"/>
        <v>0</v>
      </c>
      <c r="U87" s="343">
        <f t="shared" si="54"/>
        <v>0</v>
      </c>
      <c r="V87" s="344">
        <f t="shared" si="54"/>
        <v>0</v>
      </c>
      <c r="W87" s="7"/>
      <c r="X87" s="7"/>
      <c r="Y87" s="7"/>
      <c r="Z87" s="7"/>
      <c r="AA87" s="7"/>
    </row>
    <row r="88" spans="2:27" ht="12" hidden="1" customHeight="1" outlineLevel="1" x14ac:dyDescent="0.35">
      <c r="B88" s="7"/>
      <c r="C88" s="36" t="s">
        <v>53</v>
      </c>
      <c r="D88" s="37"/>
      <c r="E88" s="37"/>
      <c r="F88" s="37"/>
      <c r="G88" s="37"/>
      <c r="H88" s="505">
        <f t="shared" si="41"/>
        <v>0</v>
      </c>
      <c r="I88" s="38">
        <f t="shared" si="42"/>
        <v>0</v>
      </c>
      <c r="J88" s="38">
        <f>SUM(J78:J87)</f>
        <v>0</v>
      </c>
      <c r="K88" s="505">
        <f>IFERROR(M88/M68,0)</f>
        <v>0</v>
      </c>
      <c r="L88" s="38">
        <f>IFERROR(IF(V6="ON",V17,M88/$H$43),0)</f>
        <v>0</v>
      </c>
      <c r="M88" s="498">
        <f>IF($V$6="ON",L88*V8,IF(L90&gt;0,H43*L90,SUM(M78:M87)))</f>
        <v>0</v>
      </c>
      <c r="N88" s="35">
        <f t="shared" ref="N88:V88" si="55">IFERROR(IF(OR($L$90&gt;0,$V$6="ON"),M88*(1+N113),SUM(N78:N87)),0)</f>
        <v>0</v>
      </c>
      <c r="O88" s="38">
        <f t="shared" si="55"/>
        <v>0</v>
      </c>
      <c r="P88" s="38">
        <f t="shared" si="55"/>
        <v>0</v>
      </c>
      <c r="Q88" s="38">
        <f t="shared" si="55"/>
        <v>0</v>
      </c>
      <c r="R88" s="38">
        <f t="shared" si="55"/>
        <v>0</v>
      </c>
      <c r="S88" s="38">
        <f t="shared" si="55"/>
        <v>0</v>
      </c>
      <c r="T88" s="38">
        <f t="shared" si="55"/>
        <v>0</v>
      </c>
      <c r="U88" s="38">
        <f t="shared" si="55"/>
        <v>0</v>
      </c>
      <c r="V88" s="39">
        <f t="shared" si="55"/>
        <v>0</v>
      </c>
      <c r="W88" s="7"/>
      <c r="X88" s="7"/>
      <c r="Y88" s="7"/>
      <c r="Z88" s="7"/>
      <c r="AA88" s="7"/>
    </row>
    <row r="89" spans="2:27" ht="12" hidden="1" customHeight="1" outlineLevel="1" x14ac:dyDescent="0.35">
      <c r="B89" s="7"/>
      <c r="C89" s="16"/>
      <c r="D89" s="806"/>
      <c r="E89" s="321"/>
      <c r="F89" s="323"/>
      <c r="G89" s="323" t="s">
        <v>115</v>
      </c>
      <c r="H89" s="506"/>
      <c r="J89" s="368">
        <f>IFERROR(J88/J68,0)</f>
        <v>0</v>
      </c>
      <c r="K89" s="568"/>
      <c r="L89" s="567"/>
      <c r="M89" s="369">
        <f t="shared" ref="M89:V89" si="56">IFERROR(M88/M68,0)</f>
        <v>0</v>
      </c>
      <c r="N89" s="368">
        <f t="shared" si="56"/>
        <v>0</v>
      </c>
      <c r="O89" s="368">
        <f t="shared" si="56"/>
        <v>0</v>
      </c>
      <c r="P89" s="368">
        <f t="shared" si="56"/>
        <v>0</v>
      </c>
      <c r="Q89" s="368">
        <f t="shared" si="56"/>
        <v>0</v>
      </c>
      <c r="R89" s="368">
        <f t="shared" si="56"/>
        <v>0</v>
      </c>
      <c r="S89" s="368">
        <f t="shared" si="56"/>
        <v>0</v>
      </c>
      <c r="T89" s="368">
        <f t="shared" si="56"/>
        <v>0</v>
      </c>
      <c r="U89" s="368">
        <f t="shared" si="56"/>
        <v>0</v>
      </c>
      <c r="V89" s="370">
        <f t="shared" si="56"/>
        <v>0</v>
      </c>
      <c r="W89" s="7"/>
      <c r="X89" s="7"/>
      <c r="Y89" s="7"/>
      <c r="Z89" s="7"/>
      <c r="AA89" s="7"/>
    </row>
    <row r="90" spans="2:27" ht="12" hidden="1" customHeight="1" outlineLevel="1" x14ac:dyDescent="0.35">
      <c r="B90" s="7"/>
      <c r="C90" s="371"/>
      <c r="D90" s="372"/>
      <c r="E90" s="372"/>
      <c r="F90" s="323"/>
      <c r="G90" s="323" t="s">
        <v>54</v>
      </c>
      <c r="H90" s="507"/>
      <c r="J90" s="343">
        <f>IFERROR(J88/$H$43,0)</f>
        <v>0</v>
      </c>
      <c r="K90" s="432" t="s">
        <v>216</v>
      </c>
      <c r="L90" s="624">
        <v>0</v>
      </c>
      <c r="M90" s="325">
        <f t="shared" ref="M90:V90" si="57">IFERROR(M88/$H$43,0)</f>
        <v>0</v>
      </c>
      <c r="N90" s="343">
        <f t="shared" si="57"/>
        <v>0</v>
      </c>
      <c r="O90" s="343">
        <f t="shared" si="57"/>
        <v>0</v>
      </c>
      <c r="P90" s="343">
        <f t="shared" si="57"/>
        <v>0</v>
      </c>
      <c r="Q90" s="343">
        <f t="shared" si="57"/>
        <v>0</v>
      </c>
      <c r="R90" s="343">
        <f t="shared" si="57"/>
        <v>0</v>
      </c>
      <c r="S90" s="343">
        <f t="shared" si="57"/>
        <v>0</v>
      </c>
      <c r="T90" s="343">
        <f t="shared" si="57"/>
        <v>0</v>
      </c>
      <c r="U90" s="343">
        <f t="shared" si="57"/>
        <v>0</v>
      </c>
      <c r="V90" s="344">
        <f t="shared" si="57"/>
        <v>0</v>
      </c>
      <c r="W90" s="7"/>
      <c r="X90" s="7"/>
      <c r="Y90" s="7"/>
      <c r="Z90" s="7"/>
      <c r="AA90" s="7"/>
    </row>
    <row r="91" spans="2:27" ht="12" hidden="1" customHeight="1" outlineLevel="1" x14ac:dyDescent="0.35">
      <c r="B91" s="7"/>
      <c r="C91" s="371"/>
      <c r="D91" s="372"/>
      <c r="E91" s="372"/>
      <c r="F91" s="323"/>
      <c r="G91" s="323" t="s">
        <v>55</v>
      </c>
      <c r="H91" s="507"/>
      <c r="J91" s="374">
        <f>IFERROR(J88/$A$43,0)</f>
        <v>0</v>
      </c>
      <c r="K91" s="55"/>
      <c r="M91" s="375">
        <f t="shared" ref="M91:V91" si="58">IFERROR(M88/$A$43,0)</f>
        <v>0</v>
      </c>
      <c r="N91" s="374">
        <f t="shared" si="58"/>
        <v>0</v>
      </c>
      <c r="O91" s="374">
        <f t="shared" si="58"/>
        <v>0</v>
      </c>
      <c r="P91" s="374">
        <f t="shared" si="58"/>
        <v>0</v>
      </c>
      <c r="Q91" s="374">
        <f t="shared" si="58"/>
        <v>0</v>
      </c>
      <c r="R91" s="374">
        <f t="shared" si="58"/>
        <v>0</v>
      </c>
      <c r="S91" s="374">
        <f t="shared" si="58"/>
        <v>0</v>
      </c>
      <c r="T91" s="374">
        <f t="shared" si="58"/>
        <v>0</v>
      </c>
      <c r="U91" s="374">
        <f t="shared" si="58"/>
        <v>0</v>
      </c>
      <c r="V91" s="376">
        <f t="shared" si="58"/>
        <v>0</v>
      </c>
      <c r="W91" s="7"/>
      <c r="X91" s="7"/>
      <c r="Y91" s="7"/>
      <c r="Z91" s="7"/>
      <c r="AA91" s="7"/>
    </row>
    <row r="92" spans="2:27" ht="12" hidden="1" customHeight="1" outlineLevel="1" x14ac:dyDescent="0.35">
      <c r="B92" s="7"/>
      <c r="C92" s="377"/>
      <c r="D92" s="814"/>
      <c r="E92" s="321"/>
      <c r="F92" s="323"/>
      <c r="G92" s="323" t="s">
        <v>56</v>
      </c>
      <c r="H92" s="508"/>
      <c r="I92" s="356"/>
      <c r="J92" s="7"/>
      <c r="K92" s="569"/>
      <c r="M92" s="357">
        <f>IFERROR(M88/J88-1,0)</f>
        <v>0</v>
      </c>
      <c r="N92" s="358">
        <f t="shared" ref="N92:V92" si="59">IFERROR(N88/M88-1,0)</f>
        <v>0</v>
      </c>
      <c r="O92" s="358">
        <f t="shared" si="59"/>
        <v>0</v>
      </c>
      <c r="P92" s="358">
        <f t="shared" si="59"/>
        <v>0</v>
      </c>
      <c r="Q92" s="358">
        <f t="shared" si="59"/>
        <v>0</v>
      </c>
      <c r="R92" s="358">
        <f t="shared" si="59"/>
        <v>0</v>
      </c>
      <c r="S92" s="358">
        <f t="shared" si="59"/>
        <v>0</v>
      </c>
      <c r="T92" s="358">
        <f t="shared" si="59"/>
        <v>0</v>
      </c>
      <c r="U92" s="358">
        <f t="shared" si="59"/>
        <v>0</v>
      </c>
      <c r="V92" s="359">
        <f t="shared" si="59"/>
        <v>0</v>
      </c>
      <c r="W92" s="7"/>
      <c r="X92" s="7"/>
      <c r="Y92" s="7"/>
      <c r="Z92" s="7"/>
      <c r="AA92" s="7"/>
    </row>
    <row r="93" spans="2:27" ht="12" hidden="1" customHeight="1" outlineLevel="1" x14ac:dyDescent="0.35">
      <c r="B93" s="7"/>
      <c r="C93" s="371"/>
      <c r="D93" s="372"/>
      <c r="E93" s="372"/>
      <c r="F93" s="323"/>
      <c r="G93" s="323"/>
      <c r="H93" s="507"/>
      <c r="I93" s="347"/>
      <c r="J93" s="7"/>
      <c r="K93" s="570"/>
      <c r="L93" s="571"/>
      <c r="M93" s="572"/>
      <c r="N93" s="347"/>
      <c r="O93" s="347"/>
      <c r="P93" s="347"/>
      <c r="Q93" s="347"/>
      <c r="R93" s="347"/>
      <c r="S93" s="347"/>
      <c r="T93" s="347"/>
      <c r="U93" s="347"/>
      <c r="V93" s="378"/>
      <c r="W93" s="7"/>
      <c r="X93" s="7"/>
      <c r="Y93" s="7"/>
      <c r="Z93" s="7"/>
      <c r="AA93" s="7"/>
    </row>
    <row r="94" spans="2:27" ht="12" hidden="1" customHeight="1" outlineLevel="1" x14ac:dyDescent="0.35">
      <c r="B94" s="7"/>
      <c r="C94" s="36" t="s">
        <v>184</v>
      </c>
      <c r="D94" s="37"/>
      <c r="E94" s="37"/>
      <c r="F94" s="37"/>
      <c r="G94" s="37"/>
      <c r="H94" s="509"/>
      <c r="I94" s="483">
        <f>IFERROR(J94/$H$43,0)</f>
        <v>0</v>
      </c>
      <c r="J94" s="38">
        <f>J68-J88</f>
        <v>0</v>
      </c>
      <c r="K94" s="509"/>
      <c r="L94" s="483">
        <f>IFERROR(M94/$H$43,0)</f>
        <v>0</v>
      </c>
      <c r="M94" s="566">
        <f t="shared" ref="M94:V94" si="60">M68-M88</f>
        <v>0</v>
      </c>
      <c r="N94" s="38">
        <f t="shared" si="60"/>
        <v>0</v>
      </c>
      <c r="O94" s="38">
        <f t="shared" si="60"/>
        <v>0</v>
      </c>
      <c r="P94" s="38">
        <f t="shared" si="60"/>
        <v>0</v>
      </c>
      <c r="Q94" s="38">
        <f t="shared" si="60"/>
        <v>0</v>
      </c>
      <c r="R94" s="38">
        <f t="shared" si="60"/>
        <v>0</v>
      </c>
      <c r="S94" s="38">
        <f t="shared" si="60"/>
        <v>0</v>
      </c>
      <c r="T94" s="38">
        <f t="shared" si="60"/>
        <v>0</v>
      </c>
      <c r="U94" s="38">
        <f t="shared" si="60"/>
        <v>0</v>
      </c>
      <c r="V94" s="39">
        <f t="shared" si="60"/>
        <v>0</v>
      </c>
      <c r="W94" s="7"/>
      <c r="X94" s="7"/>
      <c r="Y94" s="7"/>
      <c r="Z94" s="7"/>
      <c r="AA94" s="7"/>
    </row>
    <row r="95" spans="2:27" ht="12" hidden="1" customHeight="1" outlineLevel="1" x14ac:dyDescent="0.35">
      <c r="B95" s="7"/>
      <c r="C95" s="16"/>
      <c r="D95" s="806"/>
      <c r="E95" s="321"/>
      <c r="F95" s="323"/>
      <c r="G95" s="323" t="s">
        <v>57</v>
      </c>
      <c r="H95" s="510"/>
      <c r="J95" s="379">
        <f>IFERROR(G14,0)</f>
        <v>0.05</v>
      </c>
      <c r="K95" s="510"/>
      <c r="L95" s="567"/>
      <c r="M95" s="380">
        <f>IFERROR(J95+(($B$20-$G$14)/$G$20),0)</f>
        <v>5.1500000000000004E-2</v>
      </c>
      <c r="N95" s="379">
        <f t="shared" ref="N95:V95" si="61">IFERROR(M95+(($B$20-$G$14)/$G$20),0)</f>
        <v>5.3000000000000005E-2</v>
      </c>
      <c r="O95" s="379">
        <f t="shared" si="61"/>
        <v>5.4500000000000007E-2</v>
      </c>
      <c r="P95" s="379">
        <f t="shared" si="61"/>
        <v>5.6000000000000008E-2</v>
      </c>
      <c r="Q95" s="379">
        <f t="shared" si="61"/>
        <v>5.7500000000000009E-2</v>
      </c>
      <c r="R95" s="379">
        <f t="shared" si="61"/>
        <v>5.9000000000000011E-2</v>
      </c>
      <c r="S95" s="379">
        <f t="shared" si="61"/>
        <v>6.0500000000000012E-2</v>
      </c>
      <c r="T95" s="379">
        <f t="shared" si="61"/>
        <v>6.2000000000000013E-2</v>
      </c>
      <c r="U95" s="379">
        <f t="shared" si="61"/>
        <v>6.3500000000000015E-2</v>
      </c>
      <c r="V95" s="381">
        <f t="shared" si="61"/>
        <v>6.5000000000000016E-2</v>
      </c>
      <c r="W95" s="7"/>
      <c r="X95" s="7"/>
      <c r="Y95" s="7"/>
      <c r="Z95" s="7"/>
      <c r="AA95" s="7"/>
    </row>
    <row r="96" spans="2:27" ht="12" hidden="1" customHeight="1" outlineLevel="1" x14ac:dyDescent="0.35">
      <c r="B96" s="7"/>
      <c r="C96" s="354" t="s">
        <v>58</v>
      </c>
      <c r="D96" s="812"/>
      <c r="E96" s="321"/>
      <c r="F96" s="323"/>
      <c r="G96" s="323" t="s">
        <v>58</v>
      </c>
      <c r="H96" s="428"/>
      <c r="J96" s="327">
        <f>IFERROR(J94/J95,0)</f>
        <v>0</v>
      </c>
      <c r="K96" s="428"/>
      <c r="M96" s="334">
        <f t="shared" ref="M96:V96" si="62">IFERROR(M94/M95,0)</f>
        <v>0</v>
      </c>
      <c r="N96" s="327">
        <f t="shared" si="62"/>
        <v>0</v>
      </c>
      <c r="O96" s="327">
        <f t="shared" si="62"/>
        <v>0</v>
      </c>
      <c r="P96" s="327">
        <f t="shared" si="62"/>
        <v>0</v>
      </c>
      <c r="Q96" s="327">
        <f t="shared" si="62"/>
        <v>0</v>
      </c>
      <c r="R96" s="327">
        <f t="shared" si="62"/>
        <v>0</v>
      </c>
      <c r="S96" s="327">
        <f t="shared" si="62"/>
        <v>0</v>
      </c>
      <c r="T96" s="327">
        <f t="shared" si="62"/>
        <v>0</v>
      </c>
      <c r="U96" s="327">
        <f t="shared" si="62"/>
        <v>0</v>
      </c>
      <c r="V96" s="336">
        <f t="shared" si="62"/>
        <v>0</v>
      </c>
      <c r="W96" s="7"/>
      <c r="X96" s="7"/>
      <c r="Y96" s="7"/>
      <c r="Z96" s="7"/>
      <c r="AA96" s="7"/>
    </row>
    <row r="97" spans="2:27" ht="12" hidden="1" customHeight="1" outlineLevel="1" x14ac:dyDescent="0.35">
      <c r="B97" s="7"/>
      <c r="C97" s="16"/>
      <c r="D97" s="806"/>
      <c r="E97" s="321"/>
      <c r="F97" s="323"/>
      <c r="G97" s="323" t="s">
        <v>17</v>
      </c>
      <c r="H97" s="428"/>
      <c r="J97" s="327">
        <f>IFERROR(J94/$H$43/12,0)</f>
        <v>0</v>
      </c>
      <c r="K97" s="428"/>
      <c r="M97" s="334">
        <f t="shared" ref="M97:V97" si="63">IFERROR(M94/$H$43/12,0)</f>
        <v>0</v>
      </c>
      <c r="N97" s="327">
        <f t="shared" si="63"/>
        <v>0</v>
      </c>
      <c r="O97" s="327">
        <f t="shared" si="63"/>
        <v>0</v>
      </c>
      <c r="P97" s="327">
        <f t="shared" si="63"/>
        <v>0</v>
      </c>
      <c r="Q97" s="327">
        <f t="shared" si="63"/>
        <v>0</v>
      </c>
      <c r="R97" s="327">
        <f t="shared" si="63"/>
        <v>0</v>
      </c>
      <c r="S97" s="327">
        <f t="shared" si="63"/>
        <v>0</v>
      </c>
      <c r="T97" s="327">
        <f t="shared" si="63"/>
        <v>0</v>
      </c>
      <c r="U97" s="327">
        <f t="shared" si="63"/>
        <v>0</v>
      </c>
      <c r="V97" s="336">
        <f t="shared" si="63"/>
        <v>0</v>
      </c>
      <c r="W97" s="7"/>
      <c r="X97" s="433"/>
      <c r="Y97" s="7"/>
      <c r="Z97" s="7"/>
      <c r="AA97" s="7"/>
    </row>
    <row r="98" spans="2:27" ht="12" hidden="1" customHeight="1" outlineLevel="1" x14ac:dyDescent="0.35">
      <c r="B98" s="7"/>
      <c r="C98" s="16"/>
      <c r="D98" s="806"/>
      <c r="E98" s="321"/>
      <c r="F98" s="323"/>
      <c r="G98" s="323" t="s">
        <v>55</v>
      </c>
      <c r="H98" s="428"/>
      <c r="J98" s="382">
        <f>IFERROR(J94/$A$43,0)</f>
        <v>0</v>
      </c>
      <c r="K98" s="428"/>
      <c r="M98" s="383">
        <f t="shared" ref="M98:V98" si="64">IFERROR(M94/$A$43,0)</f>
        <v>0</v>
      </c>
      <c r="N98" s="382">
        <f t="shared" si="64"/>
        <v>0</v>
      </c>
      <c r="O98" s="382">
        <f t="shared" si="64"/>
        <v>0</v>
      </c>
      <c r="P98" s="382">
        <f t="shared" si="64"/>
        <v>0</v>
      </c>
      <c r="Q98" s="382">
        <f t="shared" si="64"/>
        <v>0</v>
      </c>
      <c r="R98" s="382">
        <f t="shared" si="64"/>
        <v>0</v>
      </c>
      <c r="S98" s="382">
        <f t="shared" si="64"/>
        <v>0</v>
      </c>
      <c r="T98" s="382">
        <f t="shared" si="64"/>
        <v>0</v>
      </c>
      <c r="U98" s="382">
        <f t="shared" si="64"/>
        <v>0</v>
      </c>
      <c r="V98" s="384">
        <f t="shared" si="64"/>
        <v>0</v>
      </c>
      <c r="W98" s="7"/>
      <c r="X98" s="433"/>
      <c r="Y98" s="7"/>
      <c r="Z98" s="7"/>
      <c r="AA98" s="7"/>
    </row>
    <row r="99" spans="2:27" ht="12" hidden="1" customHeight="1" outlineLevel="1" x14ac:dyDescent="0.35">
      <c r="B99" s="7"/>
      <c r="C99" s="345"/>
      <c r="D99" s="321"/>
      <c r="E99" s="361"/>
      <c r="F99" s="323"/>
      <c r="G99" s="323" t="s">
        <v>41</v>
      </c>
      <c r="H99" s="494"/>
      <c r="J99" s="358">
        <f>IFERROR((J88+J140)/J68,0)</f>
        <v>0</v>
      </c>
      <c r="K99" s="546"/>
      <c r="M99" s="522">
        <f t="shared" ref="M99:V99" si="65">IFERROR((M88+M140)/M68,0)</f>
        <v>0</v>
      </c>
      <c r="N99" s="358">
        <f t="shared" si="65"/>
        <v>0</v>
      </c>
      <c r="O99" s="358">
        <f t="shared" si="65"/>
        <v>0</v>
      </c>
      <c r="P99" s="358">
        <f t="shared" si="65"/>
        <v>0</v>
      </c>
      <c r="Q99" s="358">
        <f t="shared" si="65"/>
        <v>0</v>
      </c>
      <c r="R99" s="358">
        <f t="shared" si="65"/>
        <v>0</v>
      </c>
      <c r="S99" s="358">
        <f t="shared" si="65"/>
        <v>0</v>
      </c>
      <c r="T99" s="358">
        <f t="shared" si="65"/>
        <v>0</v>
      </c>
      <c r="U99" s="358">
        <f t="shared" si="65"/>
        <v>0</v>
      </c>
      <c r="V99" s="359">
        <f t="shared" si="65"/>
        <v>0</v>
      </c>
      <c r="W99" s="7"/>
      <c r="X99" s="433"/>
      <c r="Y99" s="7"/>
      <c r="Z99" s="7"/>
      <c r="AA99" s="7"/>
    </row>
    <row r="100" spans="2:27" ht="12" hidden="1" customHeight="1" outlineLevel="1" thickBot="1" x14ac:dyDescent="0.4">
      <c r="B100" s="7"/>
      <c r="C100" s="362"/>
      <c r="D100" s="363"/>
      <c r="E100" s="363"/>
      <c r="F100" s="364"/>
      <c r="G100" s="364" t="s">
        <v>59</v>
      </c>
      <c r="H100" s="511"/>
      <c r="I100" s="386"/>
      <c r="J100" s="401"/>
      <c r="K100" s="547"/>
      <c r="L100" s="386"/>
      <c r="M100" s="366">
        <f>IFERROR(M94/J94-1,0)</f>
        <v>0</v>
      </c>
      <c r="N100" s="365">
        <f t="shared" ref="N100:V100" si="66">IFERROR(N94/M94-1,0)</f>
        <v>0</v>
      </c>
      <c r="O100" s="365">
        <f t="shared" si="66"/>
        <v>0</v>
      </c>
      <c r="P100" s="365">
        <f t="shared" si="66"/>
        <v>0</v>
      </c>
      <c r="Q100" s="365">
        <f t="shared" si="66"/>
        <v>0</v>
      </c>
      <c r="R100" s="365">
        <f t="shared" si="66"/>
        <v>0</v>
      </c>
      <c r="S100" s="365">
        <f t="shared" si="66"/>
        <v>0</v>
      </c>
      <c r="T100" s="365">
        <f t="shared" si="66"/>
        <v>0</v>
      </c>
      <c r="U100" s="365">
        <f t="shared" si="66"/>
        <v>0</v>
      </c>
      <c r="V100" s="367">
        <f t="shared" si="66"/>
        <v>0</v>
      </c>
      <c r="W100" s="7"/>
      <c r="X100" s="433"/>
      <c r="Y100" s="7"/>
      <c r="Z100" s="7"/>
      <c r="AA100" s="7"/>
    </row>
    <row r="101" spans="2:27" ht="12" customHeight="1" collapsed="1" thickTop="1" x14ac:dyDescent="0.35">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row>
    <row r="102" spans="2:27" ht="19" thickBot="1" x14ac:dyDescent="0.5">
      <c r="B102" s="7"/>
      <c r="C102" s="306" t="s">
        <v>125</v>
      </c>
      <c r="D102" s="306"/>
      <c r="E102" s="307"/>
      <c r="F102" s="308"/>
      <c r="G102" s="308"/>
      <c r="H102" s="308"/>
      <c r="I102" s="308"/>
      <c r="J102" s="308"/>
      <c r="K102" s="308"/>
      <c r="L102" s="317"/>
      <c r="M102" s="310"/>
      <c r="N102" s="309"/>
      <c r="O102" s="309"/>
      <c r="P102" s="309"/>
      <c r="Q102" s="309"/>
      <c r="R102" s="309"/>
      <c r="S102" s="309"/>
      <c r="T102" s="309"/>
      <c r="U102" s="309"/>
      <c r="V102" s="938" t="s">
        <v>295</v>
      </c>
      <c r="W102" s="7"/>
      <c r="X102" s="7"/>
      <c r="Y102" s="7"/>
      <c r="Z102" s="7"/>
      <c r="AA102" s="7"/>
    </row>
    <row r="103" spans="2:27" ht="12.5" hidden="1" customHeight="1" outlineLevel="1" thickTop="1" x14ac:dyDescent="0.35">
      <c r="B103" s="7"/>
      <c r="C103" s="26"/>
      <c r="D103" s="27"/>
      <c r="E103" s="27"/>
      <c r="F103" s="58"/>
      <c r="G103" s="58"/>
      <c r="H103" s="59"/>
      <c r="I103" s="472"/>
      <c r="J103" s="60" t="str">
        <f>J47</f>
        <v>T-3</v>
      </c>
      <c r="K103" s="476"/>
      <c r="L103" s="472"/>
      <c r="M103" s="477">
        <v>1</v>
      </c>
      <c r="N103" s="61">
        <f t="shared" ref="N103:V103" si="67">M103+1</f>
        <v>2</v>
      </c>
      <c r="O103" s="61">
        <f t="shared" si="67"/>
        <v>3</v>
      </c>
      <c r="P103" s="61">
        <f t="shared" si="67"/>
        <v>4</v>
      </c>
      <c r="Q103" s="61">
        <f t="shared" si="67"/>
        <v>5</v>
      </c>
      <c r="R103" s="61">
        <f t="shared" si="67"/>
        <v>6</v>
      </c>
      <c r="S103" s="61">
        <f t="shared" si="67"/>
        <v>7</v>
      </c>
      <c r="T103" s="61">
        <f t="shared" si="67"/>
        <v>8</v>
      </c>
      <c r="U103" s="61">
        <f t="shared" si="67"/>
        <v>9</v>
      </c>
      <c r="V103" s="62">
        <f t="shared" si="67"/>
        <v>10</v>
      </c>
      <c r="W103" s="7"/>
      <c r="X103" s="7"/>
      <c r="Y103" s="7"/>
      <c r="Z103" s="7"/>
      <c r="AA103" s="7"/>
    </row>
    <row r="104" spans="2:27" ht="12.5" hidden="1" customHeight="1" outlineLevel="1" x14ac:dyDescent="0.35">
      <c r="B104" s="7"/>
      <c r="C104" s="1" t="s">
        <v>170</v>
      </c>
      <c r="D104" s="6"/>
      <c r="E104" s="6"/>
      <c r="F104" s="6"/>
      <c r="G104" s="6"/>
      <c r="H104" s="22"/>
      <c r="I104" s="7"/>
      <c r="J104" s="14"/>
      <c r="K104" s="22"/>
      <c r="L104" s="7"/>
      <c r="M104" s="478">
        <v>0.03</v>
      </c>
      <c r="N104" s="123">
        <v>0.03</v>
      </c>
      <c r="O104" s="123">
        <v>0.03</v>
      </c>
      <c r="P104" s="123">
        <v>0.03</v>
      </c>
      <c r="Q104" s="123">
        <v>0.03</v>
      </c>
      <c r="R104" s="835">
        <f>Q104</f>
        <v>0.03</v>
      </c>
      <c r="S104" s="835">
        <f>R104</f>
        <v>0.03</v>
      </c>
      <c r="T104" s="835">
        <f>S104</f>
        <v>0.03</v>
      </c>
      <c r="U104" s="835">
        <f>T104</f>
        <v>0.03</v>
      </c>
      <c r="V104" s="836">
        <f>U104</f>
        <v>0.03</v>
      </c>
      <c r="W104" s="7"/>
      <c r="X104" s="7"/>
      <c r="Y104" s="7"/>
      <c r="Z104" s="7"/>
      <c r="AA104" s="7"/>
    </row>
    <row r="105" spans="2:27" ht="12.5" hidden="1" customHeight="1" outlineLevel="1" x14ac:dyDescent="0.35">
      <c r="B105" s="7"/>
      <c r="C105" s="95" t="s">
        <v>21</v>
      </c>
      <c r="D105" s="815"/>
      <c r="E105" s="96"/>
      <c r="F105" s="96"/>
      <c r="G105" s="96"/>
      <c r="H105" s="97"/>
      <c r="I105" s="473"/>
      <c r="J105" s="98">
        <f>I53</f>
        <v>0</v>
      </c>
      <c r="K105" s="97"/>
      <c r="L105" s="473"/>
      <c r="M105" s="100">
        <f t="shared" ref="M105:V105" si="68">M53</f>
        <v>0</v>
      </c>
      <c r="N105" s="99">
        <f t="shared" si="68"/>
        <v>0</v>
      </c>
      <c r="O105" s="99">
        <f t="shared" si="68"/>
        <v>0</v>
      </c>
      <c r="P105" s="99">
        <f t="shared" si="68"/>
        <v>0</v>
      </c>
      <c r="Q105" s="99">
        <f t="shared" si="68"/>
        <v>0</v>
      </c>
      <c r="R105" s="99">
        <f t="shared" si="68"/>
        <v>0</v>
      </c>
      <c r="S105" s="99">
        <f t="shared" si="68"/>
        <v>0</v>
      </c>
      <c r="T105" s="99">
        <f t="shared" si="68"/>
        <v>0</v>
      </c>
      <c r="U105" s="99">
        <f t="shared" si="68"/>
        <v>0</v>
      </c>
      <c r="V105" s="101">
        <f t="shared" si="68"/>
        <v>0</v>
      </c>
      <c r="W105" s="7"/>
      <c r="X105" s="7"/>
      <c r="Y105" s="7"/>
      <c r="Z105" s="7"/>
      <c r="AA105" s="7"/>
    </row>
    <row r="106" spans="2:27" ht="12.5" hidden="1" customHeight="1" outlineLevel="1" x14ac:dyDescent="0.35">
      <c r="B106" s="7"/>
      <c r="C106" s="2" t="s">
        <v>22</v>
      </c>
      <c r="D106" s="807"/>
      <c r="E106" s="7"/>
      <c r="F106" s="7"/>
      <c r="G106" s="23"/>
      <c r="H106" s="22"/>
      <c r="I106" s="474"/>
      <c r="J106" s="46"/>
      <c r="K106" s="47"/>
      <c r="L106" s="474"/>
      <c r="M106" s="479">
        <f>IFERROR(K56,0)</f>
        <v>0</v>
      </c>
      <c r="N106" s="46">
        <f t="shared" ref="N106:V106" si="69">IFERROR(N56/-N48,0)</f>
        <v>0</v>
      </c>
      <c r="O106" s="46">
        <f t="shared" si="69"/>
        <v>0</v>
      </c>
      <c r="P106" s="46">
        <f t="shared" si="69"/>
        <v>0</v>
      </c>
      <c r="Q106" s="46">
        <f t="shared" si="69"/>
        <v>0</v>
      </c>
      <c r="R106" s="46">
        <f t="shared" si="69"/>
        <v>0</v>
      </c>
      <c r="S106" s="46">
        <f t="shared" si="69"/>
        <v>0</v>
      </c>
      <c r="T106" s="46">
        <f t="shared" si="69"/>
        <v>0</v>
      </c>
      <c r="U106" s="46">
        <f t="shared" si="69"/>
        <v>0</v>
      </c>
      <c r="V106" s="49">
        <f t="shared" si="69"/>
        <v>0</v>
      </c>
      <c r="W106" s="7"/>
      <c r="X106" s="7"/>
      <c r="Y106" s="7"/>
      <c r="Z106" s="7"/>
      <c r="AA106" s="7"/>
    </row>
    <row r="107" spans="2:27" ht="12.5" hidden="1" customHeight="1" outlineLevel="1" x14ac:dyDescent="0.35">
      <c r="B107" s="7"/>
      <c r="C107" s="1" t="s">
        <v>174</v>
      </c>
      <c r="D107" s="6"/>
      <c r="E107" s="4"/>
      <c r="F107" s="7"/>
      <c r="G107" s="7"/>
      <c r="H107" s="22" t="s">
        <v>73</v>
      </c>
      <c r="I107" s="474"/>
      <c r="J107" s="46">
        <f>H57</f>
        <v>0</v>
      </c>
      <c r="K107" s="47"/>
      <c r="L107" s="474"/>
      <c r="M107" s="479">
        <f>K57</f>
        <v>0</v>
      </c>
      <c r="N107" s="123">
        <v>0.05</v>
      </c>
      <c r="O107" s="123">
        <v>0.05</v>
      </c>
      <c r="P107" s="123">
        <v>0.05</v>
      </c>
      <c r="Q107" s="123">
        <v>0.05</v>
      </c>
      <c r="R107" s="835">
        <f t="shared" ref="R107:V110" si="70">Q107</f>
        <v>0.05</v>
      </c>
      <c r="S107" s="835">
        <f t="shared" si="70"/>
        <v>0.05</v>
      </c>
      <c r="T107" s="835">
        <f t="shared" si="70"/>
        <v>0.05</v>
      </c>
      <c r="U107" s="835">
        <f t="shared" si="70"/>
        <v>0.05</v>
      </c>
      <c r="V107" s="836">
        <f t="shared" si="70"/>
        <v>0.05</v>
      </c>
      <c r="W107" s="7"/>
      <c r="X107" s="7"/>
      <c r="Y107" s="7"/>
      <c r="Z107" s="7"/>
      <c r="AA107" s="7"/>
    </row>
    <row r="108" spans="2:27" ht="12.5" hidden="1" customHeight="1" outlineLevel="1" x14ac:dyDescent="0.35">
      <c r="B108" s="7"/>
      <c r="C108" s="1" t="s">
        <v>23</v>
      </c>
      <c r="D108" s="6"/>
      <c r="E108" s="7"/>
      <c r="F108" s="7"/>
      <c r="G108" s="7"/>
      <c r="H108" s="22"/>
      <c r="I108" s="474"/>
      <c r="J108" s="46">
        <f>H58</f>
        <v>0</v>
      </c>
      <c r="K108" s="47"/>
      <c r="L108" s="474"/>
      <c r="M108" s="479">
        <f>K58</f>
        <v>0</v>
      </c>
      <c r="N108" s="123">
        <v>5.0000000000000001E-3</v>
      </c>
      <c r="O108" s="123">
        <v>5.0000000000000001E-3</v>
      </c>
      <c r="P108" s="123">
        <v>5.0000000000000001E-3</v>
      </c>
      <c r="Q108" s="123">
        <v>5.0000000000000001E-3</v>
      </c>
      <c r="R108" s="835">
        <f t="shared" si="70"/>
        <v>5.0000000000000001E-3</v>
      </c>
      <c r="S108" s="835">
        <f t="shared" si="70"/>
        <v>5.0000000000000001E-3</v>
      </c>
      <c r="T108" s="835">
        <f t="shared" si="70"/>
        <v>5.0000000000000001E-3</v>
      </c>
      <c r="U108" s="835">
        <f t="shared" si="70"/>
        <v>5.0000000000000001E-3</v>
      </c>
      <c r="V108" s="836">
        <f t="shared" si="70"/>
        <v>5.0000000000000001E-3</v>
      </c>
      <c r="W108" s="7"/>
      <c r="X108" s="7"/>
      <c r="Y108" s="7"/>
      <c r="Z108" s="7"/>
      <c r="AA108" s="7"/>
    </row>
    <row r="109" spans="2:27" ht="12.5" hidden="1" customHeight="1" outlineLevel="1" x14ac:dyDescent="0.35">
      <c r="B109" s="7"/>
      <c r="C109" s="1" t="s">
        <v>24</v>
      </c>
      <c r="D109" s="6"/>
      <c r="E109" s="7"/>
      <c r="F109" s="7"/>
      <c r="G109" s="7"/>
      <c r="H109" s="22"/>
      <c r="I109" s="474"/>
      <c r="J109" s="46">
        <f>H59</f>
        <v>0</v>
      </c>
      <c r="K109" s="47"/>
      <c r="L109" s="474"/>
      <c r="M109" s="479">
        <f>K59</f>
        <v>0</v>
      </c>
      <c r="N109" s="123">
        <v>5.0000000000000001E-3</v>
      </c>
      <c r="O109" s="123">
        <v>5.0000000000000001E-3</v>
      </c>
      <c r="P109" s="123">
        <v>5.0000000000000001E-3</v>
      </c>
      <c r="Q109" s="123">
        <v>5.0000000000000001E-3</v>
      </c>
      <c r="R109" s="835">
        <f t="shared" si="70"/>
        <v>5.0000000000000001E-3</v>
      </c>
      <c r="S109" s="835">
        <f t="shared" si="70"/>
        <v>5.0000000000000001E-3</v>
      </c>
      <c r="T109" s="835">
        <f t="shared" si="70"/>
        <v>5.0000000000000001E-3</v>
      </c>
      <c r="U109" s="835">
        <f t="shared" si="70"/>
        <v>5.0000000000000001E-3</v>
      </c>
      <c r="V109" s="836">
        <f t="shared" si="70"/>
        <v>5.0000000000000001E-3</v>
      </c>
      <c r="W109" s="7"/>
      <c r="X109" s="7"/>
      <c r="Y109" s="7"/>
      <c r="Z109" s="7"/>
      <c r="AA109" s="7"/>
    </row>
    <row r="110" spans="2:27" ht="12.5" hidden="1" customHeight="1" outlineLevel="1" x14ac:dyDescent="0.35">
      <c r="B110" s="7"/>
      <c r="C110" s="1" t="s">
        <v>25</v>
      </c>
      <c r="D110" s="6"/>
      <c r="E110" s="7"/>
      <c r="F110" s="7"/>
      <c r="G110" s="7"/>
      <c r="H110" s="22"/>
      <c r="I110" s="474"/>
      <c r="J110" s="46">
        <f>H60</f>
        <v>0</v>
      </c>
      <c r="K110" s="47"/>
      <c r="L110" s="474"/>
      <c r="M110" s="479">
        <f>K60</f>
        <v>0</v>
      </c>
      <c r="N110" s="123">
        <v>0.02</v>
      </c>
      <c r="O110" s="123">
        <v>0.02</v>
      </c>
      <c r="P110" s="123">
        <v>0.02</v>
      </c>
      <c r="Q110" s="123">
        <v>0.02</v>
      </c>
      <c r="R110" s="835">
        <f t="shared" si="70"/>
        <v>0.02</v>
      </c>
      <c r="S110" s="835">
        <f t="shared" si="70"/>
        <v>0.02</v>
      </c>
      <c r="T110" s="835">
        <f t="shared" si="70"/>
        <v>0.02</v>
      </c>
      <c r="U110" s="835">
        <f t="shared" si="70"/>
        <v>0.02</v>
      </c>
      <c r="V110" s="836">
        <f t="shared" si="70"/>
        <v>0.02</v>
      </c>
      <c r="W110" s="7"/>
      <c r="X110" s="7"/>
      <c r="Y110" s="7"/>
      <c r="Z110" s="7"/>
      <c r="AA110" s="7"/>
    </row>
    <row r="111" spans="2:27" ht="12.5" hidden="1" customHeight="1" outlineLevel="1" x14ac:dyDescent="0.35">
      <c r="B111" s="7"/>
      <c r="C111" s="102" t="s">
        <v>26</v>
      </c>
      <c r="D111" s="816"/>
      <c r="E111" s="103"/>
      <c r="F111" s="103"/>
      <c r="G111" s="103"/>
      <c r="H111" s="104"/>
      <c r="I111" s="475"/>
      <c r="J111" s="105">
        <f>SUM(J106:J110)</f>
        <v>0</v>
      </c>
      <c r="K111" s="104"/>
      <c r="L111" s="475"/>
      <c r="M111" s="480">
        <f t="shared" ref="M111:V111" si="71">M73</f>
        <v>0</v>
      </c>
      <c r="N111" s="105">
        <f t="shared" si="71"/>
        <v>0</v>
      </c>
      <c r="O111" s="105">
        <f t="shared" si="71"/>
        <v>0</v>
      </c>
      <c r="P111" s="105">
        <f t="shared" si="71"/>
        <v>0</v>
      </c>
      <c r="Q111" s="105">
        <f t="shared" si="71"/>
        <v>0</v>
      </c>
      <c r="R111" s="105">
        <f t="shared" si="71"/>
        <v>0</v>
      </c>
      <c r="S111" s="105">
        <f t="shared" si="71"/>
        <v>0</v>
      </c>
      <c r="T111" s="105">
        <f t="shared" si="71"/>
        <v>0</v>
      </c>
      <c r="U111" s="105">
        <f t="shared" si="71"/>
        <v>0</v>
      </c>
      <c r="V111" s="106">
        <f t="shared" si="71"/>
        <v>0</v>
      </c>
      <c r="W111" s="7"/>
      <c r="X111" s="7"/>
      <c r="Y111" s="7"/>
      <c r="Z111" s="7"/>
      <c r="AA111" s="7"/>
    </row>
    <row r="112" spans="2:27" ht="12.5" hidden="1" customHeight="1" outlineLevel="1" x14ac:dyDescent="0.35">
      <c r="B112" s="7"/>
      <c r="C112" s="1" t="s">
        <v>27</v>
      </c>
      <c r="D112" s="6"/>
      <c r="E112" s="4"/>
      <c r="F112" s="7"/>
      <c r="G112" s="7"/>
      <c r="H112" s="22"/>
      <c r="I112" s="474"/>
      <c r="J112" s="48"/>
      <c r="K112" s="47"/>
      <c r="L112" s="474"/>
      <c r="M112" s="479">
        <f>IFERROR(M66/J66-1,0)</f>
        <v>0</v>
      </c>
      <c r="N112" s="123">
        <v>0.03</v>
      </c>
      <c r="O112" s="123">
        <v>0.03</v>
      </c>
      <c r="P112" s="123">
        <v>0.03</v>
      </c>
      <c r="Q112" s="123">
        <v>0.03</v>
      </c>
      <c r="R112" s="835">
        <f t="shared" ref="R112:V115" si="72">Q112</f>
        <v>0.03</v>
      </c>
      <c r="S112" s="835">
        <f t="shared" si="72"/>
        <v>0.03</v>
      </c>
      <c r="T112" s="835">
        <f t="shared" si="72"/>
        <v>0.03</v>
      </c>
      <c r="U112" s="835">
        <f t="shared" si="72"/>
        <v>0.03</v>
      </c>
      <c r="V112" s="836">
        <f t="shared" si="72"/>
        <v>0.03</v>
      </c>
      <c r="W112" s="7"/>
      <c r="X112" s="7"/>
      <c r="Y112" s="7"/>
      <c r="Z112" s="7"/>
      <c r="AA112" s="7"/>
    </row>
    <row r="113" spans="2:27" ht="12.5" hidden="1" customHeight="1" outlineLevel="1" x14ac:dyDescent="0.35">
      <c r="B113" s="7"/>
      <c r="C113" s="1" t="s">
        <v>284</v>
      </c>
      <c r="D113" s="6"/>
      <c r="E113" s="4"/>
      <c r="F113" s="7"/>
      <c r="G113" s="7"/>
      <c r="H113" s="22"/>
      <c r="I113" s="474"/>
      <c r="J113" s="48"/>
      <c r="K113" s="47"/>
      <c r="L113" s="474"/>
      <c r="M113" s="479">
        <f>IFERROR(SUM(M78:M85,M87)/SUM(J78:J85,J87)-1,0)</f>
        <v>0</v>
      </c>
      <c r="N113" s="123">
        <v>0.03</v>
      </c>
      <c r="O113" s="123">
        <v>0.03</v>
      </c>
      <c r="P113" s="123">
        <v>0.03</v>
      </c>
      <c r="Q113" s="123">
        <v>0.03</v>
      </c>
      <c r="R113" s="835">
        <f t="shared" si="72"/>
        <v>0.03</v>
      </c>
      <c r="S113" s="835">
        <f t="shared" si="72"/>
        <v>0.03</v>
      </c>
      <c r="T113" s="835">
        <f t="shared" si="72"/>
        <v>0.03</v>
      </c>
      <c r="U113" s="835">
        <f t="shared" si="72"/>
        <v>0.03</v>
      </c>
      <c r="V113" s="836">
        <f t="shared" si="72"/>
        <v>0.03</v>
      </c>
      <c r="W113" s="7"/>
      <c r="X113" s="7"/>
      <c r="Y113" s="7"/>
      <c r="Z113" s="7"/>
      <c r="AA113" s="7"/>
    </row>
    <row r="114" spans="2:27" ht="12.5" hidden="1" customHeight="1" outlineLevel="1" x14ac:dyDescent="0.35">
      <c r="B114" s="7"/>
      <c r="C114" s="1" t="s">
        <v>28</v>
      </c>
      <c r="D114" s="6"/>
      <c r="E114" s="4"/>
      <c r="F114" s="7"/>
      <c r="G114" s="7"/>
      <c r="H114" s="22"/>
      <c r="I114" s="474"/>
      <c r="J114" s="48"/>
      <c r="K114" s="47"/>
      <c r="L114" s="474"/>
      <c r="M114" s="479">
        <f>IFERROR(M86/J86-1,0)</f>
        <v>0</v>
      </c>
      <c r="N114" s="123">
        <v>0.03</v>
      </c>
      <c r="O114" s="123">
        <v>0.03</v>
      </c>
      <c r="P114" s="123">
        <v>0.03</v>
      </c>
      <c r="Q114" s="123">
        <v>0.03</v>
      </c>
      <c r="R114" s="835">
        <f t="shared" si="72"/>
        <v>0.03</v>
      </c>
      <c r="S114" s="835">
        <f t="shared" si="72"/>
        <v>0.03</v>
      </c>
      <c r="T114" s="835">
        <f t="shared" si="72"/>
        <v>0.03</v>
      </c>
      <c r="U114" s="835">
        <f t="shared" si="72"/>
        <v>0.03</v>
      </c>
      <c r="V114" s="836">
        <f t="shared" si="72"/>
        <v>0.03</v>
      </c>
      <c r="W114" s="7"/>
      <c r="X114" s="7"/>
      <c r="Y114" s="7"/>
      <c r="Z114" s="7"/>
      <c r="AA114" s="7"/>
    </row>
    <row r="115" spans="2:27" ht="12.5" hidden="1" customHeight="1" outlineLevel="1" thickBot="1" x14ac:dyDescent="0.4">
      <c r="B115" s="7"/>
      <c r="C115" s="8" t="s">
        <v>29</v>
      </c>
      <c r="D115" s="817"/>
      <c r="E115" s="3"/>
      <c r="F115" s="3"/>
      <c r="G115" s="3"/>
      <c r="H115" s="24"/>
      <c r="I115" s="3"/>
      <c r="J115" s="15"/>
      <c r="K115" s="24"/>
      <c r="L115" s="3"/>
      <c r="M115" s="25"/>
      <c r="N115" s="124">
        <v>0.02</v>
      </c>
      <c r="O115" s="124">
        <v>0.02</v>
      </c>
      <c r="P115" s="124">
        <v>0.02</v>
      </c>
      <c r="Q115" s="124">
        <v>0.02</v>
      </c>
      <c r="R115" s="837">
        <f t="shared" si="72"/>
        <v>0.02</v>
      </c>
      <c r="S115" s="837">
        <f t="shared" si="72"/>
        <v>0.02</v>
      </c>
      <c r="T115" s="837">
        <f t="shared" si="72"/>
        <v>0.02</v>
      </c>
      <c r="U115" s="837">
        <f t="shared" si="72"/>
        <v>0.02</v>
      </c>
      <c r="V115" s="838">
        <f t="shared" si="72"/>
        <v>0.02</v>
      </c>
      <c r="W115" s="7"/>
      <c r="X115" s="7"/>
      <c r="Y115" s="7"/>
      <c r="Z115" s="7"/>
      <c r="AA115" s="7"/>
    </row>
    <row r="116" spans="2:27" ht="12.5" customHeight="1" collapsed="1" thickTop="1" x14ac:dyDescent="0.35">
      <c r="B116" s="7"/>
      <c r="C116" s="318"/>
      <c r="D116" s="318"/>
      <c r="E116" s="318"/>
      <c r="F116" s="28"/>
      <c r="G116" s="28"/>
      <c r="H116" s="28"/>
      <c r="I116" s="28"/>
      <c r="J116" s="29"/>
      <c r="K116" s="29"/>
      <c r="L116" s="29"/>
      <c r="M116" s="188"/>
      <c r="N116" s="189"/>
      <c r="O116" s="29"/>
      <c r="P116" s="29"/>
      <c r="Q116" s="29"/>
      <c r="R116" s="29"/>
      <c r="S116" s="29"/>
      <c r="T116" s="29"/>
      <c r="U116" s="29"/>
      <c r="V116" s="29"/>
      <c r="W116" s="7"/>
      <c r="X116" s="7"/>
      <c r="Y116" s="7"/>
      <c r="Z116" s="7"/>
      <c r="AA116" s="7"/>
    </row>
    <row r="117" spans="2:27" ht="19" thickBot="1" x14ac:dyDescent="0.5">
      <c r="B117" s="7"/>
      <c r="C117" s="306" t="s">
        <v>60</v>
      </c>
      <c r="D117" s="306"/>
      <c r="E117" s="307"/>
      <c r="F117" s="308"/>
      <c r="G117" s="308"/>
      <c r="H117" s="308"/>
      <c r="I117" s="308"/>
      <c r="J117" s="308"/>
      <c r="K117" s="309"/>
      <c r="L117" s="310"/>
      <c r="M117" s="308"/>
      <c r="N117" s="309"/>
      <c r="O117" s="309"/>
      <c r="P117" s="309"/>
      <c r="Q117" s="309"/>
      <c r="R117" s="309"/>
      <c r="S117" s="309"/>
      <c r="T117" s="309"/>
      <c r="U117" s="309"/>
      <c r="V117" s="939" t="s">
        <v>295</v>
      </c>
      <c r="W117" s="7"/>
      <c r="X117" s="7"/>
      <c r="Y117" s="7"/>
      <c r="Z117" s="7"/>
      <c r="AA117" s="7"/>
    </row>
    <row r="118" spans="2:27" ht="12.5" hidden="1" customHeight="1" outlineLevel="1" thickTop="1" x14ac:dyDescent="0.35">
      <c r="B118" s="7"/>
      <c r="C118" s="560"/>
      <c r="D118" s="818"/>
      <c r="E118" s="561"/>
      <c r="F118" s="561"/>
      <c r="G118" s="561"/>
      <c r="H118" s="520" t="s">
        <v>43</v>
      </c>
      <c r="I118" s="521" t="s">
        <v>62</v>
      </c>
      <c r="J118" s="461" t="str">
        <f>$J$77</f>
        <v>T-12</v>
      </c>
      <c r="K118" s="520" t="s">
        <v>43</v>
      </c>
      <c r="L118" s="521" t="s">
        <v>62</v>
      </c>
      <c r="M118" s="562">
        <v>1</v>
      </c>
      <c r="N118" s="563">
        <f t="shared" ref="N118:V118" si="73">M118+1</f>
        <v>2</v>
      </c>
      <c r="O118" s="563">
        <f t="shared" si="73"/>
        <v>3</v>
      </c>
      <c r="P118" s="563">
        <f t="shared" si="73"/>
        <v>4</v>
      </c>
      <c r="Q118" s="563">
        <f t="shared" si="73"/>
        <v>5</v>
      </c>
      <c r="R118" s="563">
        <f t="shared" si="73"/>
        <v>6</v>
      </c>
      <c r="S118" s="563">
        <f t="shared" si="73"/>
        <v>7</v>
      </c>
      <c r="T118" s="563">
        <f t="shared" si="73"/>
        <v>8</v>
      </c>
      <c r="U118" s="563">
        <f t="shared" si="73"/>
        <v>9</v>
      </c>
      <c r="V118" s="122">
        <f t="shared" si="73"/>
        <v>10</v>
      </c>
      <c r="W118" s="7"/>
      <c r="X118" s="7"/>
      <c r="Y118" s="7"/>
      <c r="Z118" s="7"/>
      <c r="AA118" s="7"/>
    </row>
    <row r="119" spans="2:27" ht="12.5" hidden="1" customHeight="1" outlineLevel="1" x14ac:dyDescent="0.35">
      <c r="B119" s="7"/>
      <c r="C119" s="16" t="s">
        <v>120</v>
      </c>
      <c r="D119" s="806"/>
      <c r="E119" s="321"/>
      <c r="F119" s="321"/>
      <c r="G119" s="321"/>
      <c r="H119" s="512">
        <f>IFERROR(J119/J$68,0)</f>
        <v>0</v>
      </c>
      <c r="I119" s="343">
        <f>IFERROR(J119/$H$43,0)</f>
        <v>0</v>
      </c>
      <c r="J119" s="343">
        <f>M119</f>
        <v>0</v>
      </c>
      <c r="K119" s="491">
        <f>IFERROR(M119/M$68,0)</f>
        <v>0</v>
      </c>
      <c r="L119" s="343">
        <f>IFERROR(M119/$H$43,0)</f>
        <v>0</v>
      </c>
      <c r="M119" s="387">
        <f>IFERROR(G18*$H$43,0)</f>
        <v>0</v>
      </c>
      <c r="N119" s="343">
        <f t="shared" ref="N119:V119" si="74">IFERROR(M119*(1+N115),0)</f>
        <v>0</v>
      </c>
      <c r="O119" s="343">
        <f t="shared" si="74"/>
        <v>0</v>
      </c>
      <c r="P119" s="343">
        <f t="shared" si="74"/>
        <v>0</v>
      </c>
      <c r="Q119" s="343">
        <f t="shared" si="74"/>
        <v>0</v>
      </c>
      <c r="R119" s="343">
        <f t="shared" si="74"/>
        <v>0</v>
      </c>
      <c r="S119" s="343">
        <f t="shared" si="74"/>
        <v>0</v>
      </c>
      <c r="T119" s="343">
        <f t="shared" si="74"/>
        <v>0</v>
      </c>
      <c r="U119" s="343">
        <f t="shared" si="74"/>
        <v>0</v>
      </c>
      <c r="V119" s="344">
        <f t="shared" si="74"/>
        <v>0</v>
      </c>
      <c r="W119" s="7"/>
      <c r="X119" s="7"/>
      <c r="Y119" s="7"/>
      <c r="Z119" s="7"/>
      <c r="AA119" s="7"/>
    </row>
    <row r="120" spans="2:27" ht="12.5" hidden="1" customHeight="1" outlineLevel="1" thickBot="1" x14ac:dyDescent="0.4">
      <c r="B120" s="7"/>
      <c r="C120" s="50" t="s">
        <v>61</v>
      </c>
      <c r="D120" s="51"/>
      <c r="E120" s="51"/>
      <c r="F120" s="51"/>
      <c r="G120" s="51"/>
      <c r="H120" s="513">
        <f>IFERROR(J120/J68,0)</f>
        <v>0</v>
      </c>
      <c r="I120" s="52">
        <f>IFERROR(J120/$H$43,0)</f>
        <v>0</v>
      </c>
      <c r="J120" s="52">
        <f>J94-J119</f>
        <v>0</v>
      </c>
      <c r="K120" s="513">
        <f>IFERROR(M120/M68,0)</f>
        <v>0</v>
      </c>
      <c r="L120" s="52">
        <f>IFERROR(M120/$H$43,0)</f>
        <v>0</v>
      </c>
      <c r="M120" s="54">
        <f t="shared" ref="M120:V120" si="75">M94-M119</f>
        <v>0</v>
      </c>
      <c r="N120" s="52">
        <f t="shared" si="75"/>
        <v>0</v>
      </c>
      <c r="O120" s="52">
        <f t="shared" si="75"/>
        <v>0</v>
      </c>
      <c r="P120" s="52">
        <f t="shared" si="75"/>
        <v>0</v>
      </c>
      <c r="Q120" s="52">
        <f t="shared" si="75"/>
        <v>0</v>
      </c>
      <c r="R120" s="52">
        <f t="shared" si="75"/>
        <v>0</v>
      </c>
      <c r="S120" s="52">
        <f t="shared" si="75"/>
        <v>0</v>
      </c>
      <c r="T120" s="52">
        <f t="shared" si="75"/>
        <v>0</v>
      </c>
      <c r="U120" s="52">
        <f t="shared" si="75"/>
        <v>0</v>
      </c>
      <c r="V120" s="53">
        <f t="shared" si="75"/>
        <v>0</v>
      </c>
      <c r="W120" s="7"/>
      <c r="X120" s="7"/>
      <c r="Y120" s="7"/>
      <c r="Z120" s="7"/>
      <c r="AA120" s="7"/>
    </row>
    <row r="121" spans="2:27" ht="12.5" customHeight="1" collapsed="1" thickTop="1" x14ac:dyDescent="0.35">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row>
    <row r="122" spans="2:27" ht="19" thickBot="1" x14ac:dyDescent="0.5">
      <c r="B122" s="7"/>
      <c r="C122" s="306" t="s">
        <v>81</v>
      </c>
      <c r="D122" s="306"/>
      <c r="E122" s="307"/>
      <c r="F122" s="308"/>
      <c r="G122" s="308"/>
      <c r="H122" s="308"/>
      <c r="I122" s="308"/>
      <c r="J122" s="308"/>
      <c r="K122" s="309"/>
      <c r="L122" s="310"/>
      <c r="M122" s="308"/>
      <c r="N122" s="309"/>
      <c r="O122" s="309"/>
      <c r="P122" s="309"/>
      <c r="Q122" s="309"/>
      <c r="R122" s="309"/>
      <c r="S122" s="309"/>
      <c r="T122" s="309"/>
      <c r="U122" s="309"/>
      <c r="V122" s="939" t="s">
        <v>295</v>
      </c>
      <c r="W122" s="7"/>
      <c r="X122" s="7"/>
      <c r="Y122" s="7"/>
      <c r="Z122" s="7"/>
      <c r="AA122" s="7"/>
    </row>
    <row r="123" spans="2:27" ht="12.5" hidden="1" customHeight="1" outlineLevel="1" thickTop="1" x14ac:dyDescent="0.35">
      <c r="B123" s="7"/>
      <c r="C123" s="63"/>
      <c r="D123" s="819"/>
      <c r="E123" s="57"/>
      <c r="F123" s="57"/>
      <c r="G123" s="561"/>
      <c r="H123" s="110"/>
      <c r="I123" s="461"/>
      <c r="J123" s="461" t="str">
        <f>$J$77</f>
        <v>T-12</v>
      </c>
      <c r="K123" s="578"/>
      <c r="L123" s="563"/>
      <c r="M123" s="562">
        <v>1</v>
      </c>
      <c r="N123" s="563">
        <f t="shared" ref="N123:V123" si="76">M123+1</f>
        <v>2</v>
      </c>
      <c r="O123" s="61">
        <f t="shared" si="76"/>
        <v>3</v>
      </c>
      <c r="P123" s="61">
        <f t="shared" si="76"/>
        <v>4</v>
      </c>
      <c r="Q123" s="61">
        <f t="shared" si="76"/>
        <v>5</v>
      </c>
      <c r="R123" s="61">
        <f t="shared" si="76"/>
        <v>6</v>
      </c>
      <c r="S123" s="61">
        <f t="shared" si="76"/>
        <v>7</v>
      </c>
      <c r="T123" s="61">
        <f t="shared" si="76"/>
        <v>8</v>
      </c>
      <c r="U123" s="61">
        <f t="shared" si="76"/>
        <v>9</v>
      </c>
      <c r="V123" s="62">
        <f t="shared" si="76"/>
        <v>10</v>
      </c>
      <c r="W123" s="7"/>
      <c r="X123" s="7"/>
      <c r="Y123" s="7"/>
      <c r="Z123" s="7"/>
      <c r="AA123" s="7"/>
    </row>
    <row r="124" spans="2:27" ht="12.5" hidden="1" customHeight="1" outlineLevel="1" x14ac:dyDescent="0.35">
      <c r="B124" s="7"/>
      <c r="C124" s="70" t="s">
        <v>74</v>
      </c>
      <c r="D124" s="664"/>
      <c r="E124" s="12"/>
      <c r="F124" s="12"/>
      <c r="G124" s="12"/>
      <c r="H124" s="67"/>
      <c r="I124" s="12"/>
      <c r="J124" s="12"/>
      <c r="K124" s="67"/>
      <c r="L124" s="12"/>
      <c r="M124" s="68"/>
      <c r="N124" s="12"/>
      <c r="O124" s="12"/>
      <c r="P124" s="12"/>
      <c r="Q124" s="12"/>
      <c r="R124" s="12"/>
      <c r="S124" s="12"/>
      <c r="T124" s="12"/>
      <c r="U124" s="12"/>
      <c r="V124" s="13"/>
      <c r="W124" s="7"/>
      <c r="X124" s="7"/>
      <c r="Y124" s="7"/>
      <c r="Z124" s="7"/>
      <c r="AA124" s="7"/>
    </row>
    <row r="125" spans="2:27" ht="12.5" hidden="1" customHeight="1" outlineLevel="1" x14ac:dyDescent="0.35">
      <c r="B125" s="7"/>
      <c r="C125" s="388" t="s">
        <v>75</v>
      </c>
      <c r="D125" s="820"/>
      <c r="E125" s="7"/>
      <c r="F125" s="7"/>
      <c r="G125" s="7"/>
      <c r="H125" s="22"/>
      <c r="I125" s="7"/>
      <c r="J125" s="529">
        <f>M125</f>
        <v>0</v>
      </c>
      <c r="K125" s="22"/>
      <c r="L125" s="7"/>
      <c r="M125" s="514">
        <f>K7</f>
        <v>0</v>
      </c>
      <c r="N125" s="72">
        <f t="shared" ref="N125:V125" si="77">IF($K$15&gt;0,IF(N123&lt;=$K$15,M129,0),IF(N123&lt;=$G$20,M129,0))</f>
        <v>0</v>
      </c>
      <c r="O125" s="72">
        <f t="shared" si="77"/>
        <v>0</v>
      </c>
      <c r="P125" s="72">
        <f t="shared" si="77"/>
        <v>0</v>
      </c>
      <c r="Q125" s="72">
        <f t="shared" si="77"/>
        <v>0</v>
      </c>
      <c r="R125" s="72">
        <f t="shared" si="77"/>
        <v>0</v>
      </c>
      <c r="S125" s="72">
        <f t="shared" si="77"/>
        <v>0</v>
      </c>
      <c r="T125" s="72">
        <f t="shared" si="77"/>
        <v>0</v>
      </c>
      <c r="U125" s="72">
        <f t="shared" si="77"/>
        <v>0</v>
      </c>
      <c r="V125" s="330">
        <f t="shared" si="77"/>
        <v>0</v>
      </c>
      <c r="W125" s="7"/>
      <c r="X125" s="7"/>
      <c r="Y125" s="7"/>
      <c r="Z125" s="7"/>
      <c r="AA125" s="7"/>
    </row>
    <row r="126" spans="2:27" ht="12.5" hidden="1" customHeight="1" outlineLevel="1" x14ac:dyDescent="0.35">
      <c r="B126" s="7"/>
      <c r="C126" s="388" t="s">
        <v>77</v>
      </c>
      <c r="D126" s="820"/>
      <c r="E126" s="7"/>
      <c r="F126" s="7"/>
      <c r="G126" s="7"/>
      <c r="H126" s="22"/>
      <c r="I126" s="7"/>
      <c r="J126" s="7"/>
      <c r="K126" s="22"/>
      <c r="L126" s="526"/>
      <c r="M126" s="514">
        <f>Loans!G5</f>
        <v>0</v>
      </c>
      <c r="N126" s="72">
        <f>IF(N125&gt;0,Loans!H5,0)</f>
        <v>0</v>
      </c>
      <c r="O126" s="72">
        <f>IF(O125&gt;0,Loans!I5,0)</f>
        <v>0</v>
      </c>
      <c r="P126" s="72">
        <f>IF(P125&gt;0,Loans!J5,0)</f>
        <v>0</v>
      </c>
      <c r="Q126" s="72">
        <f>IF(Q125&gt;0,Loans!K5,0)</f>
        <v>0</v>
      </c>
      <c r="R126" s="72">
        <f>IF(R125&gt;0,Loans!L5,0)</f>
        <v>0</v>
      </c>
      <c r="S126" s="72">
        <f>IF(S125&gt;0,Loans!M5,0)</f>
        <v>0</v>
      </c>
      <c r="T126" s="72">
        <f>IF(T125&gt;0,Loans!N5,0)</f>
        <v>0</v>
      </c>
      <c r="U126" s="72">
        <f>IF(U125&gt;0,Loans!O5,0)</f>
        <v>0</v>
      </c>
      <c r="V126" s="330">
        <f>IF(V125&gt;0,Loans!P5,0)</f>
        <v>0</v>
      </c>
      <c r="W126" s="7"/>
      <c r="X126" s="7"/>
      <c r="Y126" s="7"/>
      <c r="Z126" s="7"/>
      <c r="AA126" s="7"/>
    </row>
    <row r="127" spans="2:27" ht="12.5" hidden="1" customHeight="1" outlineLevel="1" x14ac:dyDescent="0.35">
      <c r="B127" s="7"/>
      <c r="C127" s="388" t="s">
        <v>78</v>
      </c>
      <c r="D127" s="820"/>
      <c r="E127" s="7"/>
      <c r="F127" s="7"/>
      <c r="G127" s="7"/>
      <c r="H127" s="22"/>
      <c r="I127" s="7"/>
      <c r="J127" s="7"/>
      <c r="K127" s="22"/>
      <c r="L127" s="7"/>
      <c r="M127" s="514">
        <f>Loans!G4</f>
        <v>0</v>
      </c>
      <c r="N127" s="72">
        <f>IF(N125&gt;0,Loans!H4,0)</f>
        <v>0</v>
      </c>
      <c r="O127" s="72">
        <f>IF(O125&gt;0,Loans!I4,0)</f>
        <v>0</v>
      </c>
      <c r="P127" s="72">
        <f>IF(P125&gt;0,Loans!J4,0)</f>
        <v>0</v>
      </c>
      <c r="Q127" s="72">
        <f>IF(Q125&gt;0,Loans!K4,0)</f>
        <v>0</v>
      </c>
      <c r="R127" s="72">
        <f>IF(R125&gt;0,Loans!L4,0)</f>
        <v>0</v>
      </c>
      <c r="S127" s="72">
        <f>IF(S125&gt;0,Loans!M4,0)</f>
        <v>0</v>
      </c>
      <c r="T127" s="72">
        <f>IF(T125&gt;0,Loans!N4,0)</f>
        <v>0</v>
      </c>
      <c r="U127" s="72">
        <f>IF(U125&gt;0,Loans!O4,0)</f>
        <v>0</v>
      </c>
      <c r="V127" s="330">
        <f>IF(V125&gt;0,Loans!P4,0)</f>
        <v>0</v>
      </c>
      <c r="W127" s="7"/>
      <c r="X127" s="7"/>
      <c r="Y127" s="7"/>
      <c r="Z127" s="7"/>
      <c r="AA127" s="7"/>
    </row>
    <row r="128" spans="2:27" ht="12.5" hidden="1" customHeight="1" outlineLevel="1" x14ac:dyDescent="0.35">
      <c r="B128" s="7"/>
      <c r="C128" s="388" t="s">
        <v>76</v>
      </c>
      <c r="D128" s="820"/>
      <c r="E128" s="7"/>
      <c r="F128" s="7"/>
      <c r="G128" s="7"/>
      <c r="H128" s="22"/>
      <c r="I128" s="7"/>
      <c r="J128" s="72">
        <f>IFERROR(-PMT(K9,K12,K7),0)</f>
        <v>0</v>
      </c>
      <c r="K128" s="22"/>
      <c r="L128" s="7"/>
      <c r="M128" s="514">
        <f t="shared" ref="M128:V128" si="78">M126+M127</f>
        <v>0</v>
      </c>
      <c r="N128" s="72">
        <f t="shared" si="78"/>
        <v>0</v>
      </c>
      <c r="O128" s="72">
        <f t="shared" si="78"/>
        <v>0</v>
      </c>
      <c r="P128" s="72">
        <f t="shared" si="78"/>
        <v>0</v>
      </c>
      <c r="Q128" s="72">
        <f t="shared" si="78"/>
        <v>0</v>
      </c>
      <c r="R128" s="72">
        <f t="shared" si="78"/>
        <v>0</v>
      </c>
      <c r="S128" s="72">
        <f t="shared" si="78"/>
        <v>0</v>
      </c>
      <c r="T128" s="72">
        <f t="shared" si="78"/>
        <v>0</v>
      </c>
      <c r="U128" s="72">
        <f t="shared" si="78"/>
        <v>0</v>
      </c>
      <c r="V128" s="330">
        <f t="shared" si="78"/>
        <v>0</v>
      </c>
      <c r="W128" s="7"/>
      <c r="X128" s="7"/>
      <c r="Y128" s="7"/>
      <c r="Z128" s="7"/>
      <c r="AA128" s="7"/>
    </row>
    <row r="129" spans="2:27" ht="12.5" hidden="1" customHeight="1" outlineLevel="1" x14ac:dyDescent="0.35">
      <c r="B129" s="7"/>
      <c r="C129" s="315" t="s">
        <v>79</v>
      </c>
      <c r="D129" s="821"/>
      <c r="E129" s="316"/>
      <c r="F129" s="316"/>
      <c r="G129" s="316"/>
      <c r="H129" s="392"/>
      <c r="I129" s="316"/>
      <c r="J129" s="530">
        <f>M129</f>
        <v>0</v>
      </c>
      <c r="K129" s="392"/>
      <c r="L129" s="316"/>
      <c r="M129" s="515">
        <f t="shared" ref="M129:V129" si="79">M125-M127</f>
        <v>0</v>
      </c>
      <c r="N129" s="390">
        <f t="shared" si="79"/>
        <v>0</v>
      </c>
      <c r="O129" s="390">
        <f t="shared" si="79"/>
        <v>0</v>
      </c>
      <c r="P129" s="390">
        <f t="shared" si="79"/>
        <v>0</v>
      </c>
      <c r="Q129" s="390">
        <f t="shared" si="79"/>
        <v>0</v>
      </c>
      <c r="R129" s="390">
        <f t="shared" si="79"/>
        <v>0</v>
      </c>
      <c r="S129" s="390">
        <f t="shared" si="79"/>
        <v>0</v>
      </c>
      <c r="T129" s="390">
        <f t="shared" si="79"/>
        <v>0</v>
      </c>
      <c r="U129" s="390">
        <f t="shared" si="79"/>
        <v>0</v>
      </c>
      <c r="V129" s="391">
        <f t="shared" si="79"/>
        <v>0</v>
      </c>
      <c r="W129" s="7"/>
      <c r="X129" s="7"/>
      <c r="Y129" s="7"/>
      <c r="Z129" s="7"/>
      <c r="AA129" s="7"/>
    </row>
    <row r="130" spans="2:27" ht="12.5" hidden="1" customHeight="1" outlineLevel="1" x14ac:dyDescent="0.35">
      <c r="B130" s="7"/>
      <c r="C130" s="70" t="s">
        <v>80</v>
      </c>
      <c r="D130" s="664"/>
      <c r="E130" s="12"/>
      <c r="F130" s="12"/>
      <c r="G130" s="12"/>
      <c r="H130" s="67"/>
      <c r="I130" s="12"/>
      <c r="J130" s="12"/>
      <c r="K130" s="469"/>
      <c r="L130" s="468"/>
      <c r="M130" s="470" t="str">
        <f>IF(AND(I123=$K$15,M131&lt;I129),"ERROR", "")</f>
        <v/>
      </c>
      <c r="N130" s="468" t="str">
        <f t="shared" ref="N130:V130" si="80">IF(AND(M123=$K$15,N131&lt;M129),"ERROR", "")</f>
        <v/>
      </c>
      <c r="O130" s="468" t="str">
        <f t="shared" si="80"/>
        <v/>
      </c>
      <c r="P130" s="468" t="str">
        <f t="shared" si="80"/>
        <v/>
      </c>
      <c r="Q130" s="468" t="str">
        <f t="shared" si="80"/>
        <v/>
      </c>
      <c r="R130" s="468" t="str">
        <f t="shared" si="80"/>
        <v/>
      </c>
      <c r="S130" s="468" t="str">
        <f t="shared" si="80"/>
        <v/>
      </c>
      <c r="T130" s="468" t="str">
        <f t="shared" si="80"/>
        <v/>
      </c>
      <c r="U130" s="468" t="str">
        <f t="shared" si="80"/>
        <v/>
      </c>
      <c r="V130" s="471" t="str">
        <f t="shared" si="80"/>
        <v/>
      </c>
      <c r="W130" s="7"/>
      <c r="X130" s="7"/>
      <c r="Y130" s="7"/>
      <c r="Z130" s="7"/>
      <c r="AA130" s="7"/>
    </row>
    <row r="131" spans="2:27" ht="12.5" hidden="1" customHeight="1" outlineLevel="1" x14ac:dyDescent="0.35">
      <c r="B131" s="7"/>
      <c r="C131" s="388" t="s">
        <v>75</v>
      </c>
      <c r="D131" s="820"/>
      <c r="E131" s="7"/>
      <c r="F131" s="7"/>
      <c r="G131" s="7"/>
      <c r="H131" s="22"/>
      <c r="I131" s="7"/>
      <c r="J131" s="7"/>
      <c r="K131" s="22"/>
      <c r="L131" s="7"/>
      <c r="M131" s="549">
        <v>0</v>
      </c>
      <c r="N131" s="72">
        <f>IF(N123-1=$K$15,$K$14,0)</f>
        <v>0</v>
      </c>
      <c r="O131" s="72">
        <f t="shared" ref="O131:V131" si="81">IF(O123-1=$K$15,$K$14,
IF(AND(O123&gt;$K$15,O123&lt;=$G$20),N135,0))</f>
        <v>0</v>
      </c>
      <c r="P131" s="72">
        <f t="shared" si="81"/>
        <v>0</v>
      </c>
      <c r="Q131" s="72">
        <f t="shared" si="81"/>
        <v>0</v>
      </c>
      <c r="R131" s="72">
        <f t="shared" si="81"/>
        <v>0</v>
      </c>
      <c r="S131" s="72">
        <f t="shared" si="81"/>
        <v>0</v>
      </c>
      <c r="T131" s="72">
        <f t="shared" si="81"/>
        <v>0</v>
      </c>
      <c r="U131" s="72">
        <f t="shared" si="81"/>
        <v>0</v>
      </c>
      <c r="V131" s="330">
        <f t="shared" si="81"/>
        <v>0</v>
      </c>
      <c r="W131" s="7"/>
      <c r="X131" s="7"/>
      <c r="Y131" s="7"/>
      <c r="Z131" s="7"/>
      <c r="AA131" s="7"/>
    </row>
    <row r="132" spans="2:27" ht="12.5" hidden="1" customHeight="1" outlineLevel="1" x14ac:dyDescent="0.35">
      <c r="B132" s="7"/>
      <c r="C132" s="388" t="s">
        <v>77</v>
      </c>
      <c r="D132" s="820"/>
      <c r="E132" s="7"/>
      <c r="F132" s="7"/>
      <c r="G132" s="7"/>
      <c r="H132" s="22"/>
      <c r="I132" s="7"/>
      <c r="J132" s="7"/>
      <c r="K132" s="22"/>
      <c r="L132" s="7"/>
      <c r="M132" s="514">
        <f>Loans!X5</f>
        <v>0</v>
      </c>
      <c r="N132" s="72">
        <f>IF(N131&gt;0,Loans!Y5,0)</f>
        <v>0</v>
      </c>
      <c r="O132" s="72">
        <f>IF(O131&gt;0,Loans!Z5,0)</f>
        <v>0</v>
      </c>
      <c r="P132" s="72">
        <f>IF(P131&gt;0,Loans!AA5,0)</f>
        <v>0</v>
      </c>
      <c r="Q132" s="72">
        <f>IF(Q131&gt;0,Loans!AB5,0)</f>
        <v>0</v>
      </c>
      <c r="R132" s="72">
        <f>IF(R131&gt;0,Loans!AC5,0)</f>
        <v>0</v>
      </c>
      <c r="S132" s="72">
        <f>IF(S131&gt;0,Loans!AD5,0)</f>
        <v>0</v>
      </c>
      <c r="T132" s="72">
        <f>IF(T131&gt;0,Loans!AE5,0)</f>
        <v>0</v>
      </c>
      <c r="U132" s="72">
        <f>IF(U131&gt;0,Loans!AF5,0)</f>
        <v>0</v>
      </c>
      <c r="V132" s="330">
        <f>IF(V131&gt;0,Loans!AG5,0)</f>
        <v>0</v>
      </c>
      <c r="W132" s="7"/>
      <c r="X132" s="7"/>
      <c r="Y132" s="7"/>
      <c r="Z132" s="7"/>
      <c r="AA132" s="7"/>
    </row>
    <row r="133" spans="2:27" ht="12.5" hidden="1" customHeight="1" outlineLevel="1" x14ac:dyDescent="0.35">
      <c r="B133" s="7"/>
      <c r="C133" s="388" t="s">
        <v>78</v>
      </c>
      <c r="D133" s="820"/>
      <c r="E133" s="7"/>
      <c r="F133" s="7"/>
      <c r="G133" s="7"/>
      <c r="H133" s="22"/>
      <c r="I133" s="7"/>
      <c r="J133" s="7"/>
      <c r="K133" s="22"/>
      <c r="L133" s="7"/>
      <c r="M133" s="514">
        <f>Loans!X4</f>
        <v>0</v>
      </c>
      <c r="N133" s="72">
        <f>IF(N131&gt;0,Loans!Y4,0)</f>
        <v>0</v>
      </c>
      <c r="O133" s="72">
        <f>IF(O131&gt;0,Loans!Z4,0)</f>
        <v>0</v>
      </c>
      <c r="P133" s="72">
        <f>IF(P131&gt;0,Loans!AA4,0)</f>
        <v>0</v>
      </c>
      <c r="Q133" s="72">
        <f>IF(Q131&gt;0,Loans!AB4,0)</f>
        <v>0</v>
      </c>
      <c r="R133" s="72">
        <f>IF(R131&gt;0,Loans!AC4,0)</f>
        <v>0</v>
      </c>
      <c r="S133" s="72">
        <f>IF(S131&gt;0,Loans!AD4,0)</f>
        <v>0</v>
      </c>
      <c r="T133" s="72">
        <f>IF(T131&gt;0,Loans!AE4,0)</f>
        <v>0</v>
      </c>
      <c r="U133" s="72">
        <f>IF(U131&gt;0,Loans!AF4,0)</f>
        <v>0</v>
      </c>
      <c r="V133" s="330">
        <f>IF(V131&gt;0,Loans!AG4,0)</f>
        <v>0</v>
      </c>
      <c r="W133" s="7"/>
      <c r="X133" s="7"/>
      <c r="Y133" s="7"/>
      <c r="Z133" s="7"/>
      <c r="AA133" s="7"/>
    </row>
    <row r="134" spans="2:27" ht="12.5" hidden="1" customHeight="1" outlineLevel="1" x14ac:dyDescent="0.35">
      <c r="B134" s="7"/>
      <c r="C134" s="388" t="s">
        <v>76</v>
      </c>
      <c r="D134" s="820"/>
      <c r="E134" s="7"/>
      <c r="F134" s="7"/>
      <c r="G134" s="7"/>
      <c r="H134" s="22"/>
      <c r="I134" s="7"/>
      <c r="J134" s="7"/>
      <c r="K134" s="22"/>
      <c r="L134" s="7"/>
      <c r="M134" s="514">
        <f t="shared" ref="M134:V134" si="82">SUM(M132:M133)</f>
        <v>0</v>
      </c>
      <c r="N134" s="72">
        <f t="shared" si="82"/>
        <v>0</v>
      </c>
      <c r="O134" s="72">
        <f t="shared" si="82"/>
        <v>0</v>
      </c>
      <c r="P134" s="72">
        <f t="shared" si="82"/>
        <v>0</v>
      </c>
      <c r="Q134" s="72">
        <f t="shared" si="82"/>
        <v>0</v>
      </c>
      <c r="R134" s="72">
        <f t="shared" si="82"/>
        <v>0</v>
      </c>
      <c r="S134" s="72">
        <f t="shared" si="82"/>
        <v>0</v>
      </c>
      <c r="T134" s="72">
        <f t="shared" si="82"/>
        <v>0</v>
      </c>
      <c r="U134" s="72">
        <f t="shared" si="82"/>
        <v>0</v>
      </c>
      <c r="V134" s="330">
        <f t="shared" si="82"/>
        <v>0</v>
      </c>
      <c r="W134" s="7"/>
      <c r="X134" s="7"/>
      <c r="Y134" s="7"/>
      <c r="Z134" s="7"/>
      <c r="AA134" s="7"/>
    </row>
    <row r="135" spans="2:27" ht="12.5" hidden="1" customHeight="1" outlineLevel="1" x14ac:dyDescent="0.35">
      <c r="B135" s="7"/>
      <c r="C135" s="315" t="s">
        <v>79</v>
      </c>
      <c r="D135" s="821"/>
      <c r="E135" s="316"/>
      <c r="F135" s="316"/>
      <c r="G135" s="316"/>
      <c r="H135" s="392"/>
      <c r="I135" s="316"/>
      <c r="J135" s="316"/>
      <c r="K135" s="392"/>
      <c r="L135" s="316"/>
      <c r="M135" s="515">
        <f t="shared" ref="M135:V135" si="83">M131-M133</f>
        <v>0</v>
      </c>
      <c r="N135" s="390">
        <f t="shared" si="83"/>
        <v>0</v>
      </c>
      <c r="O135" s="390">
        <f t="shared" si="83"/>
        <v>0</v>
      </c>
      <c r="P135" s="390">
        <f t="shared" si="83"/>
        <v>0</v>
      </c>
      <c r="Q135" s="390">
        <f t="shared" si="83"/>
        <v>0</v>
      </c>
      <c r="R135" s="390">
        <f t="shared" si="83"/>
        <v>0</v>
      </c>
      <c r="S135" s="390">
        <f t="shared" si="83"/>
        <v>0</v>
      </c>
      <c r="T135" s="390">
        <f t="shared" si="83"/>
        <v>0</v>
      </c>
      <c r="U135" s="390">
        <f t="shared" si="83"/>
        <v>0</v>
      </c>
      <c r="V135" s="391">
        <f t="shared" si="83"/>
        <v>0</v>
      </c>
      <c r="W135" s="7"/>
      <c r="X135" s="7"/>
      <c r="Y135" s="7"/>
      <c r="Z135" s="7"/>
      <c r="AA135" s="7"/>
    </row>
    <row r="136" spans="2:27" ht="12.5" hidden="1" customHeight="1" outlineLevel="1" x14ac:dyDescent="0.35">
      <c r="B136" s="7"/>
      <c r="C136" s="70" t="s">
        <v>76</v>
      </c>
      <c r="D136" s="664"/>
      <c r="E136" s="12"/>
      <c r="F136" s="12"/>
      <c r="G136" s="12"/>
      <c r="H136" s="67"/>
      <c r="I136" s="12"/>
      <c r="J136" s="12"/>
      <c r="K136" s="67"/>
      <c r="L136" s="12"/>
      <c r="M136" s="68"/>
      <c r="N136" s="12"/>
      <c r="O136" s="12"/>
      <c r="P136" s="12"/>
      <c r="Q136" s="12"/>
      <c r="R136" s="12"/>
      <c r="S136" s="12"/>
      <c r="T136" s="12"/>
      <c r="U136" s="12"/>
      <c r="V136" s="13"/>
      <c r="W136" s="7"/>
      <c r="X136" s="7"/>
      <c r="Y136" s="7"/>
      <c r="Z136" s="7"/>
      <c r="AA136" s="7"/>
    </row>
    <row r="137" spans="2:27" ht="12.5" hidden="1" customHeight="1" outlineLevel="1" x14ac:dyDescent="0.35">
      <c r="B137" s="7"/>
      <c r="C137" s="388" t="s">
        <v>75</v>
      </c>
      <c r="D137" s="820"/>
      <c r="E137" s="7"/>
      <c r="F137" s="7"/>
      <c r="G137" s="7"/>
      <c r="H137" s="22"/>
      <c r="I137" s="7"/>
      <c r="J137" s="72">
        <f>J125+J131</f>
        <v>0</v>
      </c>
      <c r="K137" s="22"/>
      <c r="L137" s="7"/>
      <c r="M137" s="514">
        <f t="shared" ref="M137:V137" si="84">M125+M131</f>
        <v>0</v>
      </c>
      <c r="N137" s="72">
        <f t="shared" si="84"/>
        <v>0</v>
      </c>
      <c r="O137" s="72">
        <f t="shared" si="84"/>
        <v>0</v>
      </c>
      <c r="P137" s="72">
        <f t="shared" si="84"/>
        <v>0</v>
      </c>
      <c r="Q137" s="72">
        <f t="shared" si="84"/>
        <v>0</v>
      </c>
      <c r="R137" s="72">
        <f t="shared" si="84"/>
        <v>0</v>
      </c>
      <c r="S137" s="72">
        <f t="shared" si="84"/>
        <v>0</v>
      </c>
      <c r="T137" s="72">
        <f t="shared" si="84"/>
        <v>0</v>
      </c>
      <c r="U137" s="72">
        <f t="shared" si="84"/>
        <v>0</v>
      </c>
      <c r="V137" s="330">
        <f t="shared" si="84"/>
        <v>0</v>
      </c>
      <c r="W137" s="7"/>
      <c r="X137" s="7"/>
      <c r="Y137" s="7"/>
      <c r="Z137" s="7"/>
      <c r="AA137" s="7"/>
    </row>
    <row r="138" spans="2:27" ht="12.5" hidden="1" customHeight="1" outlineLevel="1" x14ac:dyDescent="0.35">
      <c r="B138" s="7"/>
      <c r="C138" s="388" t="s">
        <v>77</v>
      </c>
      <c r="D138" s="820"/>
      <c r="E138" s="7"/>
      <c r="F138" s="7"/>
      <c r="G138" s="7"/>
      <c r="H138" s="22"/>
      <c r="I138" s="7"/>
      <c r="J138" s="7"/>
      <c r="K138" s="22"/>
      <c r="L138" s="7"/>
      <c r="M138" s="514">
        <f t="shared" ref="M138:V138" si="85">M126+M132</f>
        <v>0</v>
      </c>
      <c r="N138" s="72">
        <f t="shared" si="85"/>
        <v>0</v>
      </c>
      <c r="O138" s="72">
        <f t="shared" si="85"/>
        <v>0</v>
      </c>
      <c r="P138" s="72">
        <f t="shared" si="85"/>
        <v>0</v>
      </c>
      <c r="Q138" s="72">
        <f t="shared" si="85"/>
        <v>0</v>
      </c>
      <c r="R138" s="72">
        <f t="shared" si="85"/>
        <v>0</v>
      </c>
      <c r="S138" s="72">
        <f t="shared" si="85"/>
        <v>0</v>
      </c>
      <c r="T138" s="72">
        <f t="shared" si="85"/>
        <v>0</v>
      </c>
      <c r="U138" s="72">
        <f t="shared" si="85"/>
        <v>0</v>
      </c>
      <c r="V138" s="330">
        <f t="shared" si="85"/>
        <v>0</v>
      </c>
      <c r="W138" s="7"/>
      <c r="X138" s="7"/>
      <c r="Y138" s="7"/>
      <c r="Z138" s="7"/>
      <c r="AA138" s="7"/>
    </row>
    <row r="139" spans="2:27" ht="12.5" hidden="1" customHeight="1" outlineLevel="1" x14ac:dyDescent="0.35">
      <c r="B139" s="7"/>
      <c r="C139" s="388" t="s">
        <v>78</v>
      </c>
      <c r="D139" s="820"/>
      <c r="E139" s="7"/>
      <c r="F139" s="7"/>
      <c r="G139" s="7"/>
      <c r="H139" s="22"/>
      <c r="I139" s="7"/>
      <c r="J139" s="7"/>
      <c r="K139" s="22"/>
      <c r="L139" s="7"/>
      <c r="M139" s="514">
        <f t="shared" ref="M139:V139" si="86">M127+M133</f>
        <v>0</v>
      </c>
      <c r="N139" s="72">
        <f t="shared" si="86"/>
        <v>0</v>
      </c>
      <c r="O139" s="72">
        <f t="shared" si="86"/>
        <v>0</v>
      </c>
      <c r="P139" s="72">
        <f t="shared" si="86"/>
        <v>0</v>
      </c>
      <c r="Q139" s="72">
        <f t="shared" si="86"/>
        <v>0</v>
      </c>
      <c r="R139" s="72">
        <f t="shared" si="86"/>
        <v>0</v>
      </c>
      <c r="S139" s="72">
        <f t="shared" si="86"/>
        <v>0</v>
      </c>
      <c r="T139" s="72">
        <f t="shared" si="86"/>
        <v>0</v>
      </c>
      <c r="U139" s="72">
        <f t="shared" si="86"/>
        <v>0</v>
      </c>
      <c r="V139" s="330">
        <f t="shared" si="86"/>
        <v>0</v>
      </c>
      <c r="W139" s="7"/>
      <c r="X139" s="7"/>
      <c r="Y139" s="7"/>
      <c r="Z139" s="7"/>
      <c r="AA139" s="7"/>
    </row>
    <row r="140" spans="2:27" ht="12.5" hidden="1" customHeight="1" outlineLevel="1" x14ac:dyDescent="0.35">
      <c r="B140" s="7"/>
      <c r="C140" s="388" t="s">
        <v>76</v>
      </c>
      <c r="D140" s="820"/>
      <c r="E140" s="7"/>
      <c r="F140" s="7"/>
      <c r="G140" s="7"/>
      <c r="H140" s="22"/>
      <c r="I140" s="7"/>
      <c r="J140" s="72">
        <f>IFERROR(J128+J134,0)</f>
        <v>0</v>
      </c>
      <c r="K140" s="22"/>
      <c r="L140" s="7"/>
      <c r="M140" s="514">
        <f t="shared" ref="M140:V140" si="87">M128+M134</f>
        <v>0</v>
      </c>
      <c r="N140" s="72">
        <f t="shared" si="87"/>
        <v>0</v>
      </c>
      <c r="O140" s="72">
        <f t="shared" si="87"/>
        <v>0</v>
      </c>
      <c r="P140" s="72">
        <f t="shared" si="87"/>
        <v>0</v>
      </c>
      <c r="Q140" s="72">
        <f t="shared" si="87"/>
        <v>0</v>
      </c>
      <c r="R140" s="72">
        <f t="shared" si="87"/>
        <v>0</v>
      </c>
      <c r="S140" s="72">
        <f t="shared" si="87"/>
        <v>0</v>
      </c>
      <c r="T140" s="72">
        <f t="shared" si="87"/>
        <v>0</v>
      </c>
      <c r="U140" s="72">
        <f t="shared" si="87"/>
        <v>0</v>
      </c>
      <c r="V140" s="330">
        <f t="shared" si="87"/>
        <v>0</v>
      </c>
      <c r="W140" s="7"/>
      <c r="X140" s="7"/>
      <c r="Y140" s="7"/>
      <c r="Z140" s="7"/>
      <c r="AA140" s="7"/>
    </row>
    <row r="141" spans="2:27" ht="12.5" hidden="1" customHeight="1" outlineLevel="1" x14ac:dyDescent="0.35">
      <c r="B141" s="7"/>
      <c r="C141" s="315" t="s">
        <v>79</v>
      </c>
      <c r="D141" s="821"/>
      <c r="E141" s="316"/>
      <c r="F141" s="316"/>
      <c r="G141" s="316"/>
      <c r="H141" s="392"/>
      <c r="I141" s="316"/>
      <c r="J141" s="390">
        <f>J129+J135</f>
        <v>0</v>
      </c>
      <c r="K141" s="392"/>
      <c r="L141" s="316"/>
      <c r="M141" s="515">
        <f t="shared" ref="M141:V141" si="88">M129+M135</f>
        <v>0</v>
      </c>
      <c r="N141" s="390">
        <f t="shared" si="88"/>
        <v>0</v>
      </c>
      <c r="O141" s="390">
        <f t="shared" si="88"/>
        <v>0</v>
      </c>
      <c r="P141" s="390">
        <f t="shared" si="88"/>
        <v>0</v>
      </c>
      <c r="Q141" s="390">
        <f t="shared" si="88"/>
        <v>0</v>
      </c>
      <c r="R141" s="390">
        <f t="shared" si="88"/>
        <v>0</v>
      </c>
      <c r="S141" s="390">
        <f t="shared" si="88"/>
        <v>0</v>
      </c>
      <c r="T141" s="390">
        <f t="shared" si="88"/>
        <v>0</v>
      </c>
      <c r="U141" s="390">
        <f t="shared" si="88"/>
        <v>0</v>
      </c>
      <c r="V141" s="391">
        <f t="shared" si="88"/>
        <v>0</v>
      </c>
      <c r="W141" s="7"/>
      <c r="X141" s="7"/>
      <c r="Y141" s="7"/>
      <c r="Z141" s="7"/>
      <c r="AA141" s="7"/>
    </row>
    <row r="142" spans="2:27" ht="12.5" hidden="1" customHeight="1" outlineLevel="1" x14ac:dyDescent="0.35">
      <c r="B142" s="7"/>
      <c r="C142" s="18" t="s">
        <v>117</v>
      </c>
      <c r="D142" s="19"/>
      <c r="E142" s="19"/>
      <c r="F142" s="19"/>
      <c r="G142" s="19"/>
      <c r="H142" s="111"/>
      <c r="I142" s="19"/>
      <c r="J142" s="20">
        <f>IF(J137&gt;0,J120-J140,0)</f>
        <v>0</v>
      </c>
      <c r="K142" s="111"/>
      <c r="L142" s="19"/>
      <c r="M142" s="516">
        <f t="shared" ref="M142:V142" si="89">IF(M137&gt;0,M120-M140,0)</f>
        <v>0</v>
      </c>
      <c r="N142" s="20">
        <f t="shared" si="89"/>
        <v>0</v>
      </c>
      <c r="O142" s="20">
        <f t="shared" si="89"/>
        <v>0</v>
      </c>
      <c r="P142" s="20">
        <f t="shared" si="89"/>
        <v>0</v>
      </c>
      <c r="Q142" s="20">
        <f t="shared" si="89"/>
        <v>0</v>
      </c>
      <c r="R142" s="20">
        <f t="shared" si="89"/>
        <v>0</v>
      </c>
      <c r="S142" s="20">
        <f t="shared" si="89"/>
        <v>0</v>
      </c>
      <c r="T142" s="20">
        <f t="shared" si="89"/>
        <v>0</v>
      </c>
      <c r="U142" s="20">
        <f t="shared" si="89"/>
        <v>0</v>
      </c>
      <c r="V142" s="21">
        <f t="shared" si="89"/>
        <v>0</v>
      </c>
      <c r="W142" s="7"/>
      <c r="X142" s="7"/>
      <c r="Y142" s="7"/>
      <c r="Z142" s="7"/>
      <c r="AA142" s="7"/>
    </row>
    <row r="143" spans="2:27" ht="12.5" hidden="1" customHeight="1" outlineLevel="1" x14ac:dyDescent="0.35">
      <c r="B143" s="7"/>
      <c r="C143" s="393"/>
      <c r="D143" s="7"/>
      <c r="E143" s="7"/>
      <c r="F143" s="394"/>
      <c r="G143" s="394" t="s">
        <v>82</v>
      </c>
      <c r="H143" s="22"/>
      <c r="I143" s="7"/>
      <c r="J143" s="396">
        <f>IFERROR(J94/J140,0)</f>
        <v>0</v>
      </c>
      <c r="K143" s="537"/>
      <c r="L143" s="395"/>
      <c r="M143" s="517">
        <f>IFERROR(M94/M140,0)</f>
        <v>0</v>
      </c>
      <c r="N143" s="396" t="str">
        <f t="shared" ref="N143:V143" si="90">IFERROR(N94/N140,"")</f>
        <v/>
      </c>
      <c r="O143" s="396" t="str">
        <f t="shared" si="90"/>
        <v/>
      </c>
      <c r="P143" s="396" t="str">
        <f t="shared" si="90"/>
        <v/>
      </c>
      <c r="Q143" s="396" t="str">
        <f t="shared" si="90"/>
        <v/>
      </c>
      <c r="R143" s="396" t="str">
        <f t="shared" si="90"/>
        <v/>
      </c>
      <c r="S143" s="396" t="str">
        <f t="shared" si="90"/>
        <v/>
      </c>
      <c r="T143" s="396" t="str">
        <f t="shared" si="90"/>
        <v/>
      </c>
      <c r="U143" s="396" t="str">
        <f t="shared" si="90"/>
        <v/>
      </c>
      <c r="V143" s="397" t="str">
        <f t="shared" si="90"/>
        <v/>
      </c>
      <c r="W143" s="7"/>
      <c r="X143" s="7"/>
      <c r="Y143" s="7"/>
      <c r="Z143" s="7"/>
      <c r="AA143" s="7"/>
    </row>
    <row r="144" spans="2:27" ht="12.5" hidden="1" customHeight="1" outlineLevel="1" x14ac:dyDescent="0.35">
      <c r="B144" s="7"/>
      <c r="C144" s="393"/>
      <c r="D144" s="7"/>
      <c r="E144" s="7"/>
      <c r="F144" s="394"/>
      <c r="G144" s="394" t="s">
        <v>86</v>
      </c>
      <c r="H144" s="22"/>
      <c r="I144" s="7"/>
      <c r="J144" s="398" t="str">
        <f>IFERROR(IF(J141&gt;0,J141/J96,""),0)</f>
        <v/>
      </c>
      <c r="K144" s="537"/>
      <c r="L144" s="395"/>
      <c r="M144" s="518" t="str">
        <f t="shared" ref="M144:V144" si="91">IFERROR(IF(M141&gt;0,M141/M96,""),0)</f>
        <v/>
      </c>
      <c r="N144" s="398" t="str">
        <f t="shared" si="91"/>
        <v/>
      </c>
      <c r="O144" s="398" t="str">
        <f t="shared" si="91"/>
        <v/>
      </c>
      <c r="P144" s="398" t="str">
        <f t="shared" si="91"/>
        <v/>
      </c>
      <c r="Q144" s="398" t="str">
        <f t="shared" si="91"/>
        <v/>
      </c>
      <c r="R144" s="398" t="str">
        <f t="shared" si="91"/>
        <v/>
      </c>
      <c r="S144" s="398" t="str">
        <f t="shared" si="91"/>
        <v/>
      </c>
      <c r="T144" s="398" t="str">
        <f t="shared" si="91"/>
        <v/>
      </c>
      <c r="U144" s="398" t="str">
        <f t="shared" si="91"/>
        <v/>
      </c>
      <c r="V144" s="399" t="str">
        <f t="shared" si="91"/>
        <v/>
      </c>
      <c r="W144" s="7"/>
      <c r="X144" s="7"/>
      <c r="Y144" s="7"/>
      <c r="Z144" s="7"/>
      <c r="AA144" s="7"/>
    </row>
    <row r="145" spans="2:27" ht="12.5" hidden="1" customHeight="1" outlineLevel="1" thickBot="1" x14ac:dyDescent="0.4">
      <c r="B145" s="7"/>
      <c r="C145" s="400"/>
      <c r="D145" s="401"/>
      <c r="E145" s="401"/>
      <c r="F145" s="402"/>
      <c r="G145" s="402" t="s">
        <v>87</v>
      </c>
      <c r="H145" s="408"/>
      <c r="I145" s="401"/>
      <c r="J145" s="404" t="str">
        <f>IFERROR(IF(J141&gt;0,J94/J141,""),0)</f>
        <v/>
      </c>
      <c r="K145" s="550"/>
      <c r="L145" s="403"/>
      <c r="M145" s="519" t="str">
        <f t="shared" ref="M145:V145" si="92">IFERROR(IF(M141&gt;0,M94/M141,""),0)</f>
        <v/>
      </c>
      <c r="N145" s="404" t="str">
        <f t="shared" si="92"/>
        <v/>
      </c>
      <c r="O145" s="404" t="str">
        <f t="shared" si="92"/>
        <v/>
      </c>
      <c r="P145" s="404" t="str">
        <f t="shared" si="92"/>
        <v/>
      </c>
      <c r="Q145" s="404" t="str">
        <f t="shared" si="92"/>
        <v/>
      </c>
      <c r="R145" s="404" t="str">
        <f t="shared" si="92"/>
        <v/>
      </c>
      <c r="S145" s="404" t="str">
        <f t="shared" si="92"/>
        <v/>
      </c>
      <c r="T145" s="404" t="str">
        <f t="shared" si="92"/>
        <v/>
      </c>
      <c r="U145" s="404" t="str">
        <f t="shared" si="92"/>
        <v/>
      </c>
      <c r="V145" s="405" t="str">
        <f t="shared" si="92"/>
        <v/>
      </c>
      <c r="W145" s="7"/>
      <c r="X145" s="7"/>
      <c r="Y145" s="7"/>
      <c r="Z145" s="7"/>
      <c r="AA145" s="7"/>
    </row>
    <row r="146" spans="2:27" ht="12.5" customHeight="1" collapsed="1" thickTop="1" x14ac:dyDescent="0.35">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spans="2:27" ht="19" thickBot="1" x14ac:dyDescent="0.5">
      <c r="B147" s="7"/>
      <c r="C147" s="306" t="s">
        <v>248</v>
      </c>
      <c r="D147" s="306"/>
      <c r="E147" s="307"/>
      <c r="F147" s="308"/>
      <c r="G147" s="308"/>
      <c r="H147" s="308"/>
      <c r="I147" s="308"/>
      <c r="J147" s="308"/>
      <c r="K147" s="309"/>
      <c r="L147" s="310"/>
      <c r="M147" s="308"/>
      <c r="N147" s="309"/>
      <c r="O147" s="309"/>
      <c r="P147" s="309"/>
      <c r="Q147" s="309"/>
      <c r="R147" s="309"/>
      <c r="S147" s="309"/>
      <c r="T147" s="309"/>
      <c r="U147" s="309"/>
      <c r="V147" s="939" t="s">
        <v>295</v>
      </c>
      <c r="W147" s="7"/>
      <c r="X147" s="7"/>
      <c r="Y147" s="7"/>
      <c r="Z147" s="7"/>
      <c r="AA147" s="7"/>
    </row>
    <row r="148" spans="2:27" ht="12.5" hidden="1" customHeight="1" outlineLevel="1" thickTop="1" x14ac:dyDescent="0.35">
      <c r="B148" s="7"/>
      <c r="C148" s="560"/>
      <c r="D148" s="818"/>
      <c r="E148" s="561"/>
      <c r="F148" s="561"/>
      <c r="G148" s="561"/>
      <c r="H148" s="110"/>
      <c r="I148" s="461"/>
      <c r="J148" s="579">
        <v>0</v>
      </c>
      <c r="K148" s="578"/>
      <c r="L148" s="563"/>
      <c r="M148" s="477">
        <v>1</v>
      </c>
      <c r="N148" s="563">
        <f t="shared" ref="N148:V148" si="93">M148+1</f>
        <v>2</v>
      </c>
      <c r="O148" s="563">
        <f t="shared" si="93"/>
        <v>3</v>
      </c>
      <c r="P148" s="563">
        <f t="shared" si="93"/>
        <v>4</v>
      </c>
      <c r="Q148" s="563">
        <f t="shared" si="93"/>
        <v>5</v>
      </c>
      <c r="R148" s="563">
        <f t="shared" si="93"/>
        <v>6</v>
      </c>
      <c r="S148" s="563">
        <f t="shared" si="93"/>
        <v>7</v>
      </c>
      <c r="T148" s="563">
        <f t="shared" si="93"/>
        <v>8</v>
      </c>
      <c r="U148" s="563">
        <f t="shared" si="93"/>
        <v>9</v>
      </c>
      <c r="V148" s="122">
        <f t="shared" si="93"/>
        <v>10</v>
      </c>
      <c r="W148" s="7"/>
      <c r="X148" s="7"/>
      <c r="Y148" s="7"/>
      <c r="Z148" s="7"/>
      <c r="AA148" s="7"/>
    </row>
    <row r="149" spans="2:27" ht="12.5" hidden="1" customHeight="1" outlineLevel="1" x14ac:dyDescent="0.35">
      <c r="B149" s="7"/>
      <c r="C149" s="271" t="s">
        <v>88</v>
      </c>
      <c r="D149" s="422"/>
      <c r="E149" s="7"/>
      <c r="F149" s="7"/>
      <c r="G149" s="7"/>
      <c r="H149" s="22"/>
      <c r="I149" s="7"/>
      <c r="J149" s="373"/>
      <c r="K149" s="22"/>
      <c r="L149" s="7"/>
      <c r="M149" s="514"/>
      <c r="N149" s="72"/>
      <c r="O149" s="72"/>
      <c r="P149" s="72"/>
      <c r="Q149" s="72"/>
      <c r="R149" s="72"/>
      <c r="S149" s="72"/>
      <c r="T149" s="72"/>
      <c r="U149" s="72"/>
      <c r="V149" s="330"/>
      <c r="W149" s="7"/>
      <c r="X149" s="7"/>
      <c r="Y149" s="7"/>
      <c r="Z149" s="7"/>
      <c r="AA149" s="7"/>
    </row>
    <row r="150" spans="2:27" ht="12.5" hidden="1" customHeight="1" outlineLevel="1" x14ac:dyDescent="0.35">
      <c r="B150" s="7"/>
      <c r="C150" s="388" t="s">
        <v>88</v>
      </c>
      <c r="D150" s="820"/>
      <c r="E150" s="7"/>
      <c r="F150" s="7"/>
      <c r="G150" s="7"/>
      <c r="H150" s="22"/>
      <c r="I150" s="7"/>
      <c r="J150" s="373"/>
      <c r="K150" s="22"/>
      <c r="L150" s="7"/>
      <c r="M150" s="514">
        <f t="shared" ref="M150:V150" si="94">M142</f>
        <v>0</v>
      </c>
      <c r="N150" s="72">
        <f t="shared" si="94"/>
        <v>0</v>
      </c>
      <c r="O150" s="72">
        <f t="shared" si="94"/>
        <v>0</v>
      </c>
      <c r="P150" s="72">
        <f t="shared" si="94"/>
        <v>0</v>
      </c>
      <c r="Q150" s="72">
        <f t="shared" si="94"/>
        <v>0</v>
      </c>
      <c r="R150" s="72">
        <f t="shared" si="94"/>
        <v>0</v>
      </c>
      <c r="S150" s="72">
        <f t="shared" si="94"/>
        <v>0</v>
      </c>
      <c r="T150" s="72">
        <f t="shared" si="94"/>
        <v>0</v>
      </c>
      <c r="U150" s="72">
        <f t="shared" si="94"/>
        <v>0</v>
      </c>
      <c r="V150" s="330">
        <f t="shared" si="94"/>
        <v>0</v>
      </c>
      <c r="W150" s="7"/>
      <c r="X150" s="7"/>
      <c r="Y150" s="7"/>
      <c r="Z150" s="7"/>
      <c r="AA150" s="7"/>
    </row>
    <row r="151" spans="2:27" ht="12.5" hidden="1" customHeight="1" outlineLevel="1" x14ac:dyDescent="0.35">
      <c r="B151" s="7"/>
      <c r="C151" s="388" t="s">
        <v>118</v>
      </c>
      <c r="D151" s="820"/>
      <c r="E151" s="7"/>
      <c r="F151" s="7"/>
      <c r="G151" s="394"/>
      <c r="H151" s="22"/>
      <c r="I151" s="7"/>
      <c r="J151" s="373"/>
      <c r="K151" s="22"/>
      <c r="L151" s="7"/>
      <c r="M151" s="514">
        <f t="shared" ref="M151:V151" si="95">IF(M150&gt;0,MIN(M68*$O$10,M150),0)</f>
        <v>0</v>
      </c>
      <c r="N151" s="72">
        <f t="shared" si="95"/>
        <v>0</v>
      </c>
      <c r="O151" s="72">
        <f t="shared" si="95"/>
        <v>0</v>
      </c>
      <c r="P151" s="72">
        <f t="shared" si="95"/>
        <v>0</v>
      </c>
      <c r="Q151" s="72">
        <f t="shared" si="95"/>
        <v>0</v>
      </c>
      <c r="R151" s="72">
        <f t="shared" si="95"/>
        <v>0</v>
      </c>
      <c r="S151" s="72">
        <f t="shared" si="95"/>
        <v>0</v>
      </c>
      <c r="T151" s="72">
        <f t="shared" si="95"/>
        <v>0</v>
      </c>
      <c r="U151" s="72">
        <f t="shared" si="95"/>
        <v>0</v>
      </c>
      <c r="V151" s="330">
        <f t="shared" si="95"/>
        <v>0</v>
      </c>
      <c r="W151" s="7"/>
      <c r="X151" s="7"/>
      <c r="Y151" s="7"/>
      <c r="Z151" s="7"/>
      <c r="AA151" s="7"/>
    </row>
    <row r="152" spans="2:27" ht="12.5" hidden="1" customHeight="1" outlineLevel="1" x14ac:dyDescent="0.35">
      <c r="B152" s="7"/>
      <c r="C152" s="18" t="s">
        <v>90</v>
      </c>
      <c r="D152" s="19"/>
      <c r="E152" s="19"/>
      <c r="F152" s="19"/>
      <c r="G152" s="19"/>
      <c r="H152" s="111"/>
      <c r="I152" s="19"/>
      <c r="J152" s="531"/>
      <c r="K152" s="111"/>
      <c r="L152" s="19"/>
      <c r="M152" s="552">
        <f t="shared" ref="M152:V152" si="96">M150-M151</f>
        <v>0</v>
      </c>
      <c r="N152" s="107">
        <f t="shared" si="96"/>
        <v>0</v>
      </c>
      <c r="O152" s="107">
        <f t="shared" si="96"/>
        <v>0</v>
      </c>
      <c r="P152" s="107">
        <f t="shared" si="96"/>
        <v>0</v>
      </c>
      <c r="Q152" s="107">
        <f t="shared" si="96"/>
        <v>0</v>
      </c>
      <c r="R152" s="107">
        <f t="shared" si="96"/>
        <v>0</v>
      </c>
      <c r="S152" s="107">
        <f t="shared" si="96"/>
        <v>0</v>
      </c>
      <c r="T152" s="107">
        <f t="shared" si="96"/>
        <v>0</v>
      </c>
      <c r="U152" s="107">
        <f t="shared" si="96"/>
        <v>0</v>
      </c>
      <c r="V152" s="112">
        <f t="shared" si="96"/>
        <v>0</v>
      </c>
      <c r="W152" s="7"/>
      <c r="X152" s="7"/>
      <c r="Y152" s="7"/>
      <c r="Z152" s="7"/>
      <c r="AA152" s="7"/>
    </row>
    <row r="153" spans="2:27" ht="12.5" hidden="1" customHeight="1" outlineLevel="1" x14ac:dyDescent="0.35">
      <c r="B153" s="7"/>
      <c r="C153" s="406" t="s">
        <v>92</v>
      </c>
      <c r="D153" s="822"/>
      <c r="E153" s="7"/>
      <c r="F153" s="7"/>
      <c r="G153" s="7"/>
      <c r="H153" s="22"/>
      <c r="I153" s="7"/>
      <c r="J153" s="373"/>
      <c r="K153" s="22"/>
      <c r="L153" s="7"/>
      <c r="M153" s="514"/>
      <c r="N153" s="72"/>
      <c r="O153" s="72"/>
      <c r="P153" s="72"/>
      <c r="Q153" s="72"/>
      <c r="R153" s="72"/>
      <c r="S153" s="72"/>
      <c r="T153" s="72"/>
      <c r="U153" s="72"/>
      <c r="V153" s="330"/>
      <c r="W153" s="7"/>
      <c r="X153" s="7"/>
      <c r="Y153" s="7"/>
      <c r="Z153" s="7"/>
      <c r="AA153" s="7"/>
    </row>
    <row r="154" spans="2:27" ht="12.5" hidden="1" customHeight="1" outlineLevel="1" x14ac:dyDescent="0.35">
      <c r="B154" s="7"/>
      <c r="C154" s="388" t="s">
        <v>91</v>
      </c>
      <c r="D154" s="820"/>
      <c r="E154" s="7"/>
      <c r="F154" s="7"/>
      <c r="G154" s="7"/>
      <c r="H154" s="22"/>
      <c r="I154" s="7"/>
      <c r="J154" s="373"/>
      <c r="K154" s="22"/>
      <c r="L154" s="7"/>
      <c r="M154" s="514">
        <f t="shared" ref="M154" si="97">IF(M148=$K$15,N131,IF(M148=$G$20,M94/$B$20,0))</f>
        <v>0</v>
      </c>
      <c r="N154" s="72">
        <f t="shared" ref="N154:V154" si="98">IFERROR(IF(N148=$K$15,O131,IF(N148=$G$20,N94/$B$20,0)),0)</f>
        <v>0</v>
      </c>
      <c r="O154" s="72">
        <f t="shared" si="98"/>
        <v>0</v>
      </c>
      <c r="P154" s="72">
        <f t="shared" si="98"/>
        <v>0</v>
      </c>
      <c r="Q154" s="72">
        <f t="shared" si="98"/>
        <v>0</v>
      </c>
      <c r="R154" s="72">
        <f t="shared" si="98"/>
        <v>0</v>
      </c>
      <c r="S154" s="72">
        <f t="shared" si="98"/>
        <v>0</v>
      </c>
      <c r="T154" s="72">
        <f t="shared" si="98"/>
        <v>0</v>
      </c>
      <c r="U154" s="72">
        <f t="shared" si="98"/>
        <v>0</v>
      </c>
      <c r="V154" s="330">
        <f t="shared" si="98"/>
        <v>0</v>
      </c>
      <c r="W154" s="7"/>
      <c r="X154" s="7"/>
      <c r="Y154" s="7"/>
      <c r="Z154" s="7"/>
      <c r="AA154" s="7"/>
    </row>
    <row r="155" spans="2:27" ht="12.5" hidden="1" customHeight="1" outlineLevel="1" x14ac:dyDescent="0.35">
      <c r="B155" s="7"/>
      <c r="C155" s="388" t="s">
        <v>171</v>
      </c>
      <c r="D155" s="820"/>
      <c r="E155" s="7"/>
      <c r="F155" s="7"/>
      <c r="G155" s="7"/>
      <c r="H155" s="22"/>
      <c r="I155" s="7"/>
      <c r="J155" s="373"/>
      <c r="K155" s="22"/>
      <c r="L155" s="7"/>
      <c r="M155" s="514">
        <f t="shared" ref="M155:V155" si="99">IF(M148=$K$15,M154*$K$18,
IF(M148=$G$20,M154*$G$21,0))</f>
        <v>0</v>
      </c>
      <c r="N155" s="72">
        <f t="shared" si="99"/>
        <v>0</v>
      </c>
      <c r="O155" s="72">
        <f t="shared" si="99"/>
        <v>0</v>
      </c>
      <c r="P155" s="72">
        <f t="shared" si="99"/>
        <v>0</v>
      </c>
      <c r="Q155" s="72">
        <f t="shared" si="99"/>
        <v>0</v>
      </c>
      <c r="R155" s="72">
        <f t="shared" si="99"/>
        <v>0</v>
      </c>
      <c r="S155" s="72">
        <f t="shared" si="99"/>
        <v>0</v>
      </c>
      <c r="T155" s="72">
        <f t="shared" si="99"/>
        <v>0</v>
      </c>
      <c r="U155" s="72">
        <f t="shared" si="99"/>
        <v>0</v>
      </c>
      <c r="V155" s="330">
        <f t="shared" si="99"/>
        <v>0</v>
      </c>
      <c r="W155" s="7"/>
      <c r="X155" s="7"/>
      <c r="Y155" s="7"/>
      <c r="Z155" s="7"/>
      <c r="AA155" s="7"/>
    </row>
    <row r="156" spans="2:27" ht="12.5" hidden="1" customHeight="1" outlineLevel="1" x14ac:dyDescent="0.35">
      <c r="B156" s="7"/>
      <c r="C156" s="388" t="s">
        <v>93</v>
      </c>
      <c r="D156" s="820"/>
      <c r="E156" s="7"/>
      <c r="F156" s="7"/>
      <c r="G156" s="7"/>
      <c r="H156" s="22"/>
      <c r="I156" s="7"/>
      <c r="J156" s="373"/>
      <c r="K156" s="22"/>
      <c r="L156" s="7"/>
      <c r="M156" s="514">
        <f t="shared" ref="M156:V156" si="100">IF(OR(M148=$G$20,M148=$K$15),M141,0)</f>
        <v>0</v>
      </c>
      <c r="N156" s="72">
        <f t="shared" si="100"/>
        <v>0</v>
      </c>
      <c r="O156" s="72">
        <f t="shared" si="100"/>
        <v>0</v>
      </c>
      <c r="P156" s="72">
        <f t="shared" si="100"/>
        <v>0</v>
      </c>
      <c r="Q156" s="72">
        <f t="shared" si="100"/>
        <v>0</v>
      </c>
      <c r="R156" s="72">
        <f t="shared" si="100"/>
        <v>0</v>
      </c>
      <c r="S156" s="72">
        <f t="shared" si="100"/>
        <v>0</v>
      </c>
      <c r="T156" s="72">
        <f t="shared" si="100"/>
        <v>0</v>
      </c>
      <c r="U156" s="72">
        <f t="shared" si="100"/>
        <v>0</v>
      </c>
      <c r="V156" s="330">
        <f t="shared" si="100"/>
        <v>0</v>
      </c>
      <c r="W156" s="7"/>
      <c r="X156" s="7"/>
      <c r="Y156" s="7"/>
      <c r="Z156" s="7"/>
      <c r="AA156" s="7"/>
    </row>
    <row r="157" spans="2:27" ht="12.5" hidden="1" customHeight="1" outlineLevel="1" x14ac:dyDescent="0.35">
      <c r="B157" s="7"/>
      <c r="C157" s="388" t="s">
        <v>169</v>
      </c>
      <c r="D157" s="820"/>
      <c r="E157" s="7"/>
      <c r="F157" s="7"/>
      <c r="G157" s="416">
        <f>G22</f>
        <v>0.5</v>
      </c>
      <c r="H157" s="22"/>
      <c r="I157" s="7"/>
      <c r="J157" s="326"/>
      <c r="K157" s="22"/>
      <c r="L157" s="7"/>
      <c r="M157" s="514">
        <f t="shared" ref="M157:V157" si="101">IF(M148=$G$20,$G$17*$G$22,0)</f>
        <v>0</v>
      </c>
      <c r="N157" s="72">
        <f t="shared" si="101"/>
        <v>0</v>
      </c>
      <c r="O157" s="72">
        <f t="shared" si="101"/>
        <v>0</v>
      </c>
      <c r="P157" s="72">
        <f t="shared" si="101"/>
        <v>0</v>
      </c>
      <c r="Q157" s="72">
        <f t="shared" si="101"/>
        <v>0</v>
      </c>
      <c r="R157" s="72">
        <f t="shared" si="101"/>
        <v>0</v>
      </c>
      <c r="S157" s="72">
        <f t="shared" si="101"/>
        <v>0</v>
      </c>
      <c r="T157" s="72">
        <f t="shared" si="101"/>
        <v>0</v>
      </c>
      <c r="U157" s="72">
        <f t="shared" si="101"/>
        <v>0</v>
      </c>
      <c r="V157" s="330">
        <f t="shared" si="101"/>
        <v>0</v>
      </c>
      <c r="W157" s="7"/>
      <c r="X157" s="7"/>
      <c r="Y157" s="7"/>
      <c r="Z157" s="7"/>
      <c r="AA157" s="7"/>
    </row>
    <row r="158" spans="2:27" ht="12.5" hidden="1" customHeight="1" outlineLevel="1" x14ac:dyDescent="0.35">
      <c r="B158" s="7"/>
      <c r="C158" s="388" t="s">
        <v>89</v>
      </c>
      <c r="D158" s="820"/>
      <c r="E158" s="7"/>
      <c r="F158" s="7"/>
      <c r="G158" s="394" t="str">
        <f>IF(K15&gt;0,"Refi: "&amp;TEXT(O11,"0.0%")&amp;" / Sale: "&amp;TEXT(O12,"0.0%"),"Sale: "&amp;TEXT(O12,"0.0%"))</f>
        <v>Sale: 0.0%</v>
      </c>
      <c r="H158" s="22"/>
      <c r="I158" s="7"/>
      <c r="J158" s="373"/>
      <c r="K158" s="22"/>
      <c r="L158" s="7"/>
      <c r="M158" s="514">
        <f>IF(M146="REFINANCE",M154*$O$11,
IF(M146="SALE",M154*$O$12,0))</f>
        <v>0</v>
      </c>
      <c r="N158" s="72">
        <f t="shared" ref="N158:V158" si="102">IF(N148=$K$15,N154*$O$11,
IF(N148=$G$20,N154*$O$12,0))</f>
        <v>0</v>
      </c>
      <c r="O158" s="72">
        <f t="shared" si="102"/>
        <v>0</v>
      </c>
      <c r="P158" s="72">
        <f t="shared" si="102"/>
        <v>0</v>
      </c>
      <c r="Q158" s="72">
        <f t="shared" si="102"/>
        <v>0</v>
      </c>
      <c r="R158" s="72">
        <f t="shared" si="102"/>
        <v>0</v>
      </c>
      <c r="S158" s="72">
        <f t="shared" si="102"/>
        <v>0</v>
      </c>
      <c r="T158" s="72">
        <f t="shared" si="102"/>
        <v>0</v>
      </c>
      <c r="U158" s="72">
        <f t="shared" si="102"/>
        <v>0</v>
      </c>
      <c r="V158" s="330">
        <f t="shared" si="102"/>
        <v>0</v>
      </c>
      <c r="W158" s="7"/>
      <c r="X158" s="7"/>
      <c r="Y158" s="7"/>
      <c r="Z158" s="7"/>
      <c r="AA158" s="7"/>
    </row>
    <row r="159" spans="2:27" ht="12.5" hidden="1" customHeight="1" outlineLevel="1" x14ac:dyDescent="0.35">
      <c r="B159" s="7"/>
      <c r="C159" s="108" t="s">
        <v>237</v>
      </c>
      <c r="D159" s="823"/>
      <c r="E159" s="19"/>
      <c r="F159" s="19"/>
      <c r="G159" s="19"/>
      <c r="H159" s="111"/>
      <c r="I159" s="19"/>
      <c r="J159" s="531"/>
      <c r="K159" s="111"/>
      <c r="L159" s="19"/>
      <c r="M159" s="552">
        <f t="shared" ref="M159:V159" si="103">M154-M155-M156+M157-M158</f>
        <v>0</v>
      </c>
      <c r="N159" s="107">
        <f t="shared" si="103"/>
        <v>0</v>
      </c>
      <c r="O159" s="107">
        <f t="shared" si="103"/>
        <v>0</v>
      </c>
      <c r="P159" s="107">
        <f t="shared" si="103"/>
        <v>0</v>
      </c>
      <c r="Q159" s="107">
        <f t="shared" si="103"/>
        <v>0</v>
      </c>
      <c r="R159" s="107">
        <f t="shared" si="103"/>
        <v>0</v>
      </c>
      <c r="S159" s="107">
        <f t="shared" si="103"/>
        <v>0</v>
      </c>
      <c r="T159" s="107">
        <f t="shared" si="103"/>
        <v>0</v>
      </c>
      <c r="U159" s="107">
        <f t="shared" si="103"/>
        <v>0</v>
      </c>
      <c r="V159" s="112">
        <f t="shared" si="103"/>
        <v>0</v>
      </c>
      <c r="W159" s="7"/>
      <c r="X159" s="7"/>
      <c r="Y159" s="7"/>
      <c r="Z159" s="7"/>
      <c r="AA159" s="7"/>
    </row>
    <row r="160" spans="2:27" ht="12.5" hidden="1" customHeight="1" outlineLevel="1" x14ac:dyDescent="0.35">
      <c r="B160" s="7"/>
      <c r="C160" s="271" t="s">
        <v>142</v>
      </c>
      <c r="D160" s="422"/>
      <c r="E160" s="7"/>
      <c r="F160" s="7"/>
      <c r="G160" s="7"/>
      <c r="H160" s="22"/>
      <c r="I160" s="7"/>
      <c r="J160" s="532"/>
      <c r="K160" s="22"/>
      <c r="L160" s="7"/>
      <c r="M160" s="23"/>
      <c r="N160" s="7"/>
      <c r="O160" s="7"/>
      <c r="P160" s="7"/>
      <c r="Q160" s="7"/>
      <c r="R160" s="7"/>
      <c r="S160" s="7"/>
      <c r="T160" s="7"/>
      <c r="U160" s="7"/>
      <c r="V160" s="272"/>
      <c r="W160" s="7"/>
      <c r="X160" s="7"/>
      <c r="Y160" s="7"/>
      <c r="Z160" s="7"/>
      <c r="AA160" s="7"/>
    </row>
    <row r="161" spans="2:27" ht="12.5" hidden="1" customHeight="1" outlineLevel="1" x14ac:dyDescent="0.35">
      <c r="B161" s="7"/>
      <c r="C161" s="388" t="s">
        <v>94</v>
      </c>
      <c r="D161" s="820"/>
      <c r="E161" s="7"/>
      <c r="F161" s="7"/>
      <c r="G161" s="7"/>
      <c r="H161" s="22"/>
      <c r="I161" s="7"/>
      <c r="J161" s="426">
        <f>-S15</f>
        <v>0</v>
      </c>
      <c r="K161" s="22"/>
      <c r="L161" s="7"/>
      <c r="M161" s="553"/>
      <c r="N161" s="301"/>
      <c r="O161" s="301"/>
      <c r="P161" s="301"/>
      <c r="Q161" s="301"/>
      <c r="R161" s="301"/>
      <c r="S161" s="301"/>
      <c r="T161" s="301"/>
      <c r="U161" s="301"/>
      <c r="V161" s="302"/>
      <c r="W161" s="7"/>
      <c r="X161" s="7"/>
      <c r="Y161" s="7"/>
      <c r="Z161" s="7"/>
      <c r="AA161" s="7"/>
    </row>
    <row r="162" spans="2:27" ht="12.5" hidden="1" customHeight="1" outlineLevel="1" x14ac:dyDescent="0.35">
      <c r="B162" s="7"/>
      <c r="C162" s="388" t="s">
        <v>95</v>
      </c>
      <c r="D162" s="820"/>
      <c r="E162" s="7"/>
      <c r="F162" s="7"/>
      <c r="G162" s="7"/>
      <c r="H162" s="22"/>
      <c r="I162" s="327"/>
      <c r="J162" s="373"/>
      <c r="K162" s="22"/>
      <c r="L162" s="7"/>
      <c r="M162" s="514">
        <f>-J161+M161</f>
        <v>0</v>
      </c>
      <c r="N162" s="72">
        <f t="shared" ref="N162:V162" si="104">M164+N161</f>
        <v>0</v>
      </c>
      <c r="O162" s="72">
        <f t="shared" si="104"/>
        <v>0</v>
      </c>
      <c r="P162" s="72">
        <f t="shared" si="104"/>
        <v>0</v>
      </c>
      <c r="Q162" s="72">
        <f t="shared" si="104"/>
        <v>0</v>
      </c>
      <c r="R162" s="72">
        <f t="shared" si="104"/>
        <v>0</v>
      </c>
      <c r="S162" s="72">
        <f t="shared" si="104"/>
        <v>0</v>
      </c>
      <c r="T162" s="72">
        <f t="shared" si="104"/>
        <v>0</v>
      </c>
      <c r="U162" s="72">
        <f t="shared" si="104"/>
        <v>0</v>
      </c>
      <c r="V162" s="330">
        <f t="shared" si="104"/>
        <v>0</v>
      </c>
      <c r="W162" s="7"/>
      <c r="X162" s="7"/>
      <c r="Y162" s="7"/>
      <c r="Z162" s="7"/>
      <c r="AA162" s="7"/>
    </row>
    <row r="163" spans="2:27" ht="12.5" hidden="1" customHeight="1" outlineLevel="1" x14ac:dyDescent="0.35">
      <c r="B163" s="7"/>
      <c r="C163" s="388" t="s">
        <v>96</v>
      </c>
      <c r="D163" s="820"/>
      <c r="E163" s="7"/>
      <c r="F163" s="7"/>
      <c r="G163" s="7"/>
      <c r="H163" s="22"/>
      <c r="I163" s="327"/>
      <c r="J163" s="373"/>
      <c r="K163" s="22"/>
      <c r="L163" s="7"/>
      <c r="M163" s="514">
        <f t="shared" ref="M163:V163" si="105">IF(M159&gt;0,MIN(M159-M157,M162),0)</f>
        <v>0</v>
      </c>
      <c r="N163" s="72">
        <f t="shared" si="105"/>
        <v>0</v>
      </c>
      <c r="O163" s="72">
        <f t="shared" si="105"/>
        <v>0</v>
      </c>
      <c r="P163" s="72">
        <f t="shared" si="105"/>
        <v>0</v>
      </c>
      <c r="Q163" s="9">
        <f t="shared" si="105"/>
        <v>0</v>
      </c>
      <c r="R163" s="72">
        <f t="shared" si="105"/>
        <v>0</v>
      </c>
      <c r="S163" s="72">
        <f t="shared" si="105"/>
        <v>0</v>
      </c>
      <c r="T163" s="72">
        <f t="shared" si="105"/>
        <v>0</v>
      </c>
      <c r="U163" s="72">
        <f t="shared" si="105"/>
        <v>0</v>
      </c>
      <c r="V163" s="330">
        <f t="shared" si="105"/>
        <v>0</v>
      </c>
      <c r="W163" s="7"/>
      <c r="X163" s="7"/>
      <c r="Y163" s="7"/>
      <c r="Z163" s="7"/>
      <c r="AA163" s="7"/>
    </row>
    <row r="164" spans="2:27" ht="12.5" hidden="1" customHeight="1" outlineLevel="1" x14ac:dyDescent="0.35">
      <c r="B164" s="7"/>
      <c r="C164" s="18" t="s">
        <v>97</v>
      </c>
      <c r="D164" s="19"/>
      <c r="E164" s="19"/>
      <c r="F164" s="19"/>
      <c r="G164" s="19"/>
      <c r="H164" s="111"/>
      <c r="I164" s="114"/>
      <c r="J164" s="531"/>
      <c r="K164" s="111"/>
      <c r="L164" s="19"/>
      <c r="M164" s="907">
        <f t="shared" ref="M164:V164" si="106">ROUND(M161+M162-M163,0)</f>
        <v>0</v>
      </c>
      <c r="N164" s="107">
        <f t="shared" si="106"/>
        <v>0</v>
      </c>
      <c r="O164" s="107">
        <f t="shared" si="106"/>
        <v>0</v>
      </c>
      <c r="P164" s="107">
        <f t="shared" si="106"/>
        <v>0</v>
      </c>
      <c r="Q164" s="107">
        <f t="shared" si="106"/>
        <v>0</v>
      </c>
      <c r="R164" s="107">
        <f t="shared" si="106"/>
        <v>0</v>
      </c>
      <c r="S164" s="107">
        <f t="shared" si="106"/>
        <v>0</v>
      </c>
      <c r="T164" s="107">
        <f t="shared" si="106"/>
        <v>0</v>
      </c>
      <c r="U164" s="107">
        <f t="shared" si="106"/>
        <v>0</v>
      </c>
      <c r="V164" s="112">
        <f t="shared" si="106"/>
        <v>0</v>
      </c>
      <c r="W164" s="7"/>
      <c r="X164" s="7"/>
      <c r="Y164" s="7"/>
      <c r="Z164" s="7"/>
      <c r="AA164" s="7"/>
    </row>
    <row r="165" spans="2:27" ht="12.5" hidden="1" customHeight="1" outlineLevel="1" thickBot="1" x14ac:dyDescent="0.4">
      <c r="B165" s="7"/>
      <c r="C165" s="407" t="s">
        <v>98</v>
      </c>
      <c r="D165" s="824"/>
      <c r="E165" s="401"/>
      <c r="F165" s="401"/>
      <c r="G165" s="401"/>
      <c r="H165" s="408"/>
      <c r="I165" s="409"/>
      <c r="J165" s="385"/>
      <c r="K165" s="554"/>
      <c r="L165" s="410"/>
      <c r="M165" s="555">
        <f t="shared" ref="M165:V165" si="107">IFERROR((M163)/M162,0)</f>
        <v>0</v>
      </c>
      <c r="N165" s="409">
        <f t="shared" si="107"/>
        <v>0</v>
      </c>
      <c r="O165" s="411">
        <f t="shared" si="107"/>
        <v>0</v>
      </c>
      <c r="P165" s="411">
        <f t="shared" si="107"/>
        <v>0</v>
      </c>
      <c r="Q165" s="411">
        <f t="shared" si="107"/>
        <v>0</v>
      </c>
      <c r="R165" s="411">
        <f t="shared" si="107"/>
        <v>0</v>
      </c>
      <c r="S165" s="411">
        <f t="shared" si="107"/>
        <v>0</v>
      </c>
      <c r="T165" s="411">
        <f t="shared" si="107"/>
        <v>0</v>
      </c>
      <c r="U165" s="411">
        <f t="shared" si="107"/>
        <v>0</v>
      </c>
      <c r="V165" s="412">
        <f t="shared" si="107"/>
        <v>0</v>
      </c>
      <c r="W165" s="7"/>
      <c r="X165" s="7"/>
      <c r="Y165" s="7"/>
      <c r="Z165" s="7"/>
      <c r="AA165" s="7"/>
    </row>
    <row r="166" spans="2:27" ht="12.5" customHeight="1" collapsed="1" thickTop="1" x14ac:dyDescent="0.35">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spans="2:27" ht="19" thickBot="1" x14ac:dyDescent="0.5">
      <c r="B167" s="7"/>
      <c r="C167" s="306" t="s">
        <v>116</v>
      </c>
      <c r="D167" s="306"/>
      <c r="E167" s="307"/>
      <c r="F167" s="308"/>
      <c r="G167" s="308"/>
      <c r="H167" s="308"/>
      <c r="I167" s="308"/>
      <c r="J167" s="308"/>
      <c r="K167" s="309"/>
      <c r="L167" s="310"/>
      <c r="M167" s="308"/>
      <c r="N167" s="309"/>
      <c r="O167" s="309"/>
      <c r="P167" s="309"/>
      <c r="Q167" s="309"/>
      <c r="R167" s="309"/>
      <c r="S167" s="309"/>
      <c r="T167" s="309"/>
      <c r="U167" s="309"/>
      <c r="V167" s="939" t="s">
        <v>295</v>
      </c>
      <c r="W167" s="7"/>
      <c r="X167" s="7"/>
      <c r="Y167" s="7"/>
      <c r="Z167" s="7"/>
      <c r="AA167" s="7"/>
    </row>
    <row r="168" spans="2:27" ht="12.5" hidden="1" customHeight="1" outlineLevel="1" thickTop="1" x14ac:dyDescent="0.35">
      <c r="B168" s="7"/>
      <c r="C168" s="573" t="s">
        <v>147</v>
      </c>
      <c r="D168" s="825"/>
      <c r="E168" s="561"/>
      <c r="F168" s="561"/>
      <c r="G168" s="574"/>
      <c r="H168" s="575" t="str">
        <f>"CoC: "&amp;TEXT(I175,"0.0%")&amp;" • AAR: "&amp;TEXT(I183,"0.0%")&amp;" • IRR: "&amp;TEXT(I186,"0.0%")&amp;" • EMx: "&amp;TEXT(I187,"#.##")</f>
        <v>CoC: 0.0% • AAR: 0.0% • IRR: 0.0% • EMx: .</v>
      </c>
      <c r="I168" s="576" t="s">
        <v>146</v>
      </c>
      <c r="J168" s="577" t="s">
        <v>143</v>
      </c>
      <c r="K168" s="578"/>
      <c r="L168" s="563"/>
      <c r="M168" s="477">
        <v>1</v>
      </c>
      <c r="N168" s="563">
        <f t="shared" ref="N168:V168" si="108">M168+1</f>
        <v>2</v>
      </c>
      <c r="O168" s="563">
        <f t="shared" si="108"/>
        <v>3</v>
      </c>
      <c r="P168" s="563">
        <f t="shared" si="108"/>
        <v>4</v>
      </c>
      <c r="Q168" s="563">
        <f t="shared" si="108"/>
        <v>5</v>
      </c>
      <c r="R168" s="563">
        <f t="shared" si="108"/>
        <v>6</v>
      </c>
      <c r="S168" s="563">
        <f t="shared" si="108"/>
        <v>7</v>
      </c>
      <c r="T168" s="563">
        <f t="shared" si="108"/>
        <v>8</v>
      </c>
      <c r="U168" s="563">
        <f t="shared" si="108"/>
        <v>9</v>
      </c>
      <c r="V168" s="122">
        <f t="shared" si="108"/>
        <v>10</v>
      </c>
      <c r="W168" s="7"/>
      <c r="X168" s="7"/>
      <c r="Y168" s="7"/>
      <c r="Z168" s="7"/>
      <c r="AA168" s="7"/>
    </row>
    <row r="169" spans="2:27" ht="12.5" hidden="1" customHeight="1" outlineLevel="1" x14ac:dyDescent="0.35">
      <c r="B169" s="7"/>
      <c r="C169" s="271" t="s">
        <v>99</v>
      </c>
      <c r="D169" s="422"/>
      <c r="E169" s="7"/>
      <c r="F169" s="7"/>
      <c r="G169" s="7"/>
      <c r="H169" s="7"/>
      <c r="I169" s="421"/>
      <c r="J169" s="373"/>
      <c r="K169" s="22"/>
      <c r="L169" s="7"/>
      <c r="M169" s="23"/>
      <c r="N169" s="72"/>
      <c r="O169" s="72"/>
      <c r="P169" s="72"/>
      <c r="Q169" s="72"/>
      <c r="R169" s="72"/>
      <c r="S169" s="72"/>
      <c r="T169" s="72"/>
      <c r="U169" s="72"/>
      <c r="V169" s="330"/>
      <c r="W169" s="7"/>
      <c r="X169" s="7"/>
      <c r="Y169" s="7"/>
      <c r="Z169" s="7"/>
      <c r="AA169" s="7"/>
    </row>
    <row r="170" spans="2:27" ht="12.5" hidden="1" customHeight="1" outlineLevel="1" x14ac:dyDescent="0.35">
      <c r="B170" s="7"/>
      <c r="C170" s="388" t="s">
        <v>100</v>
      </c>
      <c r="D170" s="820"/>
      <c r="E170" s="7"/>
      <c r="F170" s="7"/>
      <c r="G170" s="7"/>
      <c r="H170" s="413">
        <f>$O$7</f>
        <v>0.08</v>
      </c>
      <c r="I170" s="414">
        <f>SUM(J170:V170)</f>
        <v>0</v>
      </c>
      <c r="J170" s="373"/>
      <c r="K170" s="22"/>
      <c r="L170" s="7"/>
      <c r="M170" s="514">
        <f t="shared" ref="M170:V170" si="109">IF(M168&lt;=$G$20,M162*$H$170+L172-L180,0)</f>
        <v>0</v>
      </c>
      <c r="N170" s="72">
        <f t="shared" si="109"/>
        <v>0</v>
      </c>
      <c r="O170" s="72">
        <f t="shared" si="109"/>
        <v>0</v>
      </c>
      <c r="P170" s="72">
        <f t="shared" si="109"/>
        <v>0</v>
      </c>
      <c r="Q170" s="72">
        <f t="shared" si="109"/>
        <v>0</v>
      </c>
      <c r="R170" s="72">
        <f t="shared" si="109"/>
        <v>0</v>
      </c>
      <c r="S170" s="72">
        <f t="shared" si="109"/>
        <v>0</v>
      </c>
      <c r="T170" s="72">
        <f t="shared" si="109"/>
        <v>0</v>
      </c>
      <c r="U170" s="72">
        <f t="shared" si="109"/>
        <v>0</v>
      </c>
      <c r="V170" s="330">
        <f t="shared" si="109"/>
        <v>0</v>
      </c>
      <c r="W170" s="7"/>
      <c r="X170" s="7"/>
      <c r="Y170" s="7"/>
      <c r="Z170" s="7"/>
      <c r="AA170" s="7"/>
    </row>
    <row r="171" spans="2:27" ht="12.5" hidden="1" customHeight="1" outlineLevel="1" x14ac:dyDescent="0.35">
      <c r="B171" s="7"/>
      <c r="C171" s="388" t="s">
        <v>101</v>
      </c>
      <c r="D171" s="820"/>
      <c r="E171" s="7"/>
      <c r="F171" s="7"/>
      <c r="G171" s="7"/>
      <c r="H171" s="395"/>
      <c r="I171" s="414">
        <f>SUM(J171:V171)</f>
        <v>0</v>
      </c>
      <c r="J171" s="373"/>
      <c r="K171" s="22"/>
      <c r="L171" s="7"/>
      <c r="M171" s="514">
        <f t="shared" ref="M171:V171" si="110">IF(M152&gt;0,MIN(M170,M$152),0)</f>
        <v>0</v>
      </c>
      <c r="N171" s="72">
        <f t="shared" si="110"/>
        <v>0</v>
      </c>
      <c r="O171" s="72">
        <f t="shared" si="110"/>
        <v>0</v>
      </c>
      <c r="P171" s="72">
        <f t="shared" si="110"/>
        <v>0</v>
      </c>
      <c r="Q171" s="72">
        <f t="shared" si="110"/>
        <v>0</v>
      </c>
      <c r="R171" s="72">
        <f t="shared" si="110"/>
        <v>0</v>
      </c>
      <c r="S171" s="72">
        <f t="shared" si="110"/>
        <v>0</v>
      </c>
      <c r="T171" s="72">
        <f t="shared" si="110"/>
        <v>0</v>
      </c>
      <c r="U171" s="72">
        <f t="shared" si="110"/>
        <v>0</v>
      </c>
      <c r="V171" s="330">
        <f t="shared" si="110"/>
        <v>0</v>
      </c>
      <c r="W171" s="7"/>
      <c r="X171" s="7"/>
      <c r="Y171" s="7"/>
      <c r="Z171" s="7"/>
      <c r="AA171" s="7"/>
    </row>
    <row r="172" spans="2:27" ht="12.5" hidden="1" customHeight="1" outlineLevel="1" x14ac:dyDescent="0.35">
      <c r="B172" s="7"/>
      <c r="C172" s="388" t="s">
        <v>144</v>
      </c>
      <c r="D172" s="820"/>
      <c r="E172" s="7"/>
      <c r="F172" s="7"/>
      <c r="G172" s="7"/>
      <c r="H172" s="395"/>
      <c r="I172" s="414">
        <f>SUM(J172:V172)</f>
        <v>0</v>
      </c>
      <c r="J172" s="373"/>
      <c r="K172" s="22"/>
      <c r="L172" s="7"/>
      <c r="M172" s="514">
        <f t="shared" ref="M172:V172" si="111">M170-M171</f>
        <v>0</v>
      </c>
      <c r="N172" s="72">
        <f t="shared" si="111"/>
        <v>0</v>
      </c>
      <c r="O172" s="72">
        <f t="shared" si="111"/>
        <v>0</v>
      </c>
      <c r="P172" s="72">
        <f t="shared" si="111"/>
        <v>0</v>
      </c>
      <c r="Q172" s="72">
        <f t="shared" si="111"/>
        <v>0</v>
      </c>
      <c r="R172" s="72">
        <f t="shared" si="111"/>
        <v>0</v>
      </c>
      <c r="S172" s="72">
        <f t="shared" si="111"/>
        <v>0</v>
      </c>
      <c r="T172" s="72">
        <f t="shared" si="111"/>
        <v>0</v>
      </c>
      <c r="U172" s="72">
        <f t="shared" si="111"/>
        <v>0</v>
      </c>
      <c r="V172" s="330">
        <f t="shared" si="111"/>
        <v>0</v>
      </c>
      <c r="W172" s="7"/>
      <c r="X172" s="7"/>
      <c r="Y172" s="7"/>
      <c r="Z172" s="7"/>
      <c r="AA172" s="7"/>
    </row>
    <row r="173" spans="2:27" ht="12.5" hidden="1" customHeight="1" outlineLevel="1" x14ac:dyDescent="0.35">
      <c r="B173" s="7"/>
      <c r="C173" s="464" t="s">
        <v>145</v>
      </c>
      <c r="D173" s="826"/>
      <c r="E173" s="7"/>
      <c r="F173" s="7"/>
      <c r="G173" s="7"/>
      <c r="H173" s="416">
        <v>1</v>
      </c>
      <c r="I173" s="414">
        <f>SUM(J173:V173)</f>
        <v>0</v>
      </c>
      <c r="J173" s="373"/>
      <c r="K173" s="22"/>
      <c r="L173" s="7"/>
      <c r="M173" s="514">
        <f t="shared" ref="M173:V173" si="112">MAX(M152-M170,0)</f>
        <v>0</v>
      </c>
      <c r="N173" s="72">
        <f t="shared" si="112"/>
        <v>0</v>
      </c>
      <c r="O173" s="72">
        <f t="shared" si="112"/>
        <v>0</v>
      </c>
      <c r="P173" s="72">
        <f t="shared" si="112"/>
        <v>0</v>
      </c>
      <c r="Q173" s="72">
        <f t="shared" si="112"/>
        <v>0</v>
      </c>
      <c r="R173" s="72">
        <f t="shared" si="112"/>
        <v>0</v>
      </c>
      <c r="S173" s="72">
        <f t="shared" si="112"/>
        <v>0</v>
      </c>
      <c r="T173" s="72">
        <f t="shared" si="112"/>
        <v>0</v>
      </c>
      <c r="U173" s="72">
        <f t="shared" si="112"/>
        <v>0</v>
      </c>
      <c r="V173" s="330">
        <f t="shared" si="112"/>
        <v>0</v>
      </c>
      <c r="W173" s="7"/>
      <c r="X173" s="7"/>
      <c r="Y173" s="7"/>
      <c r="Z173" s="7"/>
      <c r="AA173" s="7"/>
    </row>
    <row r="174" spans="2:27" ht="12.5" hidden="1" customHeight="1" outlineLevel="1" x14ac:dyDescent="0.35">
      <c r="B174" s="7"/>
      <c r="C174" s="36" t="s">
        <v>102</v>
      </c>
      <c r="D174" s="37"/>
      <c r="E174" s="19"/>
      <c r="F174" s="19"/>
      <c r="G174" s="19"/>
      <c r="H174" s="19"/>
      <c r="I174" s="113">
        <f>SUM(J174:V174)</f>
        <v>0</v>
      </c>
      <c r="J174" s="531"/>
      <c r="K174" s="111"/>
      <c r="L174" s="19"/>
      <c r="M174" s="552">
        <f t="shared" ref="M174:V174" si="113">M171+M173</f>
        <v>0</v>
      </c>
      <c r="N174" s="107">
        <f t="shared" si="113"/>
        <v>0</v>
      </c>
      <c r="O174" s="107">
        <f t="shared" si="113"/>
        <v>0</v>
      </c>
      <c r="P174" s="107">
        <f t="shared" si="113"/>
        <v>0</v>
      </c>
      <c r="Q174" s="107">
        <f t="shared" si="113"/>
        <v>0</v>
      </c>
      <c r="R174" s="107">
        <f t="shared" si="113"/>
        <v>0</v>
      </c>
      <c r="S174" s="107">
        <f t="shared" si="113"/>
        <v>0</v>
      </c>
      <c r="T174" s="107">
        <f t="shared" si="113"/>
        <v>0</v>
      </c>
      <c r="U174" s="107">
        <f t="shared" si="113"/>
        <v>0</v>
      </c>
      <c r="V174" s="112">
        <f t="shared" si="113"/>
        <v>0</v>
      </c>
      <c r="W174" s="7"/>
      <c r="X174" s="7"/>
      <c r="Y174" s="7"/>
      <c r="Z174" s="7"/>
      <c r="AA174" s="7"/>
    </row>
    <row r="175" spans="2:27" ht="12.5" hidden="1" customHeight="1" outlineLevel="1" x14ac:dyDescent="0.35">
      <c r="B175" s="7"/>
      <c r="C175" s="417" t="s">
        <v>103</v>
      </c>
      <c r="D175" s="827"/>
      <c r="E175" s="7"/>
      <c r="F175" s="7"/>
      <c r="G175" s="7"/>
      <c r="H175" s="7"/>
      <c r="I175" s="418">
        <f>IFERROR(AVERAGE(K175:V175),0)</f>
        <v>0</v>
      </c>
      <c r="J175" s="373"/>
      <c r="K175" s="22"/>
      <c r="L175" s="7"/>
      <c r="M175" s="556" t="str">
        <f t="shared" ref="M175:V175" si="114">IFERROR(M174/M$162,"")</f>
        <v/>
      </c>
      <c r="N175" s="419" t="str">
        <f t="shared" si="114"/>
        <v/>
      </c>
      <c r="O175" s="419" t="str">
        <f t="shared" si="114"/>
        <v/>
      </c>
      <c r="P175" s="419" t="str">
        <f t="shared" si="114"/>
        <v/>
      </c>
      <c r="Q175" s="419" t="str">
        <f t="shared" si="114"/>
        <v/>
      </c>
      <c r="R175" s="419" t="str">
        <f t="shared" si="114"/>
        <v/>
      </c>
      <c r="S175" s="419" t="str">
        <f t="shared" si="114"/>
        <v/>
      </c>
      <c r="T175" s="419" t="str">
        <f t="shared" si="114"/>
        <v/>
      </c>
      <c r="U175" s="419" t="str">
        <f t="shared" si="114"/>
        <v/>
      </c>
      <c r="V175" s="420" t="str">
        <f t="shared" si="114"/>
        <v/>
      </c>
      <c r="W175" s="7"/>
      <c r="X175" s="7"/>
      <c r="Y175" s="7"/>
      <c r="Z175" s="7"/>
      <c r="AA175" s="7"/>
    </row>
    <row r="176" spans="2:27" ht="12.5" hidden="1" customHeight="1" outlineLevel="1" x14ac:dyDescent="0.35">
      <c r="B176" s="7"/>
      <c r="C176" s="417" t="s">
        <v>240</v>
      </c>
      <c r="D176" s="827"/>
      <c r="E176" s="7"/>
      <c r="F176" s="7"/>
      <c r="G176" s="7"/>
      <c r="H176" s="7"/>
      <c r="I176" s="418">
        <f>IFERROR(((SUMIF(M174:V174,"&lt;&gt;""")+SUMIF(M180:V180,"&lt;&gt;"""))/AVERAGEIF($M$162:$V$162,"&gt;0"))/$G$20,0)</f>
        <v>0</v>
      </c>
      <c r="J176" s="373"/>
      <c r="K176" s="22"/>
      <c r="L176" s="7"/>
      <c r="M176" s="556"/>
      <c r="N176" s="419"/>
      <c r="O176" s="419"/>
      <c r="P176" s="419"/>
      <c r="Q176" s="419"/>
      <c r="R176" s="419"/>
      <c r="S176" s="419"/>
      <c r="T176" s="419"/>
      <c r="U176" s="419"/>
      <c r="V176" s="420"/>
      <c r="W176" s="7"/>
      <c r="X176" s="7"/>
      <c r="Y176" s="7"/>
      <c r="Z176" s="7"/>
      <c r="AA176" s="7"/>
    </row>
    <row r="177" spans="2:27" ht="12.5" hidden="1" customHeight="1" outlineLevel="1" x14ac:dyDescent="0.35">
      <c r="B177" s="7"/>
      <c r="C177" s="393"/>
      <c r="D177" s="7"/>
      <c r="E177" s="7"/>
      <c r="F177" s="7"/>
      <c r="G177" s="7"/>
      <c r="H177" s="7"/>
      <c r="I177" s="421"/>
      <c r="J177" s="373"/>
      <c r="K177" s="22"/>
      <c r="L177" s="7"/>
      <c r="M177" s="23"/>
      <c r="N177" s="7"/>
      <c r="O177" s="7"/>
      <c r="P177" s="7"/>
      <c r="Q177" s="7"/>
      <c r="R177" s="7"/>
      <c r="S177" s="7"/>
      <c r="T177" s="7"/>
      <c r="U177" s="7"/>
      <c r="V177" s="272"/>
      <c r="W177" s="7"/>
      <c r="X177" s="7"/>
      <c r="Y177" s="7"/>
      <c r="Z177" s="7"/>
      <c r="AA177" s="7"/>
    </row>
    <row r="178" spans="2:27" ht="12.5" hidden="1" customHeight="1" outlineLevel="1" x14ac:dyDescent="0.35">
      <c r="B178" s="7"/>
      <c r="C178" s="406" t="s">
        <v>104</v>
      </c>
      <c r="D178" s="822"/>
      <c r="E178" s="7"/>
      <c r="F178" s="7"/>
      <c r="G178" s="7"/>
      <c r="H178" s="7"/>
      <c r="I178" s="415"/>
      <c r="J178" s="373"/>
      <c r="K178" s="22"/>
      <c r="L178" s="7"/>
      <c r="M178" s="23"/>
      <c r="N178" s="7"/>
      <c r="O178" s="7"/>
      <c r="P178" s="7"/>
      <c r="Q178" s="7"/>
      <c r="R178" s="7"/>
      <c r="S178" s="7"/>
      <c r="T178" s="7"/>
      <c r="U178" s="7"/>
      <c r="V178" s="272"/>
      <c r="W178" s="7"/>
      <c r="X178" s="7"/>
      <c r="Y178" s="7"/>
      <c r="Z178" s="7"/>
      <c r="AA178" s="7"/>
    </row>
    <row r="179" spans="2:27" ht="12.5" hidden="1" customHeight="1" outlineLevel="1" x14ac:dyDescent="0.35">
      <c r="B179" s="7"/>
      <c r="C179" s="388" t="s">
        <v>105</v>
      </c>
      <c r="D179" s="820"/>
      <c r="E179" s="7"/>
      <c r="F179" s="7"/>
      <c r="G179" s="7"/>
      <c r="H179" s="416">
        <v>1</v>
      </c>
      <c r="I179" s="414">
        <f>SUM(J179:V179)</f>
        <v>0</v>
      </c>
      <c r="J179" s="373"/>
      <c r="K179" s="22"/>
      <c r="L179" s="7"/>
      <c r="M179" s="514">
        <f t="shared" ref="M179:V179" si="115">IF(M$168=$K$15,ROUND(M$159-M$163-M180,2),0)</f>
        <v>0</v>
      </c>
      <c r="N179" s="72">
        <f t="shared" si="115"/>
        <v>0</v>
      </c>
      <c r="O179" s="72">
        <f t="shared" si="115"/>
        <v>0</v>
      </c>
      <c r="P179" s="72">
        <f t="shared" si="115"/>
        <v>0</v>
      </c>
      <c r="Q179" s="72">
        <f t="shared" si="115"/>
        <v>0</v>
      </c>
      <c r="R179" s="72">
        <f t="shared" si="115"/>
        <v>0</v>
      </c>
      <c r="S179" s="72">
        <f t="shared" si="115"/>
        <v>0</v>
      </c>
      <c r="T179" s="72">
        <f t="shared" si="115"/>
        <v>0</v>
      </c>
      <c r="U179" s="72">
        <f t="shared" si="115"/>
        <v>0</v>
      </c>
      <c r="V179" s="330">
        <f t="shared" si="115"/>
        <v>0</v>
      </c>
      <c r="W179" s="7"/>
      <c r="X179" s="7"/>
      <c r="Y179" s="7"/>
      <c r="Z179" s="7"/>
      <c r="AA179" s="7"/>
    </row>
    <row r="180" spans="2:27" ht="12.5" hidden="1" customHeight="1" outlineLevel="1" x14ac:dyDescent="0.35">
      <c r="B180" s="7"/>
      <c r="C180" s="464" t="s">
        <v>298</v>
      </c>
      <c r="D180" s="826"/>
      <c r="E180" s="7"/>
      <c r="F180" s="7"/>
      <c r="G180" s="7"/>
      <c r="H180" s="395"/>
      <c r="I180" s="414">
        <f>SUM(J180:V180)</f>
        <v>0</v>
      </c>
      <c r="J180" s="373"/>
      <c r="K180" s="22"/>
      <c r="L180" s="7"/>
      <c r="M180" s="514">
        <f t="shared" ref="M180:V180" si="116">IFERROR(IF(AND(M159&gt;0,M164=0,M172&gt;0),MIN(M172,M159-M163),0),0)</f>
        <v>0</v>
      </c>
      <c r="N180" s="72">
        <f t="shared" si="116"/>
        <v>0</v>
      </c>
      <c r="O180" s="72">
        <f t="shared" si="116"/>
        <v>0</v>
      </c>
      <c r="P180" s="72">
        <f t="shared" si="116"/>
        <v>0</v>
      </c>
      <c r="Q180" s="72">
        <f t="shared" si="116"/>
        <v>0</v>
      </c>
      <c r="R180" s="72">
        <f t="shared" si="116"/>
        <v>0</v>
      </c>
      <c r="S180" s="72">
        <f t="shared" si="116"/>
        <v>0</v>
      </c>
      <c r="T180" s="72">
        <f t="shared" si="116"/>
        <v>0</v>
      </c>
      <c r="U180" s="72">
        <f t="shared" si="116"/>
        <v>0</v>
      </c>
      <c r="V180" s="330">
        <f t="shared" si="116"/>
        <v>0</v>
      </c>
      <c r="W180" s="7"/>
      <c r="X180" s="7"/>
      <c r="Y180" s="7"/>
      <c r="Z180" s="7"/>
      <c r="AA180" s="7"/>
    </row>
    <row r="181" spans="2:27" ht="12.5" hidden="1" customHeight="1" outlineLevel="1" x14ac:dyDescent="0.35">
      <c r="B181" s="7"/>
      <c r="C181" s="388" t="s">
        <v>106</v>
      </c>
      <c r="D181" s="820"/>
      <c r="E181" s="7"/>
      <c r="F181" s="7"/>
      <c r="G181" s="7"/>
      <c r="H181" s="416">
        <v>1</v>
      </c>
      <c r="I181" s="414">
        <f>SUM(J181:V181)</f>
        <v>0</v>
      </c>
      <c r="J181" s="373"/>
      <c r="K181" s="22"/>
      <c r="L181" s="7"/>
      <c r="M181" s="514">
        <f t="shared" ref="M181:V181" si="117">IF(M168=$G$20,ROUND(M$159-M$163-M$180,2),0)</f>
        <v>0</v>
      </c>
      <c r="N181" s="72">
        <f t="shared" si="117"/>
        <v>0</v>
      </c>
      <c r="O181" s="72">
        <f t="shared" si="117"/>
        <v>0</v>
      </c>
      <c r="P181" s="72">
        <f t="shared" si="117"/>
        <v>0</v>
      </c>
      <c r="Q181" s="72">
        <f t="shared" si="117"/>
        <v>0</v>
      </c>
      <c r="R181" s="72">
        <f t="shared" si="117"/>
        <v>0</v>
      </c>
      <c r="S181" s="72">
        <f t="shared" si="117"/>
        <v>0</v>
      </c>
      <c r="T181" s="72">
        <f t="shared" si="117"/>
        <v>0</v>
      </c>
      <c r="U181" s="72">
        <f t="shared" si="117"/>
        <v>0</v>
      </c>
      <c r="V181" s="330">
        <f t="shared" si="117"/>
        <v>0</v>
      </c>
      <c r="W181" s="7"/>
      <c r="X181" s="7"/>
      <c r="Y181" s="7"/>
      <c r="Z181" s="7"/>
      <c r="AA181" s="7"/>
    </row>
    <row r="182" spans="2:27" ht="12.5" hidden="1" customHeight="1" outlineLevel="1" x14ac:dyDescent="0.35">
      <c r="B182" s="7"/>
      <c r="C182" s="108" t="s">
        <v>107</v>
      </c>
      <c r="D182" s="823"/>
      <c r="E182" s="19"/>
      <c r="F182" s="109"/>
      <c r="G182" s="109"/>
      <c r="H182" s="109"/>
      <c r="I182" s="113">
        <f>SUM(J182:V182)</f>
        <v>0</v>
      </c>
      <c r="J182" s="534"/>
      <c r="K182" s="111"/>
      <c r="L182" s="19"/>
      <c r="M182" s="552">
        <f t="shared" ref="M182:V182" si="118">M174+M179+M180+M181</f>
        <v>0</v>
      </c>
      <c r="N182" s="107">
        <f t="shared" si="118"/>
        <v>0</v>
      </c>
      <c r="O182" s="107">
        <f t="shared" si="118"/>
        <v>0</v>
      </c>
      <c r="P182" s="107">
        <f t="shared" si="118"/>
        <v>0</v>
      </c>
      <c r="Q182" s="107">
        <f t="shared" si="118"/>
        <v>0</v>
      </c>
      <c r="R182" s="107">
        <f t="shared" si="118"/>
        <v>0</v>
      </c>
      <c r="S182" s="107">
        <f t="shared" si="118"/>
        <v>0</v>
      </c>
      <c r="T182" s="107">
        <f t="shared" si="118"/>
        <v>0</v>
      </c>
      <c r="U182" s="107">
        <f t="shared" si="118"/>
        <v>0</v>
      </c>
      <c r="V182" s="112">
        <f t="shared" si="118"/>
        <v>0</v>
      </c>
      <c r="W182" s="7"/>
      <c r="X182" s="7"/>
      <c r="Y182" s="7"/>
      <c r="Z182" s="7"/>
      <c r="AA182" s="7"/>
    </row>
    <row r="183" spans="2:27" ht="12.5" hidden="1" customHeight="1" outlineLevel="1" x14ac:dyDescent="0.35">
      <c r="B183" s="7"/>
      <c r="C183" s="417" t="s">
        <v>108</v>
      </c>
      <c r="D183" s="827"/>
      <c r="E183" s="422"/>
      <c r="F183" s="7"/>
      <c r="G183" s="7"/>
      <c r="H183" s="7"/>
      <c r="I183" s="423">
        <f>IFERROR(SUM(K182:V182)/-$J$161/$G$20,0)</f>
        <v>0</v>
      </c>
      <c r="J183" s="373"/>
      <c r="K183" s="22"/>
      <c r="L183" s="7"/>
      <c r="M183" s="23"/>
      <c r="N183" s="7"/>
      <c r="O183" s="7"/>
      <c r="P183" s="7"/>
      <c r="Q183" s="7"/>
      <c r="R183" s="7"/>
      <c r="S183" s="7"/>
      <c r="T183" s="7"/>
      <c r="U183" s="7"/>
      <c r="V183" s="272"/>
      <c r="W183" s="7"/>
      <c r="X183" s="7"/>
      <c r="Y183" s="7"/>
      <c r="Z183" s="7"/>
      <c r="AA183" s="7"/>
    </row>
    <row r="184" spans="2:27" ht="12.5" hidden="1" customHeight="1" outlineLevel="1" x14ac:dyDescent="0.35">
      <c r="B184" s="7"/>
      <c r="C184" s="406"/>
      <c r="D184" s="822"/>
      <c r="E184" s="422"/>
      <c r="F184" s="7"/>
      <c r="G184" s="7"/>
      <c r="H184" s="7"/>
      <c r="I184" s="415"/>
      <c r="J184" s="373"/>
      <c r="K184" s="22"/>
      <c r="L184" s="7"/>
      <c r="M184" s="23"/>
      <c r="N184" s="7"/>
      <c r="O184" s="7"/>
      <c r="P184" s="7"/>
      <c r="Q184" s="7"/>
      <c r="R184" s="7"/>
      <c r="S184" s="7"/>
      <c r="T184" s="7"/>
      <c r="U184" s="7"/>
      <c r="V184" s="272"/>
      <c r="W184" s="7"/>
      <c r="X184" s="7"/>
      <c r="Y184" s="7"/>
      <c r="Z184" s="7"/>
      <c r="AA184" s="7"/>
    </row>
    <row r="185" spans="2:27" ht="12.5" hidden="1" customHeight="1" outlineLevel="1" x14ac:dyDescent="0.35">
      <c r="B185" s="7"/>
      <c r="C185" s="108" t="s">
        <v>181</v>
      </c>
      <c r="D185" s="823"/>
      <c r="E185" s="19"/>
      <c r="F185" s="109"/>
      <c r="G185" s="109"/>
      <c r="H185" s="109"/>
      <c r="I185" s="113">
        <f>SUM(J185:V185)</f>
        <v>0</v>
      </c>
      <c r="J185" s="535">
        <f>J$161</f>
        <v>0</v>
      </c>
      <c r="K185" s="111"/>
      <c r="L185" s="19"/>
      <c r="M185" s="552">
        <f t="shared" ref="M185:V185" si="119">M$163+M182</f>
        <v>0</v>
      </c>
      <c r="N185" s="107">
        <f t="shared" si="119"/>
        <v>0</v>
      </c>
      <c r="O185" s="107">
        <f t="shared" si="119"/>
        <v>0</v>
      </c>
      <c r="P185" s="107">
        <f t="shared" si="119"/>
        <v>0</v>
      </c>
      <c r="Q185" s="107">
        <f t="shared" si="119"/>
        <v>0</v>
      </c>
      <c r="R185" s="107">
        <f t="shared" si="119"/>
        <v>0</v>
      </c>
      <c r="S185" s="107">
        <f t="shared" si="119"/>
        <v>0</v>
      </c>
      <c r="T185" s="107">
        <f t="shared" si="119"/>
        <v>0</v>
      </c>
      <c r="U185" s="107">
        <f t="shared" si="119"/>
        <v>0</v>
      </c>
      <c r="V185" s="112">
        <f t="shared" si="119"/>
        <v>0</v>
      </c>
      <c r="W185" s="7"/>
      <c r="X185" s="7"/>
      <c r="Y185" s="7"/>
      <c r="Z185" s="7"/>
      <c r="AA185" s="7"/>
    </row>
    <row r="186" spans="2:27" ht="12.5" hidden="1" customHeight="1" outlineLevel="1" x14ac:dyDescent="0.35">
      <c r="B186" s="7"/>
      <c r="C186" s="417" t="s">
        <v>109</v>
      </c>
      <c r="D186" s="827"/>
      <c r="E186" s="422"/>
      <c r="F186" s="7"/>
      <c r="G186" s="7"/>
      <c r="H186" s="7"/>
      <c r="I186" s="423">
        <f>IFERROR(IRR(J185:V185),0)</f>
        <v>0</v>
      </c>
      <c r="J186" s="373"/>
      <c r="K186" s="22"/>
      <c r="L186" s="7"/>
      <c r="M186" s="557" t="str">
        <f t="shared" ref="M186:V186" si="120">IF((ROUND(M185,0)=ROUND((M159+M152),0))=TRUE,"OK","CHECK")</f>
        <v>OK</v>
      </c>
      <c r="N186" s="462" t="str">
        <f t="shared" si="120"/>
        <v>OK</v>
      </c>
      <c r="O186" s="462" t="str">
        <f t="shared" si="120"/>
        <v>OK</v>
      </c>
      <c r="P186" s="462" t="str">
        <f t="shared" si="120"/>
        <v>OK</v>
      </c>
      <c r="Q186" s="462" t="str">
        <f t="shared" si="120"/>
        <v>OK</v>
      </c>
      <c r="R186" s="462" t="str">
        <f t="shared" si="120"/>
        <v>OK</v>
      </c>
      <c r="S186" s="462" t="str">
        <f t="shared" si="120"/>
        <v>OK</v>
      </c>
      <c r="T186" s="462" t="str">
        <f t="shared" si="120"/>
        <v>OK</v>
      </c>
      <c r="U186" s="462" t="str">
        <f t="shared" si="120"/>
        <v>OK</v>
      </c>
      <c r="V186" s="463" t="str">
        <f t="shared" si="120"/>
        <v>OK</v>
      </c>
      <c r="W186" s="7"/>
      <c r="X186" s="7"/>
      <c r="Y186" s="7"/>
      <c r="Z186" s="7"/>
      <c r="AA186" s="7"/>
    </row>
    <row r="187" spans="2:27" ht="12.5" hidden="1" customHeight="1" outlineLevel="1" x14ac:dyDescent="0.35">
      <c r="B187" s="7"/>
      <c r="C187" s="417" t="s">
        <v>110</v>
      </c>
      <c r="D187" s="827"/>
      <c r="E187" s="422"/>
      <c r="F187" s="7"/>
      <c r="G187" s="7"/>
      <c r="H187" s="7"/>
      <c r="I187" s="421">
        <f>IFERROR(ROUND(SUMIF(J185:V185,"&gt;0")/-SUMIF(J185:V185,"&lt;0"),2),0)</f>
        <v>0</v>
      </c>
      <c r="J187" s="373"/>
      <c r="K187" s="22"/>
      <c r="L187" s="7"/>
      <c r="M187" s="23"/>
      <c r="N187" s="7"/>
      <c r="O187" s="7"/>
      <c r="P187" s="7"/>
      <c r="Q187" s="7"/>
      <c r="R187" s="7"/>
      <c r="S187" s="7"/>
      <c r="T187" s="7"/>
      <c r="U187" s="7"/>
      <c r="V187" s="272"/>
      <c r="W187" s="7"/>
      <c r="X187" s="7"/>
      <c r="Y187" s="7"/>
      <c r="Z187" s="7"/>
      <c r="AA187" s="7"/>
    </row>
    <row r="188" spans="2:27" ht="12.5" hidden="1" customHeight="1" outlineLevel="1" x14ac:dyDescent="0.35">
      <c r="B188" s="7"/>
      <c r="C188" s="406"/>
      <c r="D188" s="822"/>
      <c r="E188" s="422"/>
      <c r="F188" s="7"/>
      <c r="G188" s="7"/>
      <c r="H188" s="7"/>
      <c r="I188" s="415"/>
      <c r="J188" s="373"/>
      <c r="K188" s="22"/>
      <c r="L188" s="7"/>
      <c r="M188" s="23"/>
      <c r="N188" s="7"/>
      <c r="O188" s="7"/>
      <c r="P188" s="7"/>
      <c r="Q188" s="7"/>
      <c r="R188" s="7"/>
      <c r="S188" s="7"/>
      <c r="T188" s="7"/>
      <c r="U188" s="7"/>
      <c r="V188" s="272"/>
      <c r="W188" s="7"/>
      <c r="X188" s="7"/>
      <c r="Y188" s="7"/>
      <c r="Z188" s="7"/>
      <c r="AA188" s="7"/>
    </row>
    <row r="189" spans="2:27" ht="12.5" hidden="1" customHeight="1" outlineLevel="1" x14ac:dyDescent="0.35">
      <c r="B189" s="7"/>
      <c r="C189" s="239" t="s">
        <v>148</v>
      </c>
      <c r="D189" s="828"/>
      <c r="E189" s="57"/>
      <c r="F189" s="57"/>
      <c r="G189" s="115"/>
      <c r="H189" s="240" t="str">
        <f>"CoC: "&amp;TEXT(I196,"0.0%")&amp;" • AAR: "&amp;TEXT(I204,"0.0%")&amp;" • IRR: "&amp;TEXT(I207,"0.0%")&amp;" • EMx: "&amp;TEXT(I208,"#.##")</f>
        <v>CoC: 0.0% • AAR: 0.0% • IRR: 0.0% • EMx: .</v>
      </c>
      <c r="I189" s="117" t="s">
        <v>146</v>
      </c>
      <c r="J189" s="533" t="s">
        <v>143</v>
      </c>
      <c r="K189" s="551"/>
      <c r="L189" s="61"/>
      <c r="M189" s="234">
        <v>1</v>
      </c>
      <c r="N189" s="61">
        <f t="shared" ref="N189:V189" si="121">M189+1</f>
        <v>2</v>
      </c>
      <c r="O189" s="61">
        <f t="shared" si="121"/>
        <v>3</v>
      </c>
      <c r="P189" s="61">
        <f t="shared" si="121"/>
        <v>4</v>
      </c>
      <c r="Q189" s="61">
        <f t="shared" si="121"/>
        <v>5</v>
      </c>
      <c r="R189" s="61">
        <f t="shared" si="121"/>
        <v>6</v>
      </c>
      <c r="S189" s="61">
        <f t="shared" si="121"/>
        <v>7</v>
      </c>
      <c r="T189" s="61">
        <f t="shared" si="121"/>
        <v>8</v>
      </c>
      <c r="U189" s="61">
        <f t="shared" si="121"/>
        <v>9</v>
      </c>
      <c r="V189" s="62">
        <f t="shared" si="121"/>
        <v>10</v>
      </c>
      <c r="W189" s="7"/>
      <c r="X189" s="7"/>
      <c r="Y189" s="7"/>
      <c r="Z189" s="7"/>
      <c r="AA189" s="7"/>
    </row>
    <row r="190" spans="2:27" ht="12.5" hidden="1" customHeight="1" outlineLevel="1" x14ac:dyDescent="0.35">
      <c r="B190" s="7"/>
      <c r="C190" s="271" t="s">
        <v>99</v>
      </c>
      <c r="D190" s="422"/>
      <c r="E190" s="7"/>
      <c r="F190" s="7"/>
      <c r="G190" s="7"/>
      <c r="H190" s="7"/>
      <c r="I190" s="421"/>
      <c r="J190" s="373"/>
      <c r="K190" s="22"/>
      <c r="L190" s="7"/>
      <c r="M190" s="23"/>
      <c r="N190" s="72"/>
      <c r="O190" s="72"/>
      <c r="P190" s="72"/>
      <c r="Q190" s="72"/>
      <c r="R190" s="72"/>
      <c r="S190" s="72"/>
      <c r="T190" s="72"/>
      <c r="U190" s="72"/>
      <c r="V190" s="330"/>
      <c r="W190" s="7"/>
      <c r="X190" s="7"/>
      <c r="Y190" s="7"/>
      <c r="Z190" s="7"/>
      <c r="AA190" s="7"/>
    </row>
    <row r="191" spans="2:27" ht="12.5" hidden="1" customHeight="1" outlineLevel="1" x14ac:dyDescent="0.35">
      <c r="B191" s="7"/>
      <c r="C191" s="388" t="s">
        <v>100</v>
      </c>
      <c r="D191" s="820"/>
      <c r="E191" s="7"/>
      <c r="F191" s="7"/>
      <c r="G191" s="7"/>
      <c r="H191" s="413">
        <f>$O$7</f>
        <v>0.08</v>
      </c>
      <c r="I191" s="414">
        <f>SUM(J191:V191)</f>
        <v>0</v>
      </c>
      <c r="J191" s="373"/>
      <c r="K191" s="22"/>
      <c r="L191" s="7"/>
      <c r="M191" s="514">
        <f t="shared" ref="M191:V191" si="122">IF(M189&lt;=$G$20,M$162*$H$170+L193-L201,0)</f>
        <v>0</v>
      </c>
      <c r="N191" s="72">
        <f t="shared" si="122"/>
        <v>0</v>
      </c>
      <c r="O191" s="72">
        <f t="shared" si="122"/>
        <v>0</v>
      </c>
      <c r="P191" s="72">
        <f t="shared" si="122"/>
        <v>0</v>
      </c>
      <c r="Q191" s="72">
        <f t="shared" si="122"/>
        <v>0</v>
      </c>
      <c r="R191" s="72">
        <f t="shared" si="122"/>
        <v>0</v>
      </c>
      <c r="S191" s="72">
        <f t="shared" si="122"/>
        <v>0</v>
      </c>
      <c r="T191" s="72">
        <f t="shared" si="122"/>
        <v>0</v>
      </c>
      <c r="U191" s="72">
        <f t="shared" si="122"/>
        <v>0</v>
      </c>
      <c r="V191" s="330">
        <f t="shared" si="122"/>
        <v>0</v>
      </c>
      <c r="W191" s="7"/>
      <c r="X191" s="7"/>
      <c r="Y191" s="7"/>
      <c r="Z191" s="7"/>
      <c r="AA191" s="7"/>
    </row>
    <row r="192" spans="2:27" ht="12.5" hidden="1" customHeight="1" outlineLevel="1" x14ac:dyDescent="0.35">
      <c r="B192" s="7"/>
      <c r="C192" s="388" t="s">
        <v>101</v>
      </c>
      <c r="D192" s="820"/>
      <c r="E192" s="7"/>
      <c r="F192" s="7"/>
      <c r="G192" s="7"/>
      <c r="H192" s="395"/>
      <c r="I192" s="414">
        <f>SUM(J192:V192)</f>
        <v>0</v>
      </c>
      <c r="J192" s="373"/>
      <c r="K192" s="22"/>
      <c r="L192" s="7"/>
      <c r="M192" s="514">
        <f t="shared" ref="M192:V192" si="123">IF(M152&gt;0,MIN(M191,M$152),0)</f>
        <v>0</v>
      </c>
      <c r="N192" s="72">
        <f t="shared" si="123"/>
        <v>0</v>
      </c>
      <c r="O192" s="72">
        <f t="shared" si="123"/>
        <v>0</v>
      </c>
      <c r="P192" s="72">
        <f t="shared" si="123"/>
        <v>0</v>
      </c>
      <c r="Q192" s="72">
        <f t="shared" si="123"/>
        <v>0</v>
      </c>
      <c r="R192" s="72">
        <f t="shared" si="123"/>
        <v>0</v>
      </c>
      <c r="S192" s="72">
        <f t="shared" si="123"/>
        <v>0</v>
      </c>
      <c r="T192" s="72">
        <f t="shared" si="123"/>
        <v>0</v>
      </c>
      <c r="U192" s="72">
        <f t="shared" si="123"/>
        <v>0</v>
      </c>
      <c r="V192" s="330">
        <f t="shared" si="123"/>
        <v>0</v>
      </c>
      <c r="W192" s="7"/>
      <c r="X192" s="7"/>
      <c r="Y192" s="7"/>
      <c r="Z192" s="7"/>
      <c r="AA192" s="7"/>
    </row>
    <row r="193" spans="2:27" ht="12.5" hidden="1" customHeight="1" outlineLevel="1" x14ac:dyDescent="0.35">
      <c r="B193" s="7"/>
      <c r="C193" s="388" t="s">
        <v>144</v>
      </c>
      <c r="D193" s="820"/>
      <c r="E193" s="7"/>
      <c r="F193" s="7"/>
      <c r="G193" s="7"/>
      <c r="H193" s="395"/>
      <c r="I193" s="414">
        <f>SUM(J193:V193)</f>
        <v>0</v>
      </c>
      <c r="J193" s="373"/>
      <c r="K193" s="22"/>
      <c r="L193" s="7"/>
      <c r="M193" s="514">
        <f t="shared" ref="M193:V193" si="124">M191-M192</f>
        <v>0</v>
      </c>
      <c r="N193" s="72">
        <f t="shared" si="124"/>
        <v>0</v>
      </c>
      <c r="O193" s="72">
        <f t="shared" si="124"/>
        <v>0</v>
      </c>
      <c r="P193" s="72">
        <f t="shared" si="124"/>
        <v>0</v>
      </c>
      <c r="Q193" s="72">
        <f t="shared" si="124"/>
        <v>0</v>
      </c>
      <c r="R193" s="72">
        <f t="shared" si="124"/>
        <v>0</v>
      </c>
      <c r="S193" s="72">
        <f t="shared" si="124"/>
        <v>0</v>
      </c>
      <c r="T193" s="72">
        <f t="shared" si="124"/>
        <v>0</v>
      </c>
      <c r="U193" s="72">
        <f t="shared" si="124"/>
        <v>0</v>
      </c>
      <c r="V193" s="330">
        <f t="shared" si="124"/>
        <v>0</v>
      </c>
      <c r="W193" s="7"/>
      <c r="X193" s="7"/>
      <c r="Y193" s="7"/>
      <c r="Z193" s="7"/>
      <c r="AA193" s="7"/>
    </row>
    <row r="194" spans="2:27" ht="12.5" hidden="1" customHeight="1" outlineLevel="1" x14ac:dyDescent="0.35">
      <c r="B194" s="7"/>
      <c r="C194" s="388" t="s">
        <v>145</v>
      </c>
      <c r="D194" s="820"/>
      <c r="E194" s="7"/>
      <c r="F194" s="7"/>
      <c r="G194" s="7"/>
      <c r="H194" s="416">
        <f>$N$8</f>
        <v>0.7</v>
      </c>
      <c r="I194" s="414">
        <f>SUM(J194:V194)</f>
        <v>0</v>
      </c>
      <c r="J194" s="373"/>
      <c r="K194" s="22"/>
      <c r="L194" s="7"/>
      <c r="M194" s="514">
        <f t="shared" ref="M194:V194" si="125">M173*$H194</f>
        <v>0</v>
      </c>
      <c r="N194" s="72">
        <f t="shared" si="125"/>
        <v>0</v>
      </c>
      <c r="O194" s="72">
        <f t="shared" si="125"/>
        <v>0</v>
      </c>
      <c r="P194" s="72">
        <f t="shared" si="125"/>
        <v>0</v>
      </c>
      <c r="Q194" s="72">
        <f t="shared" si="125"/>
        <v>0</v>
      </c>
      <c r="R194" s="72">
        <f t="shared" si="125"/>
        <v>0</v>
      </c>
      <c r="S194" s="72">
        <f t="shared" si="125"/>
        <v>0</v>
      </c>
      <c r="T194" s="72">
        <f t="shared" si="125"/>
        <v>0</v>
      </c>
      <c r="U194" s="72">
        <f t="shared" si="125"/>
        <v>0</v>
      </c>
      <c r="V194" s="330">
        <f t="shared" si="125"/>
        <v>0</v>
      </c>
      <c r="W194" s="7"/>
      <c r="X194" s="7"/>
      <c r="Y194" s="7"/>
      <c r="Z194" s="7"/>
      <c r="AA194" s="7"/>
    </row>
    <row r="195" spans="2:27" ht="12.5" hidden="1" customHeight="1" outlineLevel="1" x14ac:dyDescent="0.35">
      <c r="B195" s="7"/>
      <c r="C195" s="36" t="s">
        <v>102</v>
      </c>
      <c r="D195" s="37"/>
      <c r="E195" s="19"/>
      <c r="F195" s="19"/>
      <c r="G195" s="19"/>
      <c r="H195" s="19"/>
      <c r="I195" s="113">
        <f>SUM(J195:V195)</f>
        <v>0</v>
      </c>
      <c r="J195" s="531"/>
      <c r="K195" s="111"/>
      <c r="L195" s="19"/>
      <c r="M195" s="552">
        <f t="shared" ref="M195:V195" si="126">M192+M194</f>
        <v>0</v>
      </c>
      <c r="N195" s="107">
        <f t="shared" si="126"/>
        <v>0</v>
      </c>
      <c r="O195" s="107">
        <f t="shared" si="126"/>
        <v>0</v>
      </c>
      <c r="P195" s="107">
        <f t="shared" si="126"/>
        <v>0</v>
      </c>
      <c r="Q195" s="107">
        <f t="shared" si="126"/>
        <v>0</v>
      </c>
      <c r="R195" s="107">
        <f t="shared" si="126"/>
        <v>0</v>
      </c>
      <c r="S195" s="107">
        <f t="shared" si="126"/>
        <v>0</v>
      </c>
      <c r="T195" s="107">
        <f t="shared" si="126"/>
        <v>0</v>
      </c>
      <c r="U195" s="107">
        <f t="shared" si="126"/>
        <v>0</v>
      </c>
      <c r="V195" s="112">
        <f t="shared" si="126"/>
        <v>0</v>
      </c>
      <c r="W195" s="7"/>
      <c r="X195" s="7"/>
      <c r="Y195" s="7"/>
      <c r="Z195" s="7"/>
      <c r="AA195" s="7"/>
    </row>
    <row r="196" spans="2:27" ht="12.5" hidden="1" customHeight="1" outlineLevel="1" x14ac:dyDescent="0.35">
      <c r="B196" s="7"/>
      <c r="C196" s="417" t="s">
        <v>103</v>
      </c>
      <c r="D196" s="827"/>
      <c r="E196" s="7"/>
      <c r="F196" s="7"/>
      <c r="G196" s="7"/>
      <c r="H196" s="7"/>
      <c r="I196" s="418">
        <f>IFERROR(AVERAGE(K196:V196),0)</f>
        <v>0</v>
      </c>
      <c r="J196" s="373"/>
      <c r="K196" s="22"/>
      <c r="L196" s="7"/>
      <c r="M196" s="556" t="str">
        <f t="shared" ref="M196:V196" si="127">IFERROR(M195/M$162,"")</f>
        <v/>
      </c>
      <c r="N196" s="419" t="str">
        <f t="shared" si="127"/>
        <v/>
      </c>
      <c r="O196" s="419" t="str">
        <f t="shared" si="127"/>
        <v/>
      </c>
      <c r="P196" s="419" t="str">
        <f t="shared" si="127"/>
        <v/>
      </c>
      <c r="Q196" s="419" t="str">
        <f t="shared" si="127"/>
        <v/>
      </c>
      <c r="R196" s="419" t="str">
        <f t="shared" si="127"/>
        <v/>
      </c>
      <c r="S196" s="419" t="str">
        <f t="shared" si="127"/>
        <v/>
      </c>
      <c r="T196" s="419" t="str">
        <f t="shared" si="127"/>
        <v/>
      </c>
      <c r="U196" s="419" t="str">
        <f t="shared" si="127"/>
        <v/>
      </c>
      <c r="V196" s="420" t="str">
        <f t="shared" si="127"/>
        <v/>
      </c>
      <c r="W196" s="7"/>
      <c r="X196" s="7"/>
      <c r="Y196" s="7"/>
      <c r="Z196" s="7"/>
      <c r="AA196" s="7"/>
    </row>
    <row r="197" spans="2:27" ht="12.5" hidden="1" customHeight="1" outlineLevel="1" x14ac:dyDescent="0.35">
      <c r="B197" s="7"/>
      <c r="C197" s="417" t="s">
        <v>240</v>
      </c>
      <c r="D197" s="827"/>
      <c r="E197" s="7"/>
      <c r="F197" s="7"/>
      <c r="G197" s="7"/>
      <c r="H197" s="7"/>
      <c r="I197" s="418">
        <f>IFERROR(((SUMIF(M195:V195,"&lt;&gt;""")+SUMIF(M201:V201,"&lt;&gt;"""))/AVERAGEIF($M$162:$V$162,"&gt;0"))/$G$20,0)</f>
        <v>0</v>
      </c>
      <c r="J197" s="373"/>
      <c r="K197" s="22"/>
      <c r="L197" s="7"/>
      <c r="M197" s="556"/>
      <c r="N197" s="419"/>
      <c r="O197" s="419"/>
      <c r="P197" s="419"/>
      <c r="Q197" s="419"/>
      <c r="R197" s="419"/>
      <c r="S197" s="419"/>
      <c r="T197" s="419"/>
      <c r="U197" s="419"/>
      <c r="V197" s="420"/>
      <c r="W197" s="7"/>
      <c r="X197" s="7"/>
      <c r="Y197" s="7"/>
      <c r="Z197" s="7"/>
      <c r="AA197" s="7"/>
    </row>
    <row r="198" spans="2:27" ht="12.5" hidden="1" customHeight="1" outlineLevel="1" x14ac:dyDescent="0.35">
      <c r="B198" s="7"/>
      <c r="C198" s="393"/>
      <c r="D198" s="7"/>
      <c r="E198" s="7"/>
      <c r="F198" s="7"/>
      <c r="G198" s="7"/>
      <c r="H198" s="7"/>
      <c r="I198" s="421"/>
      <c r="J198" s="373"/>
      <c r="K198" s="22"/>
      <c r="L198" s="7"/>
      <c r="M198" s="23"/>
      <c r="N198" s="7"/>
      <c r="O198" s="7"/>
      <c r="P198" s="7"/>
      <c r="Q198" s="7"/>
      <c r="R198" s="7"/>
      <c r="S198" s="7"/>
      <c r="T198" s="7"/>
      <c r="U198" s="7"/>
      <c r="V198" s="272"/>
      <c r="W198" s="7"/>
      <c r="X198" s="7"/>
      <c r="Y198" s="7"/>
      <c r="Z198" s="7"/>
      <c r="AA198" s="7"/>
    </row>
    <row r="199" spans="2:27" ht="12.5" hidden="1" customHeight="1" outlineLevel="1" x14ac:dyDescent="0.35">
      <c r="B199" s="7"/>
      <c r="C199" s="406" t="s">
        <v>104</v>
      </c>
      <c r="D199" s="822"/>
      <c r="E199" s="7"/>
      <c r="F199" s="7"/>
      <c r="G199" s="7"/>
      <c r="H199" s="7"/>
      <c r="I199" s="415"/>
      <c r="J199" s="373"/>
      <c r="K199" s="22"/>
      <c r="L199" s="7"/>
      <c r="M199" s="23"/>
      <c r="N199" s="7"/>
      <c r="O199" s="7"/>
      <c r="P199" s="7"/>
      <c r="Q199" s="7"/>
      <c r="R199" s="7"/>
      <c r="S199" s="7"/>
      <c r="T199" s="7"/>
      <c r="U199" s="7"/>
      <c r="V199" s="272"/>
      <c r="W199" s="7"/>
      <c r="X199" s="7"/>
      <c r="Y199" s="7"/>
      <c r="Z199" s="7"/>
      <c r="AA199" s="7"/>
    </row>
    <row r="200" spans="2:27" ht="12.5" hidden="1" customHeight="1" outlineLevel="1" x14ac:dyDescent="0.35">
      <c r="B200" s="7"/>
      <c r="C200" s="388" t="s">
        <v>105</v>
      </c>
      <c r="D200" s="820"/>
      <c r="E200" s="7"/>
      <c r="F200" s="7"/>
      <c r="G200" s="7"/>
      <c r="H200" s="416">
        <f>$N$8</f>
        <v>0.7</v>
      </c>
      <c r="I200" s="414">
        <f>SUM(J200:V200)</f>
        <v>0</v>
      </c>
      <c r="J200" s="373"/>
      <c r="K200" s="22"/>
      <c r="L200" s="7"/>
      <c r="M200" s="514">
        <f t="shared" ref="M200:V200" si="128">M179*$H200</f>
        <v>0</v>
      </c>
      <c r="N200" s="72">
        <f t="shared" si="128"/>
        <v>0</v>
      </c>
      <c r="O200" s="72">
        <f t="shared" si="128"/>
        <v>0</v>
      </c>
      <c r="P200" s="72">
        <f t="shared" si="128"/>
        <v>0</v>
      </c>
      <c r="Q200" s="72">
        <f t="shared" si="128"/>
        <v>0</v>
      </c>
      <c r="R200" s="72">
        <f t="shared" si="128"/>
        <v>0</v>
      </c>
      <c r="S200" s="72">
        <f t="shared" si="128"/>
        <v>0</v>
      </c>
      <c r="T200" s="72">
        <f t="shared" si="128"/>
        <v>0</v>
      </c>
      <c r="U200" s="72">
        <f t="shared" si="128"/>
        <v>0</v>
      </c>
      <c r="V200" s="330">
        <f t="shared" si="128"/>
        <v>0</v>
      </c>
      <c r="W200" s="7"/>
      <c r="X200" s="7"/>
      <c r="Y200" s="7"/>
      <c r="Z200" s="7"/>
      <c r="AA200" s="7"/>
    </row>
    <row r="201" spans="2:27" ht="12.5" hidden="1" customHeight="1" outlineLevel="1" x14ac:dyDescent="0.35">
      <c r="B201" s="7"/>
      <c r="C201" s="464" t="s">
        <v>298</v>
      </c>
      <c r="D201" s="826"/>
      <c r="E201" s="7"/>
      <c r="F201" s="7"/>
      <c r="G201" s="7"/>
      <c r="H201" s="395"/>
      <c r="I201" s="414">
        <f>SUM(J201:V201)</f>
        <v>0</v>
      </c>
      <c r="J201" s="373"/>
      <c r="K201" s="22"/>
      <c r="L201" s="7"/>
      <c r="M201" s="514">
        <f t="shared" ref="M201:V201" si="129">M180</f>
        <v>0</v>
      </c>
      <c r="N201" s="72">
        <f t="shared" si="129"/>
        <v>0</v>
      </c>
      <c r="O201" s="72">
        <f t="shared" si="129"/>
        <v>0</v>
      </c>
      <c r="P201" s="72">
        <f t="shared" si="129"/>
        <v>0</v>
      </c>
      <c r="Q201" s="72">
        <f t="shared" si="129"/>
        <v>0</v>
      </c>
      <c r="R201" s="72">
        <f t="shared" si="129"/>
        <v>0</v>
      </c>
      <c r="S201" s="72">
        <f t="shared" si="129"/>
        <v>0</v>
      </c>
      <c r="T201" s="72">
        <f t="shared" si="129"/>
        <v>0</v>
      </c>
      <c r="U201" s="72">
        <f t="shared" si="129"/>
        <v>0</v>
      </c>
      <c r="V201" s="330">
        <f t="shared" si="129"/>
        <v>0</v>
      </c>
      <c r="W201" s="7"/>
      <c r="X201" s="7"/>
      <c r="Y201" s="7"/>
      <c r="Z201" s="7"/>
      <c r="AA201" s="7"/>
    </row>
    <row r="202" spans="2:27" ht="12.5" hidden="1" customHeight="1" outlineLevel="1" x14ac:dyDescent="0.35">
      <c r="B202" s="7"/>
      <c r="C202" s="388" t="s">
        <v>106</v>
      </c>
      <c r="D202" s="820"/>
      <c r="E202" s="7"/>
      <c r="F202" s="7"/>
      <c r="G202" s="7"/>
      <c r="H202" s="416">
        <f>$N$8</f>
        <v>0.7</v>
      </c>
      <c r="I202" s="414">
        <f>SUM(J202:V202)</f>
        <v>0</v>
      </c>
      <c r="J202" s="373"/>
      <c r="K202" s="22"/>
      <c r="L202" s="7"/>
      <c r="M202" s="514">
        <f t="shared" ref="M202:V202" si="130">M181*$H202</f>
        <v>0</v>
      </c>
      <c r="N202" s="72">
        <f t="shared" si="130"/>
        <v>0</v>
      </c>
      <c r="O202" s="72">
        <f t="shared" si="130"/>
        <v>0</v>
      </c>
      <c r="P202" s="72">
        <f t="shared" si="130"/>
        <v>0</v>
      </c>
      <c r="Q202" s="72">
        <f t="shared" si="130"/>
        <v>0</v>
      </c>
      <c r="R202" s="72">
        <f t="shared" si="130"/>
        <v>0</v>
      </c>
      <c r="S202" s="72">
        <f t="shared" si="130"/>
        <v>0</v>
      </c>
      <c r="T202" s="72">
        <f t="shared" si="130"/>
        <v>0</v>
      </c>
      <c r="U202" s="72">
        <f t="shared" si="130"/>
        <v>0</v>
      </c>
      <c r="V202" s="330">
        <f t="shared" si="130"/>
        <v>0</v>
      </c>
      <c r="W202" s="7"/>
      <c r="X202" s="7"/>
      <c r="Y202" s="7"/>
      <c r="Z202" s="7"/>
      <c r="AA202" s="7"/>
    </row>
    <row r="203" spans="2:27" ht="12.5" hidden="1" customHeight="1" outlineLevel="1" x14ac:dyDescent="0.35">
      <c r="B203" s="7"/>
      <c r="C203" s="108" t="s">
        <v>107</v>
      </c>
      <c r="D203" s="823"/>
      <c r="E203" s="19"/>
      <c r="F203" s="109"/>
      <c r="G203" s="109"/>
      <c r="H203" s="109"/>
      <c r="I203" s="113">
        <f>SUM(J203:V203)</f>
        <v>0</v>
      </c>
      <c r="J203" s="534"/>
      <c r="K203" s="111"/>
      <c r="L203" s="19"/>
      <c r="M203" s="552">
        <f t="shared" ref="M203:V203" si="131">M195+M200+M201+M202</f>
        <v>0</v>
      </c>
      <c r="N203" s="107">
        <f t="shared" si="131"/>
        <v>0</v>
      </c>
      <c r="O203" s="107">
        <f t="shared" si="131"/>
        <v>0</v>
      </c>
      <c r="P203" s="107">
        <f t="shared" si="131"/>
        <v>0</v>
      </c>
      <c r="Q203" s="107">
        <f t="shared" si="131"/>
        <v>0</v>
      </c>
      <c r="R203" s="107">
        <f t="shared" si="131"/>
        <v>0</v>
      </c>
      <c r="S203" s="107">
        <f t="shared" si="131"/>
        <v>0</v>
      </c>
      <c r="T203" s="107">
        <f t="shared" si="131"/>
        <v>0</v>
      </c>
      <c r="U203" s="107">
        <f t="shared" si="131"/>
        <v>0</v>
      </c>
      <c r="V203" s="112">
        <f t="shared" si="131"/>
        <v>0</v>
      </c>
      <c r="W203" s="7"/>
      <c r="X203" s="7"/>
      <c r="Y203" s="7"/>
      <c r="Z203" s="7"/>
      <c r="AA203" s="7"/>
    </row>
    <row r="204" spans="2:27" ht="12.5" hidden="1" customHeight="1" outlineLevel="1" x14ac:dyDescent="0.35">
      <c r="B204" s="7"/>
      <c r="C204" s="417" t="s">
        <v>108</v>
      </c>
      <c r="D204" s="827"/>
      <c r="E204" s="422"/>
      <c r="F204" s="7"/>
      <c r="G204" s="7"/>
      <c r="H204" s="7"/>
      <c r="I204" s="423">
        <f>IFERROR(SUM(K203:V203)/-$J$161/$G$20,0)</f>
        <v>0</v>
      </c>
      <c r="J204" s="373"/>
      <c r="K204" s="22"/>
      <c r="L204" s="7"/>
      <c r="M204" s="23"/>
      <c r="N204" s="7"/>
      <c r="O204" s="7"/>
      <c r="P204" s="7"/>
      <c r="Q204" s="7"/>
      <c r="R204" s="7"/>
      <c r="S204" s="7"/>
      <c r="T204" s="7"/>
      <c r="U204" s="7"/>
      <c r="V204" s="272"/>
      <c r="W204" s="7"/>
      <c r="X204" s="7"/>
      <c r="Y204" s="7"/>
      <c r="Z204" s="7"/>
      <c r="AA204" s="7"/>
    </row>
    <row r="205" spans="2:27" ht="12.5" hidden="1" customHeight="1" outlineLevel="1" x14ac:dyDescent="0.35">
      <c r="B205" s="7"/>
      <c r="C205" s="406"/>
      <c r="D205" s="822"/>
      <c r="E205" s="422"/>
      <c r="F205" s="7"/>
      <c r="G205" s="7"/>
      <c r="H205" s="7"/>
      <c r="I205" s="415"/>
      <c r="J205" s="373"/>
      <c r="K205" s="22"/>
      <c r="L205" s="7"/>
      <c r="M205" s="23"/>
      <c r="N205" s="7"/>
      <c r="O205" s="7"/>
      <c r="P205" s="7"/>
      <c r="Q205" s="7"/>
      <c r="R205" s="7"/>
      <c r="S205" s="7"/>
      <c r="T205" s="7"/>
      <c r="U205" s="7"/>
      <c r="V205" s="272"/>
      <c r="W205" s="7"/>
      <c r="X205" s="7"/>
      <c r="Y205" s="7"/>
      <c r="Z205" s="7"/>
      <c r="AA205" s="7"/>
    </row>
    <row r="206" spans="2:27" ht="12.5" hidden="1" customHeight="1" outlineLevel="1" x14ac:dyDescent="0.35">
      <c r="B206" s="7"/>
      <c r="C206" s="108" t="s">
        <v>181</v>
      </c>
      <c r="D206" s="823"/>
      <c r="E206" s="19"/>
      <c r="F206" s="109"/>
      <c r="G206" s="109"/>
      <c r="H206" s="109"/>
      <c r="I206" s="113">
        <f>SUM(J206:V206)</f>
        <v>0</v>
      </c>
      <c r="J206" s="535">
        <f>J$161</f>
        <v>0</v>
      </c>
      <c r="K206" s="111"/>
      <c r="L206" s="19"/>
      <c r="M206" s="552">
        <f t="shared" ref="M206:V206" si="132">M$163+M203</f>
        <v>0</v>
      </c>
      <c r="N206" s="107">
        <f t="shared" si="132"/>
        <v>0</v>
      </c>
      <c r="O206" s="107">
        <f t="shared" si="132"/>
        <v>0</v>
      </c>
      <c r="P206" s="107">
        <f t="shared" si="132"/>
        <v>0</v>
      </c>
      <c r="Q206" s="107">
        <f t="shared" si="132"/>
        <v>0</v>
      </c>
      <c r="R206" s="107">
        <f t="shared" si="132"/>
        <v>0</v>
      </c>
      <c r="S206" s="107">
        <f t="shared" si="132"/>
        <v>0</v>
      </c>
      <c r="T206" s="107">
        <f t="shared" si="132"/>
        <v>0</v>
      </c>
      <c r="U206" s="107">
        <f t="shared" si="132"/>
        <v>0</v>
      </c>
      <c r="V206" s="112">
        <f t="shared" si="132"/>
        <v>0</v>
      </c>
      <c r="W206" s="7"/>
      <c r="X206" s="7"/>
      <c r="Y206" s="7"/>
      <c r="Z206" s="7"/>
      <c r="AA206" s="7"/>
    </row>
    <row r="207" spans="2:27" ht="12.5" hidden="1" customHeight="1" outlineLevel="1" x14ac:dyDescent="0.35">
      <c r="B207" s="7"/>
      <c r="C207" s="417" t="s">
        <v>109</v>
      </c>
      <c r="D207" s="827"/>
      <c r="E207" s="422"/>
      <c r="F207" s="7"/>
      <c r="G207" s="7"/>
      <c r="H207" s="7"/>
      <c r="I207" s="423">
        <f>IFERROR(IRR(J206:V206),0)</f>
        <v>0</v>
      </c>
      <c r="J207" s="373"/>
      <c r="K207" s="22"/>
      <c r="L207" s="7"/>
      <c r="M207" s="23"/>
      <c r="N207" s="7"/>
      <c r="O207" s="7"/>
      <c r="P207" s="7"/>
      <c r="Q207" s="7"/>
      <c r="R207" s="7"/>
      <c r="S207" s="7"/>
      <c r="T207" s="7"/>
      <c r="U207" s="7"/>
      <c r="V207" s="272"/>
      <c r="W207" s="7"/>
      <c r="X207" s="7"/>
      <c r="Y207" s="7"/>
      <c r="Z207" s="7"/>
      <c r="AA207" s="7"/>
    </row>
    <row r="208" spans="2:27" ht="12.5" hidden="1" customHeight="1" outlineLevel="1" x14ac:dyDescent="0.35">
      <c r="B208" s="7"/>
      <c r="C208" s="417" t="s">
        <v>110</v>
      </c>
      <c r="D208" s="827"/>
      <c r="E208" s="422"/>
      <c r="F208" s="7"/>
      <c r="G208" s="7"/>
      <c r="H208" s="7"/>
      <c r="I208" s="421">
        <f>IFERROR(ROUND(SUMIF(J206:V206,"&gt;0")/-SUMIF(J206:V206,"&lt;0"),2),0)</f>
        <v>0</v>
      </c>
      <c r="J208" s="373"/>
      <c r="K208" s="22"/>
      <c r="L208" s="7"/>
      <c r="M208" s="23"/>
      <c r="N208" s="7"/>
      <c r="O208" s="7"/>
      <c r="P208" s="7"/>
      <c r="Q208" s="7"/>
      <c r="R208" s="7"/>
      <c r="S208" s="7"/>
      <c r="T208" s="7"/>
      <c r="U208" s="7"/>
      <c r="V208" s="272"/>
      <c r="W208" s="7"/>
      <c r="X208" s="7"/>
      <c r="Y208" s="7"/>
      <c r="Z208" s="7"/>
      <c r="AA208" s="7"/>
    </row>
    <row r="209" spans="2:85" ht="12.5" hidden="1" customHeight="1" outlineLevel="1" x14ac:dyDescent="0.35">
      <c r="B209" s="7"/>
      <c r="C209" s="406"/>
      <c r="D209" s="822"/>
      <c r="E209" s="422"/>
      <c r="F209" s="7"/>
      <c r="G209" s="7"/>
      <c r="H209" s="7"/>
      <c r="I209" s="415"/>
      <c r="J209" s="373"/>
      <c r="K209" s="22"/>
      <c r="L209" s="7"/>
      <c r="M209" s="23"/>
      <c r="N209" s="7"/>
      <c r="O209" s="7"/>
      <c r="P209" s="7"/>
      <c r="Q209" s="7"/>
      <c r="R209" s="7"/>
      <c r="S209" s="7"/>
      <c r="T209" s="7"/>
      <c r="U209" s="7"/>
      <c r="V209" s="272"/>
      <c r="W209" s="7"/>
      <c r="X209" s="7"/>
      <c r="Y209" s="7"/>
      <c r="Z209" s="7"/>
      <c r="AA209" s="7"/>
    </row>
    <row r="210" spans="2:85" ht="12.5" hidden="1" customHeight="1" outlineLevel="1" x14ac:dyDescent="0.35">
      <c r="B210" s="7"/>
      <c r="C210" s="239" t="s">
        <v>149</v>
      </c>
      <c r="D210" s="828"/>
      <c r="E210" s="57"/>
      <c r="F210" s="57"/>
      <c r="G210" s="115"/>
      <c r="H210" s="116"/>
      <c r="I210" s="233" t="s">
        <v>146</v>
      </c>
      <c r="J210" s="536" t="s">
        <v>143</v>
      </c>
      <c r="K210" s="551"/>
      <c r="L210" s="61"/>
      <c r="M210" s="234">
        <v>1</v>
      </c>
      <c r="N210" s="61">
        <f t="shared" ref="N210:V210" si="133">M210+1</f>
        <v>2</v>
      </c>
      <c r="O210" s="61">
        <f t="shared" si="133"/>
        <v>3</v>
      </c>
      <c r="P210" s="61">
        <f t="shared" si="133"/>
        <v>4</v>
      </c>
      <c r="Q210" s="61">
        <f t="shared" si="133"/>
        <v>5</v>
      </c>
      <c r="R210" s="61">
        <f t="shared" si="133"/>
        <v>6</v>
      </c>
      <c r="S210" s="61">
        <f t="shared" si="133"/>
        <v>7</v>
      </c>
      <c r="T210" s="61">
        <f t="shared" si="133"/>
        <v>8</v>
      </c>
      <c r="U210" s="61">
        <f t="shared" si="133"/>
        <v>9</v>
      </c>
      <c r="V210" s="62">
        <f t="shared" si="133"/>
        <v>10</v>
      </c>
      <c r="W210" s="7"/>
      <c r="X210" s="7"/>
      <c r="Y210" s="7"/>
      <c r="Z210" s="7"/>
      <c r="AA210" s="7"/>
    </row>
    <row r="211" spans="2:85" ht="12.5" hidden="1" customHeight="1" outlineLevel="1" x14ac:dyDescent="0.35">
      <c r="B211" s="7"/>
      <c r="C211" s="271" t="s">
        <v>150</v>
      </c>
      <c r="D211" s="422"/>
      <c r="E211" s="7"/>
      <c r="F211" s="7"/>
      <c r="G211" s="7"/>
      <c r="H211" s="7"/>
      <c r="I211" s="424"/>
      <c r="J211" s="22"/>
      <c r="K211" s="22"/>
      <c r="L211" s="7"/>
      <c r="M211" s="23"/>
      <c r="N211" s="72"/>
      <c r="O211" s="72"/>
      <c r="P211" s="72"/>
      <c r="Q211" s="72"/>
      <c r="R211" s="72"/>
      <c r="S211" s="72"/>
      <c r="T211" s="72"/>
      <c r="U211" s="72"/>
      <c r="V211" s="330"/>
      <c r="W211" s="7"/>
      <c r="X211" s="7"/>
      <c r="Y211" s="7"/>
      <c r="Z211" s="7"/>
      <c r="AA211" s="7"/>
    </row>
    <row r="212" spans="2:85" ht="12.5" hidden="1" customHeight="1" outlineLevel="1" x14ac:dyDescent="0.35">
      <c r="B212" s="7"/>
      <c r="C212" s="388" t="s">
        <v>145</v>
      </c>
      <c r="D212" s="820"/>
      <c r="E212" s="7"/>
      <c r="F212" s="7"/>
      <c r="G212" s="7"/>
      <c r="H212" s="416">
        <f>$O$8</f>
        <v>0.3</v>
      </c>
      <c r="I212" s="426">
        <f t="shared" ref="I212:I219" si="134">SUM(J212:V212)</f>
        <v>0</v>
      </c>
      <c r="J212" s="22"/>
      <c r="K212" s="22"/>
      <c r="L212" s="7"/>
      <c r="M212" s="514">
        <f t="shared" ref="M212:V212" si="135">M173-M194</f>
        <v>0</v>
      </c>
      <c r="N212" s="72">
        <f t="shared" si="135"/>
        <v>0</v>
      </c>
      <c r="O212" s="72">
        <f t="shared" si="135"/>
        <v>0</v>
      </c>
      <c r="P212" s="72">
        <f t="shared" si="135"/>
        <v>0</v>
      </c>
      <c r="Q212" s="72">
        <f t="shared" si="135"/>
        <v>0</v>
      </c>
      <c r="R212" s="72">
        <f t="shared" si="135"/>
        <v>0</v>
      </c>
      <c r="S212" s="72">
        <f t="shared" si="135"/>
        <v>0</v>
      </c>
      <c r="T212" s="72">
        <f t="shared" si="135"/>
        <v>0</v>
      </c>
      <c r="U212" s="72">
        <f t="shared" si="135"/>
        <v>0</v>
      </c>
      <c r="V212" s="330">
        <f t="shared" si="135"/>
        <v>0</v>
      </c>
      <c r="W212" s="7"/>
      <c r="X212" s="7"/>
      <c r="Y212" s="7"/>
      <c r="Z212" s="7"/>
      <c r="AA212" s="7"/>
    </row>
    <row r="213" spans="2:85" ht="12.5" hidden="1" customHeight="1" outlineLevel="1" x14ac:dyDescent="0.35">
      <c r="B213" s="7"/>
      <c r="C213" s="388" t="s">
        <v>105</v>
      </c>
      <c r="D213" s="820"/>
      <c r="E213" s="7"/>
      <c r="F213" s="7"/>
      <c r="G213" s="7"/>
      <c r="H213" s="416">
        <f>$O$8</f>
        <v>0.3</v>
      </c>
      <c r="I213" s="426">
        <f t="shared" si="134"/>
        <v>0</v>
      </c>
      <c r="J213" s="22"/>
      <c r="K213" s="22"/>
      <c r="L213" s="7"/>
      <c r="M213" s="514">
        <f t="shared" ref="M213:V213" si="136">M179-M200</f>
        <v>0</v>
      </c>
      <c r="N213" s="72">
        <f t="shared" si="136"/>
        <v>0</v>
      </c>
      <c r="O213" s="72">
        <f t="shared" si="136"/>
        <v>0</v>
      </c>
      <c r="P213" s="72">
        <f t="shared" si="136"/>
        <v>0</v>
      </c>
      <c r="Q213" s="72">
        <f t="shared" si="136"/>
        <v>0</v>
      </c>
      <c r="R213" s="72">
        <f t="shared" si="136"/>
        <v>0</v>
      </c>
      <c r="S213" s="72">
        <f t="shared" si="136"/>
        <v>0</v>
      </c>
      <c r="T213" s="72">
        <f t="shared" si="136"/>
        <v>0</v>
      </c>
      <c r="U213" s="72">
        <f t="shared" si="136"/>
        <v>0</v>
      </c>
      <c r="V213" s="330">
        <f t="shared" si="136"/>
        <v>0</v>
      </c>
      <c r="W213" s="7"/>
      <c r="X213" s="7"/>
      <c r="Y213" s="7"/>
      <c r="Z213" s="7"/>
      <c r="AA213" s="7"/>
    </row>
    <row r="214" spans="2:85" ht="12.5" hidden="1" customHeight="1" outlineLevel="1" x14ac:dyDescent="0.35">
      <c r="B214" s="7"/>
      <c r="C214" s="388" t="s">
        <v>151</v>
      </c>
      <c r="D214" s="820"/>
      <c r="E214" s="7"/>
      <c r="F214" s="7"/>
      <c r="G214" s="7"/>
      <c r="H214" s="416">
        <f>$O$8</f>
        <v>0.3</v>
      </c>
      <c r="I214" s="426">
        <f t="shared" si="134"/>
        <v>0</v>
      </c>
      <c r="J214" s="22"/>
      <c r="K214" s="22"/>
      <c r="L214" s="7"/>
      <c r="M214" s="514">
        <f t="shared" ref="M214:V214" si="137">M181-M202</f>
        <v>0</v>
      </c>
      <c r="N214" s="72">
        <f t="shared" si="137"/>
        <v>0</v>
      </c>
      <c r="O214" s="72">
        <f t="shared" si="137"/>
        <v>0</v>
      </c>
      <c r="P214" s="72">
        <f t="shared" si="137"/>
        <v>0</v>
      </c>
      <c r="Q214" s="72">
        <f t="shared" si="137"/>
        <v>0</v>
      </c>
      <c r="R214" s="72">
        <f t="shared" si="137"/>
        <v>0</v>
      </c>
      <c r="S214" s="72">
        <f t="shared" si="137"/>
        <v>0</v>
      </c>
      <c r="T214" s="72">
        <f t="shared" si="137"/>
        <v>0</v>
      </c>
      <c r="U214" s="72">
        <f t="shared" si="137"/>
        <v>0</v>
      </c>
      <c r="V214" s="330">
        <f t="shared" si="137"/>
        <v>0</v>
      </c>
      <c r="W214" s="7"/>
      <c r="X214" s="7"/>
      <c r="Y214" s="7"/>
      <c r="Z214" s="7"/>
      <c r="AA214" s="7"/>
    </row>
    <row r="215" spans="2:85" ht="12.5" hidden="1" customHeight="1" outlineLevel="1" x14ac:dyDescent="0.35">
      <c r="B215" s="7"/>
      <c r="C215" s="388" t="s">
        <v>152</v>
      </c>
      <c r="D215" s="820"/>
      <c r="E215" s="7"/>
      <c r="F215" s="7"/>
      <c r="G215" s="7"/>
      <c r="H215" s="413">
        <f>O9</f>
        <v>0.02</v>
      </c>
      <c r="I215" s="426">
        <f t="shared" si="134"/>
        <v>0</v>
      </c>
      <c r="J215" s="426">
        <f>S22</f>
        <v>0</v>
      </c>
      <c r="K215" s="22"/>
      <c r="L215" s="7"/>
      <c r="M215" s="514">
        <v>0</v>
      </c>
      <c r="N215" s="72">
        <v>0</v>
      </c>
      <c r="O215" s="72">
        <v>0</v>
      </c>
      <c r="P215" s="72">
        <v>0</v>
      </c>
      <c r="Q215" s="72">
        <v>0</v>
      </c>
      <c r="R215" s="72">
        <v>0</v>
      </c>
      <c r="S215" s="72">
        <v>0</v>
      </c>
      <c r="T215" s="72">
        <v>0</v>
      </c>
      <c r="U215" s="72">
        <v>0</v>
      </c>
      <c r="V215" s="330">
        <v>0</v>
      </c>
      <c r="W215" s="7"/>
      <c r="X215" s="7"/>
      <c r="Y215" s="7"/>
      <c r="Z215" s="7"/>
      <c r="AA215" s="7"/>
    </row>
    <row r="216" spans="2:85" ht="12.5" hidden="1" customHeight="1" outlineLevel="1" x14ac:dyDescent="0.35">
      <c r="B216" s="7"/>
      <c r="C216" s="388" t="s">
        <v>118</v>
      </c>
      <c r="D216" s="820"/>
      <c r="E216" s="7"/>
      <c r="F216" s="7"/>
      <c r="G216" s="7"/>
      <c r="H216" s="413">
        <f>O10</f>
        <v>0.02</v>
      </c>
      <c r="I216" s="426">
        <f t="shared" si="134"/>
        <v>0</v>
      </c>
      <c r="J216" s="22"/>
      <c r="K216" s="22"/>
      <c r="L216" s="7"/>
      <c r="M216" s="514">
        <f t="shared" ref="M216:V216" si="138">M151</f>
        <v>0</v>
      </c>
      <c r="N216" s="72">
        <f t="shared" si="138"/>
        <v>0</v>
      </c>
      <c r="O216" s="72">
        <f t="shared" si="138"/>
        <v>0</v>
      </c>
      <c r="P216" s="72">
        <f t="shared" si="138"/>
        <v>0</v>
      </c>
      <c r="Q216" s="72">
        <f t="shared" si="138"/>
        <v>0</v>
      </c>
      <c r="R216" s="72">
        <f t="shared" si="138"/>
        <v>0</v>
      </c>
      <c r="S216" s="72">
        <f t="shared" si="138"/>
        <v>0</v>
      </c>
      <c r="T216" s="72">
        <f t="shared" si="138"/>
        <v>0</v>
      </c>
      <c r="U216" s="72">
        <f t="shared" si="138"/>
        <v>0</v>
      </c>
      <c r="V216" s="330">
        <f t="shared" si="138"/>
        <v>0</v>
      </c>
      <c r="W216" s="7"/>
      <c r="X216" s="7"/>
      <c r="Y216" s="7"/>
      <c r="Z216" s="7"/>
      <c r="AA216" s="7"/>
    </row>
    <row r="217" spans="2:85" ht="12.5" hidden="1" customHeight="1" outlineLevel="1" x14ac:dyDescent="0.35">
      <c r="B217" s="7"/>
      <c r="C217" s="388" t="s">
        <v>83</v>
      </c>
      <c r="D217" s="820"/>
      <c r="E217" s="7"/>
      <c r="F217" s="7"/>
      <c r="G217" s="7"/>
      <c r="H217" s="413">
        <f>O11</f>
        <v>0</v>
      </c>
      <c r="I217" s="426">
        <f t="shared" si="134"/>
        <v>0</v>
      </c>
      <c r="J217" s="22"/>
      <c r="K217" s="22"/>
      <c r="L217" s="7"/>
      <c r="M217" s="514">
        <f t="shared" ref="M217:V217" si="139">IF(M210=$K$15,M158,0)</f>
        <v>0</v>
      </c>
      <c r="N217" s="72">
        <f t="shared" si="139"/>
        <v>0</v>
      </c>
      <c r="O217" s="72">
        <f t="shared" si="139"/>
        <v>0</v>
      </c>
      <c r="P217" s="72">
        <f t="shared" si="139"/>
        <v>0</v>
      </c>
      <c r="Q217" s="72">
        <f t="shared" si="139"/>
        <v>0</v>
      </c>
      <c r="R217" s="72">
        <f t="shared" si="139"/>
        <v>0</v>
      </c>
      <c r="S217" s="72">
        <f t="shared" si="139"/>
        <v>0</v>
      </c>
      <c r="T217" s="72">
        <f t="shared" si="139"/>
        <v>0</v>
      </c>
      <c r="U217" s="72">
        <f t="shared" si="139"/>
        <v>0</v>
      </c>
      <c r="V217" s="330">
        <f t="shared" si="139"/>
        <v>0</v>
      </c>
      <c r="W217" s="7"/>
      <c r="X217" s="7"/>
      <c r="Y217" s="7"/>
      <c r="Z217" s="7"/>
      <c r="AA217" s="7"/>
    </row>
    <row r="218" spans="2:85" ht="12.5" hidden="1" customHeight="1" outlineLevel="1" x14ac:dyDescent="0.35">
      <c r="B218" s="7"/>
      <c r="C218" s="388" t="s">
        <v>7</v>
      </c>
      <c r="D218" s="820"/>
      <c r="E218" s="7"/>
      <c r="F218" s="7"/>
      <c r="G218" s="7"/>
      <c r="H218" s="413">
        <f>O12</f>
        <v>0</v>
      </c>
      <c r="I218" s="426">
        <f t="shared" si="134"/>
        <v>0</v>
      </c>
      <c r="J218" s="22"/>
      <c r="K218" s="22"/>
      <c r="L218" s="7"/>
      <c r="M218" s="514">
        <f t="shared" ref="M218:V218" si="140">IF(M210=$G$20,M158,0)</f>
        <v>0</v>
      </c>
      <c r="N218" s="72">
        <f t="shared" si="140"/>
        <v>0</v>
      </c>
      <c r="O218" s="72">
        <f t="shared" si="140"/>
        <v>0</v>
      </c>
      <c r="P218" s="72">
        <f t="shared" si="140"/>
        <v>0</v>
      </c>
      <c r="Q218" s="72">
        <f t="shared" si="140"/>
        <v>0</v>
      </c>
      <c r="R218" s="72">
        <f t="shared" si="140"/>
        <v>0</v>
      </c>
      <c r="S218" s="72">
        <f t="shared" si="140"/>
        <v>0</v>
      </c>
      <c r="T218" s="72">
        <f t="shared" si="140"/>
        <v>0</v>
      </c>
      <c r="U218" s="72">
        <f t="shared" si="140"/>
        <v>0</v>
      </c>
      <c r="V218" s="330">
        <f t="shared" si="140"/>
        <v>0</v>
      </c>
      <c r="W218" s="7"/>
      <c r="X218" s="7"/>
      <c r="Y218" s="7"/>
      <c r="Z218" s="7"/>
      <c r="AA218" s="7"/>
    </row>
    <row r="219" spans="2:85" ht="12.5" hidden="1" customHeight="1" outlineLevel="1" x14ac:dyDescent="0.35">
      <c r="B219" s="7"/>
      <c r="C219" s="108" t="s">
        <v>153</v>
      </c>
      <c r="D219" s="823"/>
      <c r="E219" s="19"/>
      <c r="F219" s="19"/>
      <c r="G219" s="19"/>
      <c r="H219" s="118"/>
      <c r="I219" s="119">
        <f t="shared" si="134"/>
        <v>0</v>
      </c>
      <c r="J219" s="119">
        <f>SUM(J212:J218)</f>
        <v>0</v>
      </c>
      <c r="K219" s="111"/>
      <c r="L219" s="19"/>
      <c r="M219" s="516">
        <f t="shared" ref="M219:V219" si="141">SUM(M212:M218)</f>
        <v>0</v>
      </c>
      <c r="N219" s="20">
        <f t="shared" si="141"/>
        <v>0</v>
      </c>
      <c r="O219" s="20">
        <f t="shared" si="141"/>
        <v>0</v>
      </c>
      <c r="P219" s="20">
        <f t="shared" si="141"/>
        <v>0</v>
      </c>
      <c r="Q219" s="20">
        <f t="shared" si="141"/>
        <v>0</v>
      </c>
      <c r="R219" s="20">
        <f t="shared" si="141"/>
        <v>0</v>
      </c>
      <c r="S219" s="20">
        <f t="shared" si="141"/>
        <v>0</v>
      </c>
      <c r="T219" s="20">
        <f t="shared" si="141"/>
        <v>0</v>
      </c>
      <c r="U219" s="20">
        <f t="shared" si="141"/>
        <v>0</v>
      </c>
      <c r="V219" s="21">
        <f t="shared" si="141"/>
        <v>0</v>
      </c>
      <c r="W219" s="7"/>
      <c r="X219" s="7"/>
      <c r="Y219" s="7"/>
      <c r="Z219" s="7"/>
      <c r="AA219" s="7"/>
    </row>
    <row r="220" spans="2:85" ht="12.5" hidden="1" customHeight="1" outlineLevel="1" x14ac:dyDescent="0.35">
      <c r="B220" s="7"/>
      <c r="C220" s="393"/>
      <c r="D220" s="7"/>
      <c r="E220" s="7"/>
      <c r="F220" s="7"/>
      <c r="G220" s="7"/>
      <c r="H220" s="323" t="s">
        <v>154</v>
      </c>
      <c r="I220" s="425"/>
      <c r="J220" s="537"/>
      <c r="K220" s="537"/>
      <c r="L220" s="395"/>
      <c r="M220" s="558" t="str">
        <f>IF(M210&lt;=$G$20,IF(ROUND((M212+M213+M214),0)=ROUND((M173+M179+M181-M194-M200-M202),0),"OK","ERROR"),0)</f>
        <v>OK</v>
      </c>
      <c r="N220" s="394" t="str">
        <f t="shared" ref="N220:V220" si="142">IF(N210&lt;=$G$20,IF(ROUND((N212+N213+N214),0)=ROUND((N173+N179+N181-N194-N200-N202),0),"OK","ERROR"),"")</f>
        <v>OK</v>
      </c>
      <c r="O220" s="394" t="str">
        <f t="shared" si="142"/>
        <v>OK</v>
      </c>
      <c r="P220" s="394" t="str">
        <f t="shared" si="142"/>
        <v>OK</v>
      </c>
      <c r="Q220" s="394" t="str">
        <f t="shared" si="142"/>
        <v>OK</v>
      </c>
      <c r="R220" s="394" t="str">
        <f t="shared" si="142"/>
        <v/>
      </c>
      <c r="S220" s="394" t="str">
        <f t="shared" si="142"/>
        <v/>
      </c>
      <c r="T220" s="394" t="str">
        <f t="shared" si="142"/>
        <v/>
      </c>
      <c r="U220" s="394" t="str">
        <f t="shared" si="142"/>
        <v/>
      </c>
      <c r="V220" s="427" t="str">
        <f t="shared" si="142"/>
        <v/>
      </c>
      <c r="W220" s="7"/>
      <c r="X220" s="7"/>
      <c r="Y220" s="7"/>
      <c r="Z220" s="7"/>
      <c r="AA220" s="7"/>
    </row>
    <row r="221" spans="2:85" ht="12.5" hidden="1" customHeight="1" outlineLevel="1" x14ac:dyDescent="0.35">
      <c r="B221" s="7"/>
      <c r="C221" s="393"/>
      <c r="D221" s="7"/>
      <c r="E221" s="7"/>
      <c r="F221" s="7"/>
      <c r="G221" s="7"/>
      <c r="H221" s="323" t="s">
        <v>155</v>
      </c>
      <c r="I221" s="425"/>
      <c r="J221" s="22"/>
      <c r="K221" s="22"/>
      <c r="L221" s="7"/>
      <c r="M221" s="523">
        <f t="shared" ref="M221:V221" si="143">M219/12</f>
        <v>0</v>
      </c>
      <c r="N221" s="327">
        <f t="shared" si="143"/>
        <v>0</v>
      </c>
      <c r="O221" s="327">
        <f t="shared" si="143"/>
        <v>0</v>
      </c>
      <c r="P221" s="327">
        <f t="shared" si="143"/>
        <v>0</v>
      </c>
      <c r="Q221" s="327">
        <f t="shared" si="143"/>
        <v>0</v>
      </c>
      <c r="R221" s="327">
        <f t="shared" si="143"/>
        <v>0</v>
      </c>
      <c r="S221" s="327">
        <f t="shared" si="143"/>
        <v>0</v>
      </c>
      <c r="T221" s="327">
        <f t="shared" si="143"/>
        <v>0</v>
      </c>
      <c r="U221" s="327">
        <f t="shared" si="143"/>
        <v>0</v>
      </c>
      <c r="V221" s="336">
        <f t="shared" si="143"/>
        <v>0</v>
      </c>
      <c r="W221" s="7"/>
      <c r="X221" s="7"/>
      <c r="Y221" s="7"/>
      <c r="Z221" s="7"/>
      <c r="AA221" s="7"/>
    </row>
    <row r="222" spans="2:85" ht="12.5" hidden="1" customHeight="1" outlineLevel="1" thickBot="1" x14ac:dyDescent="0.4">
      <c r="B222" s="7"/>
      <c r="C222" s="400"/>
      <c r="D222" s="401"/>
      <c r="E222" s="401"/>
      <c r="F222" s="401"/>
      <c r="G222" s="401"/>
      <c r="H222" s="364" t="s">
        <v>156</v>
      </c>
      <c r="I222" s="429"/>
      <c r="J222" s="408"/>
      <c r="K222" s="408"/>
      <c r="L222" s="401"/>
      <c r="M222" s="559">
        <f t="shared" ref="M222:V222" si="144">IFERROR(M221/$H$43,0)</f>
        <v>0</v>
      </c>
      <c r="N222" s="430">
        <f t="shared" si="144"/>
        <v>0</v>
      </c>
      <c r="O222" s="430">
        <f t="shared" si="144"/>
        <v>0</v>
      </c>
      <c r="P222" s="430">
        <f t="shared" si="144"/>
        <v>0</v>
      </c>
      <c r="Q222" s="430">
        <f t="shared" si="144"/>
        <v>0</v>
      </c>
      <c r="R222" s="430">
        <f t="shared" si="144"/>
        <v>0</v>
      </c>
      <c r="S222" s="430">
        <f t="shared" si="144"/>
        <v>0</v>
      </c>
      <c r="T222" s="430">
        <f t="shared" si="144"/>
        <v>0</v>
      </c>
      <c r="U222" s="430">
        <f t="shared" si="144"/>
        <v>0</v>
      </c>
      <c r="V222" s="431">
        <f t="shared" si="144"/>
        <v>0</v>
      </c>
      <c r="W222" s="7"/>
      <c r="X222" s="7"/>
      <c r="Y222" s="7"/>
      <c r="Z222" s="7"/>
      <c r="AA222" s="7"/>
    </row>
    <row r="223" spans="2:85" ht="12.5" customHeight="1" collapsed="1" thickTop="1" x14ac:dyDescent="0.35">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CF223" s="7"/>
      <c r="CG223" s="7"/>
    </row>
    <row r="224" spans="2:85" x14ac:dyDescent="0.35">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CF224" s="7"/>
      <c r="CG224" s="7"/>
    </row>
    <row r="225" spans="2:85" x14ac:dyDescent="0.35">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CF225" s="7"/>
      <c r="CG225" s="7"/>
    </row>
    <row r="226" spans="2:85" x14ac:dyDescent="0.35">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CF226" s="7"/>
      <c r="CG226" s="7"/>
    </row>
    <row r="227" spans="2:85" x14ac:dyDescent="0.35">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CF227" s="7"/>
      <c r="CG227" s="7"/>
    </row>
    <row r="228" spans="2:85" x14ac:dyDescent="0.35">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CF228" s="7"/>
      <c r="CG228" s="7"/>
    </row>
    <row r="229" spans="2:85" x14ac:dyDescent="0.35">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CF229" s="7"/>
      <c r="CG229" s="7"/>
    </row>
    <row r="230" spans="2:85" x14ac:dyDescent="0.35">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CF230" s="7"/>
      <c r="CG230" s="7"/>
    </row>
    <row r="231" spans="2:85" x14ac:dyDescent="0.35">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CF231" s="7"/>
      <c r="CG231" s="7"/>
    </row>
    <row r="232" spans="2:85" x14ac:dyDescent="0.35">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CF232" s="7"/>
      <c r="CG232" s="7"/>
    </row>
    <row r="233" spans="2:85" x14ac:dyDescent="0.35">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CF233" s="7"/>
      <c r="CG233" s="7"/>
    </row>
    <row r="234" spans="2:85" x14ac:dyDescent="0.35">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CF234" s="7"/>
      <c r="CG234" s="7"/>
    </row>
    <row r="235" spans="2:85" x14ac:dyDescent="0.35">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CF235" s="7"/>
      <c r="CG235" s="7"/>
    </row>
    <row r="236" spans="2:85" x14ac:dyDescent="0.35">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CF236" s="7"/>
      <c r="CG236" s="7"/>
    </row>
    <row r="237" spans="2:85" x14ac:dyDescent="0.35">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CF237" s="7"/>
      <c r="CG237" s="7"/>
    </row>
    <row r="238" spans="2:85" x14ac:dyDescent="0.35">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CF238" s="7"/>
      <c r="CG238" s="7"/>
    </row>
    <row r="239" spans="2:85" x14ac:dyDescent="0.35">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CF239" s="7"/>
      <c r="CG239" s="7"/>
    </row>
    <row r="240" spans="2:85" x14ac:dyDescent="0.35">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CF240" s="7"/>
      <c r="CG240" s="7"/>
    </row>
    <row r="241" spans="2:85" x14ac:dyDescent="0.35">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CF241" s="7"/>
      <c r="CG241" s="7"/>
    </row>
    <row r="242" spans="2:85" x14ac:dyDescent="0.35">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CF242" s="7"/>
      <c r="CG242" s="7"/>
    </row>
    <row r="243" spans="2:85" x14ac:dyDescent="0.35">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CF243" s="7"/>
      <c r="CG243" s="7"/>
    </row>
    <row r="244" spans="2:85" x14ac:dyDescent="0.35">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CF244" s="7"/>
      <c r="CG244" s="7"/>
    </row>
    <row r="245" spans="2:85" x14ac:dyDescent="0.35">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CF245" s="7"/>
      <c r="CG245" s="7"/>
    </row>
    <row r="246" spans="2:85" x14ac:dyDescent="0.35">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CF246" s="7"/>
      <c r="CG246" s="7"/>
    </row>
    <row r="247" spans="2:85" x14ac:dyDescent="0.35">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CF247" s="7"/>
      <c r="CG247" s="7"/>
    </row>
    <row r="248" spans="2:85" x14ac:dyDescent="0.35">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CF248" s="7"/>
      <c r="CG248" s="7"/>
    </row>
    <row r="249" spans="2:85" x14ac:dyDescent="0.35">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CF249" s="7"/>
      <c r="CG249" s="7"/>
    </row>
    <row r="250" spans="2:85" x14ac:dyDescent="0.35">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CF250" s="7"/>
      <c r="CG250" s="7"/>
    </row>
    <row r="251" spans="2:85" x14ac:dyDescent="0.35">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CF251" s="7"/>
      <c r="CG251" s="7"/>
    </row>
    <row r="252" spans="2:85" x14ac:dyDescent="0.35">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CF252" s="7"/>
      <c r="CG252" s="7"/>
    </row>
    <row r="253" spans="2:85" x14ac:dyDescent="0.35">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CF253" s="7"/>
      <c r="CG253" s="7"/>
    </row>
    <row r="254" spans="2:85" x14ac:dyDescent="0.35">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CF254" s="7"/>
      <c r="CG254" s="7"/>
    </row>
    <row r="255" spans="2:85" x14ac:dyDescent="0.35">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CF255" s="7"/>
      <c r="CG255" s="7"/>
    </row>
    <row r="256" spans="2:85" x14ac:dyDescent="0.35">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CF256" s="7"/>
      <c r="CG256" s="7"/>
    </row>
    <row r="257" spans="2:85" x14ac:dyDescent="0.35">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CF257" s="7"/>
      <c r="CG257" s="7"/>
    </row>
    <row r="258" spans="2:85" x14ac:dyDescent="0.35">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CF258" s="7"/>
      <c r="CG258" s="7"/>
    </row>
    <row r="259" spans="2:85" x14ac:dyDescent="0.35">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CF259" s="7"/>
      <c r="CG259" s="7"/>
    </row>
    <row r="260" spans="2:85" x14ac:dyDescent="0.35">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CF260" s="7"/>
      <c r="CG260" s="7"/>
    </row>
    <row r="261" spans="2:85" x14ac:dyDescent="0.35">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CF261" s="7"/>
      <c r="CG261" s="7"/>
    </row>
    <row r="262" spans="2:85" x14ac:dyDescent="0.35">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CF262" s="7"/>
      <c r="CG262" s="7"/>
    </row>
    <row r="263" spans="2:85" x14ac:dyDescent="0.35">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CF263" s="7"/>
      <c r="CG263" s="7"/>
    </row>
    <row r="264" spans="2:85" x14ac:dyDescent="0.35">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CF264" s="7"/>
      <c r="CG264" s="7"/>
    </row>
    <row r="265" spans="2:85" x14ac:dyDescent="0.35">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CF265" s="7"/>
      <c r="CG265" s="7"/>
    </row>
    <row r="266" spans="2:85" x14ac:dyDescent="0.35">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CF266" s="7"/>
      <c r="CG266" s="7"/>
    </row>
    <row r="267" spans="2:85" x14ac:dyDescent="0.35">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CF267" s="7"/>
      <c r="CG267" s="7"/>
    </row>
    <row r="268" spans="2:85" x14ac:dyDescent="0.35">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CF268" s="7"/>
      <c r="CG268" s="7"/>
    </row>
    <row r="269" spans="2:85" x14ac:dyDescent="0.35">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CF269" s="7"/>
      <c r="CG269" s="7"/>
    </row>
    <row r="270" spans="2:85" x14ac:dyDescent="0.35">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CF270" s="7"/>
      <c r="CG270" s="7"/>
    </row>
    <row r="271" spans="2:85" x14ac:dyDescent="0.35">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CF271" s="7"/>
      <c r="CG271" s="7"/>
    </row>
    <row r="272" spans="2:85" x14ac:dyDescent="0.35">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CF272" s="7"/>
      <c r="CG272" s="7"/>
    </row>
    <row r="273" spans="3:85" x14ac:dyDescent="0.35">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CF273" s="7"/>
      <c r="CG273" s="7"/>
    </row>
    <row r="274" spans="3:85" x14ac:dyDescent="0.35">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CF274" s="7"/>
      <c r="CG274" s="7"/>
    </row>
    <row r="275" spans="3:85" x14ac:dyDescent="0.35">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CF275" s="7"/>
      <c r="CG275" s="7"/>
    </row>
    <row r="276" spans="3:85" x14ac:dyDescent="0.35">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CF276" s="7"/>
      <c r="CG276" s="7"/>
    </row>
    <row r="277" spans="3:85" x14ac:dyDescent="0.35">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CF277" s="7"/>
      <c r="CG277" s="7"/>
    </row>
    <row r="278" spans="3:85" x14ac:dyDescent="0.35">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CF278" s="7"/>
      <c r="CG278" s="7"/>
    </row>
    <row r="279" spans="3:85" x14ac:dyDescent="0.35">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CF279" s="7"/>
      <c r="CG279" s="7"/>
    </row>
    <row r="280" spans="3:85" x14ac:dyDescent="0.35">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CF280" s="7"/>
      <c r="CG280" s="7"/>
    </row>
    <row r="281" spans="3:85" x14ac:dyDescent="0.35">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CF281" s="7"/>
      <c r="CG281" s="7"/>
    </row>
    <row r="282" spans="3:85" x14ac:dyDescent="0.35">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CF282" s="7"/>
      <c r="CG282" s="7"/>
    </row>
    <row r="283" spans="3:85" x14ac:dyDescent="0.35">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CF283" s="7"/>
      <c r="CG283" s="7"/>
    </row>
    <row r="284" spans="3:85" x14ac:dyDescent="0.35">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CF284" s="7"/>
      <c r="CG284" s="7"/>
    </row>
    <row r="285" spans="3:85" x14ac:dyDescent="0.35">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CF285" s="7"/>
      <c r="CG285" s="7"/>
    </row>
    <row r="286" spans="3:85" x14ac:dyDescent="0.35">
      <c r="Y286" s="7"/>
      <c r="Z286" s="7"/>
      <c r="AA286" s="7"/>
      <c r="AB286" s="7"/>
      <c r="CF286" s="7"/>
      <c r="CG286" s="7"/>
    </row>
  </sheetData>
  <sortState xmlns:xlrd2="http://schemas.microsoft.com/office/spreadsheetml/2017/richdata2" ref="C94:W103">
    <sortCondition ref="C94:C103"/>
  </sortState>
  <mergeCells count="6">
    <mergeCell ref="E7:G7"/>
    <mergeCell ref="L26:N26"/>
    <mergeCell ref="O26:S26"/>
    <mergeCell ref="I26:K26"/>
    <mergeCell ref="T7:V23"/>
    <mergeCell ref="E8:G8"/>
  </mergeCells>
  <conditionalFormatting sqref="A20">
    <cfRule type="expression" dxfId="64" priority="9">
      <formula>IF($V$6="ON",TRUE,FALSE)</formula>
    </cfRule>
  </conditionalFormatting>
  <conditionalFormatting sqref="A43 H43">
    <cfRule type="cellIs" dxfId="63" priority="78" operator="equal">
      <formula>0</formula>
    </cfRule>
  </conditionalFormatting>
  <conditionalFormatting sqref="C47:D47">
    <cfRule type="expression" dxfId="62" priority="203">
      <formula>Print_Mode="On"</formula>
    </cfRule>
  </conditionalFormatting>
  <conditionalFormatting sqref="C77:D95">
    <cfRule type="expression" dxfId="61" priority="145">
      <formula>Print_Mode="On"</formula>
    </cfRule>
  </conditionalFormatting>
  <conditionalFormatting sqref="C120:D120">
    <cfRule type="expression" dxfId="60" priority="219">
      <formula>Print_Mode="On"</formula>
    </cfRule>
  </conditionalFormatting>
  <conditionalFormatting sqref="C28:K42">
    <cfRule type="expression" dxfId="59" priority="10">
      <formula>IF($V$6="ON",TRUE,FALSE)</formula>
    </cfRule>
  </conditionalFormatting>
  <conditionalFormatting sqref="H78:H87">
    <cfRule type="expression" dxfId="58" priority="186">
      <formula>Print_Mode="On"</formula>
    </cfRule>
  </conditionalFormatting>
  <conditionalFormatting sqref="H13:I13">
    <cfRule type="expression" dxfId="57" priority="12">
      <formula>IF($V$6="ON",TRUE,FALSE)</formula>
    </cfRule>
  </conditionalFormatting>
  <conditionalFormatting sqref="I13">
    <cfRule type="cellIs" dxfId="56" priority="41" operator="lessThan">
      <formula>1.2</formula>
    </cfRule>
  </conditionalFormatting>
  <conditionalFormatting sqref="I23">
    <cfRule type="expression" dxfId="55" priority="344">
      <formula>IF(AND($I$23&lt;1.2,$K$15&gt;0),TRUE,FALSE)</formula>
    </cfRule>
  </conditionalFormatting>
  <conditionalFormatting sqref="I57:I61 L60:L61 I66 L66 I68 L68">
    <cfRule type="expression" dxfId="54" priority="114">
      <formula>Print_Mode="On"</formula>
    </cfRule>
  </conditionalFormatting>
  <conditionalFormatting sqref="I64 L64">
    <cfRule type="expression" dxfId="53" priority="115">
      <formula>Print_Mode="On"</formula>
    </cfRule>
  </conditionalFormatting>
  <conditionalFormatting sqref="I94 L94">
    <cfRule type="expression" dxfId="52" priority="109">
      <formula>Print_Mode="On"</formula>
    </cfRule>
  </conditionalFormatting>
  <conditionalFormatting sqref="I48:J48">
    <cfRule type="expression" dxfId="51" priority="2">
      <formula>Print_Mode="On"</formula>
    </cfRule>
  </conditionalFormatting>
  <conditionalFormatting sqref="I53:J53 J57:J60">
    <cfRule type="expression" dxfId="50" priority="214">
      <formula>Print_Mode="On"</formula>
    </cfRule>
  </conditionalFormatting>
  <conditionalFormatting sqref="I119:J119">
    <cfRule type="expression" dxfId="49" priority="218">
      <formula>Print_Mode="On"</formula>
    </cfRule>
  </conditionalFormatting>
  <conditionalFormatting sqref="J14">
    <cfRule type="expression" dxfId="48" priority="106">
      <formula>IF($J$14="ERROR",TRUE,FALSE)</formula>
    </cfRule>
  </conditionalFormatting>
  <conditionalFormatting sqref="J64:J65">
    <cfRule type="expression" dxfId="47" priority="5">
      <formula>Print_Mode="On"</formula>
    </cfRule>
  </conditionalFormatting>
  <conditionalFormatting sqref="J78:J87">
    <cfRule type="expression" dxfId="46" priority="3">
      <formula>Print_Mode="On"</formula>
    </cfRule>
  </conditionalFormatting>
  <conditionalFormatting sqref="J94 M94:V94 J142">
    <cfRule type="cellIs" dxfId="45" priority="128" operator="lessThan">
      <formula>0</formula>
    </cfRule>
  </conditionalFormatting>
  <conditionalFormatting sqref="J143">
    <cfRule type="cellIs" dxfId="44" priority="132" operator="lessThan">
      <formula>1.2</formula>
    </cfRule>
  </conditionalFormatting>
  <conditionalFormatting sqref="K8">
    <cfRule type="expression" dxfId="43" priority="42">
      <formula>IF(_xlfn.ISFORMULA(K7)=FALSE,TRUE,FALSE)</formula>
    </cfRule>
  </conditionalFormatting>
  <conditionalFormatting sqref="K13">
    <cfRule type="cellIs" dxfId="42" priority="40" operator="lessThan">
      <formula>1.2</formula>
    </cfRule>
  </conditionalFormatting>
  <conditionalFormatting sqref="K16">
    <cfRule type="expression" dxfId="41" priority="43">
      <formula>IF(_xlfn.ISFORMULA(K14)=FALSE,TRUE,FALSE)</formula>
    </cfRule>
  </conditionalFormatting>
  <conditionalFormatting sqref="K16:K20">
    <cfRule type="expression" dxfId="40" priority="8">
      <formula>OR($K$15="",$K$15=0)</formula>
    </cfRule>
  </conditionalFormatting>
  <conditionalFormatting sqref="K49:K50 M49:M50 K51:M52">
    <cfRule type="expression" dxfId="39" priority="320">
      <formula>IF($M$54&gt;0,TRUE,FALSE)</formula>
    </cfRule>
  </conditionalFormatting>
  <conditionalFormatting sqref="K119">
    <cfRule type="expression" dxfId="38" priority="133">
      <formula>IF($K$89&gt;0,TRUE,FALSE)</formula>
    </cfRule>
    <cfRule type="expression" dxfId="37" priority="134">
      <formula>IF(#REF!&gt;0,TRUE, FALSE)</formula>
    </cfRule>
  </conditionalFormatting>
  <conditionalFormatting sqref="K78:V83 K84 M84:V84 K85:V85 K86 M86:V86 K87:V87">
    <cfRule type="expression" dxfId="36" priority="323">
      <formula>IF($V$6="ON",TRUE,FALSE)</formula>
    </cfRule>
    <cfRule type="expression" dxfId="35" priority="324">
      <formula>IF($L$90&gt;0,TRUE,FALSE)</formula>
    </cfRule>
  </conditionalFormatting>
  <conditionalFormatting sqref="L49:L50">
    <cfRule type="expression" dxfId="34" priority="14">
      <formula>IF(SUM(L$54:$M$54)&gt;0,TRUE,FALSE)</formula>
    </cfRule>
  </conditionalFormatting>
  <conditionalFormatting sqref="L28:V42 K56:V60 K64:L65 A28:A42 F49:V52 F54:V54 K90:L90 C106:V110 C114:V114">
    <cfRule type="expression" dxfId="33" priority="310">
      <formula>IF($V$6="ON",TRUE,FALSE)</formula>
    </cfRule>
  </conditionalFormatting>
  <conditionalFormatting sqref="M64 M65:V65">
    <cfRule type="expression" dxfId="32" priority="6">
      <formula>IF($V$6="ON",TRUE,FALSE)</formula>
    </cfRule>
  </conditionalFormatting>
  <conditionalFormatting sqref="M64:M65">
    <cfRule type="expression" dxfId="31" priority="7">
      <formula>IF($L$90&gt;0,TRUE,FALSE)</formula>
    </cfRule>
  </conditionalFormatting>
  <conditionalFormatting sqref="M60:V60">
    <cfRule type="expression" dxfId="30" priority="194">
      <formula>Print_Mode="On"</formula>
    </cfRule>
  </conditionalFormatting>
  <conditionalFormatting sqref="M61:V61 M66:V66 M68:V68">
    <cfRule type="cellIs" dxfId="29" priority="1" operator="lessThan">
      <formula>0</formula>
    </cfRule>
  </conditionalFormatting>
  <conditionalFormatting sqref="M130:V130">
    <cfRule type="cellIs" dxfId="28" priority="39" operator="equal">
      <formula>"ERROR"</formula>
    </cfRule>
  </conditionalFormatting>
  <conditionalFormatting sqref="M142:V142">
    <cfRule type="cellIs" dxfId="27" priority="127" operator="lessThan">
      <formula>0</formula>
    </cfRule>
  </conditionalFormatting>
  <conditionalFormatting sqref="M143:V143">
    <cfRule type="cellIs" dxfId="26" priority="156" operator="lessThan">
      <formula>1.2</formula>
    </cfRule>
  </conditionalFormatting>
  <conditionalFormatting sqref="M152:V152">
    <cfRule type="cellIs" dxfId="25" priority="126" operator="lessThan">
      <formula>0</formula>
    </cfRule>
  </conditionalFormatting>
  <conditionalFormatting sqref="M164:V164">
    <cfRule type="expression" dxfId="24" priority="348">
      <formula>IF(AND(M148&gt;$G$20,M164&gt;0),TRUE,FALSE)</formula>
    </cfRule>
  </conditionalFormatting>
  <conditionalFormatting sqref="N49:N52">
    <cfRule type="expression" dxfId="23" priority="321">
      <formula>IF(SUM($M$54:N$54)&gt;0,TRUE,FALSE)</formula>
    </cfRule>
  </conditionalFormatting>
  <conditionalFormatting sqref="N47:V47 N77:V77 N103:V103 N118:V118 N123:V123 N148:V148 N168:V168 N189:V189 N210:V210">
    <cfRule type="expression" dxfId="22" priority="5495">
      <formula>IF(N47=$K$15,TRUE,FALSE)</formula>
    </cfRule>
    <cfRule type="expression" dxfId="21" priority="5494">
      <formula>IF(N47=$G$20,TRUE,FALSE)</formula>
    </cfRule>
  </conditionalFormatting>
  <conditionalFormatting sqref="N75:V75">
    <cfRule type="expression" dxfId="20" priority="167">
      <formula>IF(N75="SALE",TRUE,FALSE)</formula>
    </cfRule>
    <cfRule type="expression" dxfId="19" priority="166">
      <formula>IF(N75="REFINANCE",TRUE,FALSE)</formula>
    </cfRule>
  </conditionalFormatting>
  <conditionalFormatting sqref="N101:V101">
    <cfRule type="expression" dxfId="18" priority="160">
      <formula>IF(N101="REFINANCE",TRUE,FALSE)</formula>
    </cfRule>
    <cfRule type="expression" dxfId="17" priority="161">
      <formula>IF(N101="SALE",TRUE,FALSE)</formula>
    </cfRule>
  </conditionalFormatting>
  <conditionalFormatting sqref="N159:V159">
    <cfRule type="cellIs" dxfId="16" priority="107" operator="lessThan">
      <formula>0</formula>
    </cfRule>
  </conditionalFormatting>
  <conditionalFormatting sqref="O28:O42">
    <cfRule type="expression" dxfId="15" priority="77">
      <formula>IF(AND(O28&gt;0,D28="Y"),TRUE,FALSE)</formula>
    </cfRule>
  </conditionalFormatting>
  <conditionalFormatting sqref="O104">
    <cfRule type="expression" dxfId="14" priority="72">
      <formula>Print_Mode="On"</formula>
    </cfRule>
  </conditionalFormatting>
  <conditionalFormatting sqref="O113:O115">
    <cfRule type="expression" dxfId="13" priority="73">
      <formula>Print_Mode="On"</formula>
    </cfRule>
  </conditionalFormatting>
  <conditionalFormatting sqref="O49:V52">
    <cfRule type="expression" dxfId="12" priority="322">
      <formula>IF(SUM($M$54:O$54)&gt;0,TRUE,FALSE)</formula>
    </cfRule>
  </conditionalFormatting>
  <conditionalFormatting sqref="S7:S8">
    <cfRule type="cellIs" dxfId="11" priority="60" operator="greaterThanOrEqual">
      <formula>$R7</formula>
    </cfRule>
  </conditionalFormatting>
  <conditionalFormatting sqref="S10">
    <cfRule type="cellIs" dxfId="10" priority="62" operator="lessThan">
      <formula>$R$10</formula>
    </cfRule>
  </conditionalFormatting>
  <conditionalFormatting sqref="S11">
    <cfRule type="expression" dxfId="9" priority="59">
      <formula>IF($S$11="OK",TRUE,FALSE)</formula>
    </cfRule>
  </conditionalFormatting>
  <conditionalFormatting sqref="S12">
    <cfRule type="expression" dxfId="8" priority="58">
      <formula>IF($S$12="OK",TRUE,FALSE)</formula>
    </cfRule>
  </conditionalFormatting>
  <conditionalFormatting sqref="T28:T42">
    <cfRule type="expression" dxfId="7" priority="240">
      <formula>IF(AND(#REF!=0,L28&lt;&gt;T28),TRUE,FALSE)</formula>
    </cfRule>
  </conditionalFormatting>
  <conditionalFormatting sqref="T28:V42">
    <cfRule type="cellIs" dxfId="6" priority="76" operator="equal">
      <formula>0</formula>
    </cfRule>
  </conditionalFormatting>
  <dataValidations count="6">
    <dataValidation type="whole" operator="lessThan" allowBlank="1" showErrorMessage="1" errorTitle="Error" error="Renovations timeline cannot exceed 36 months." promptTitle="Renovation Timeline" prompt="Renovations timeline cannot exceed 36 months." sqref="O15" xr:uid="{DF58EAEB-CA14-49F0-92BF-C842EF64F0A7}">
      <formula1>37</formula1>
    </dataValidation>
    <dataValidation type="list" allowBlank="1" showInputMessage="1" showErrorMessage="1" sqref="J47 J63 J77" xr:uid="{7519922B-0A19-4992-8838-72A73C6057DC}">
      <formula1>"T-1,T-3,T-6,T-12"</formula1>
    </dataValidation>
    <dataValidation type="whole" operator="greaterThan" allowBlank="1" showInputMessage="1" showErrorMessage="1" errorTitle="ERROR" error="Sale must be greater than the refinance year (cell I14)" sqref="G20" xr:uid="{DE2845B0-FB13-40BA-9E4C-62BE87B806E8}">
      <formula1>K15</formula1>
    </dataValidation>
    <dataValidation type="whole" allowBlank="1" showInputMessage="1" showErrorMessage="1" errorTitle="Error" error="The Units to Renovate cannot exceed the # of Units (Col H)" sqref="O28:O42" xr:uid="{AD122AC2-FC42-44C5-A2ED-ABEFC7607CFF}">
      <formula1>0</formula1>
      <formula2>H28</formula2>
    </dataValidation>
    <dataValidation type="whole" operator="lessThan" allowBlank="1" showInputMessage="1" showErrorMessage="1" errorTitle="Error" error="The Refinance End of Year value must be less than the Sale Year (cell E19)." sqref="K15" xr:uid="{0EDD7046-E821-4F83-924E-1F46D9A2F5B5}">
      <formula1>G20</formula1>
    </dataValidation>
    <dataValidation type="list" allowBlank="1" showInputMessage="1" showErrorMessage="1" sqref="D28:D42" xr:uid="{86A0FE8A-6EB5-40D1-9DAC-F5EDA741FBB7}">
      <formula1>"Y,N"</formula1>
    </dataValidation>
  </dataValidations>
  <hyperlinks>
    <hyperlink ref="V25" r:id="rId1" tooltip="Click to view a video tutorial on this section" display="▶️" xr:uid="{4864CCB8-BE69-413E-A7BC-DD5EFE86B99B}"/>
    <hyperlink ref="V46" r:id="rId2" tooltip="Click to view a video tutorial on this section" display="▶️" xr:uid="{7F609A44-E36F-4450-A82D-6419B195270E}"/>
    <hyperlink ref="V5" r:id="rId3" tooltip="Click to view a video tutorial on this section" display="▶️" xr:uid="{E1F9815E-E24C-4A80-9569-9ADDB9075FD7}"/>
    <hyperlink ref="V76" r:id="rId4" tooltip="Click to view a video tutorial on this section" xr:uid="{F53E3ACC-E7F8-4CE6-84FE-284514A43A1A}"/>
    <hyperlink ref="V102" r:id="rId5" tooltip="Click to view a video tutorial on this section" xr:uid="{4D686473-221F-4199-8971-5E47466502EC}"/>
    <hyperlink ref="V117" r:id="rId6" tooltip="Click to view a video tutorial on this section" xr:uid="{C4A8146E-988B-4D0D-B05A-3DF2812A56C1}"/>
    <hyperlink ref="V122" r:id="rId7" tooltip="Click to view a video tutorial on this section" xr:uid="{01C6F6B8-7212-406A-A37C-08D8A52AFDFB}"/>
    <hyperlink ref="V147" r:id="rId8" tooltip="Click to view a video tutorial on this section" xr:uid="{76471AEA-A550-4E1A-9AAB-7A6E57EEFDEA}"/>
    <hyperlink ref="V167" r:id="rId9" tooltip="Click to view a video tutorial on this section" xr:uid="{50CED82A-C895-4A56-9E25-911444F6AF62}"/>
  </hyperlinks>
  <pageMargins left="0.7" right="0.7" top="0.75" bottom="0.75" header="0.3" footer="0.3"/>
  <pageSetup orientation="portrait" horizontalDpi="4294967293" r:id="rId10"/>
  <ignoredErrors>
    <ignoredError sqref="S29:T29 S30:T37" unlockedFormula="1"/>
  </ignoredErrors>
  <drawing r:id="rId11"/>
  <legacyDrawing r:id="rId12"/>
  <mc:AlternateContent xmlns:mc="http://schemas.openxmlformats.org/markup-compatibility/2006">
    <mc:Choice Requires="x14">
      <controls>
        <mc:AlternateContent xmlns:mc="http://schemas.openxmlformats.org/markup-compatibility/2006">
          <mc:Choice Requires="x14">
            <control shapeId="1138" r:id="rId13" name="Check Box 114">
              <controlPr defaultSize="0" print="0" autoFill="0" autoLine="0" autoPict="0">
                <anchor moveWithCells="1">
                  <from>
                    <xdr:col>1</xdr:col>
                    <xdr:colOff>76200</xdr:colOff>
                    <xdr:row>41</xdr:row>
                    <xdr:rowOff>177800</xdr:rowOff>
                  </from>
                  <to>
                    <xdr:col>2</xdr:col>
                    <xdr:colOff>38100</xdr:colOff>
                    <xdr:row>44</xdr:row>
                    <xdr:rowOff>0</xdr:rowOff>
                  </to>
                </anchor>
              </controlPr>
            </control>
          </mc:Choice>
        </mc:AlternateContent>
        <mc:AlternateContent xmlns:mc="http://schemas.openxmlformats.org/markup-compatibility/2006">
          <mc:Choice Requires="x14">
            <control shapeId="1141" r:id="rId14" name="Check Box 117">
              <controlPr defaultSize="0" autoFill="0" autoLine="0" autoPict="0">
                <anchor moveWithCells="1">
                  <from>
                    <xdr:col>1</xdr:col>
                    <xdr:colOff>76200</xdr:colOff>
                    <xdr:row>41</xdr:row>
                    <xdr:rowOff>177800</xdr:rowOff>
                  </from>
                  <to>
                    <xdr:col>2</xdr:col>
                    <xdr:colOff>38100</xdr:colOff>
                    <xdr:row>44</xdr:row>
                    <xdr:rowOff>0</xdr:rowOff>
                  </to>
                </anchor>
              </controlPr>
            </control>
          </mc:Choice>
        </mc:AlternateContent>
        <mc:AlternateContent xmlns:mc="http://schemas.openxmlformats.org/markup-compatibility/2006">
          <mc:Choice Requires="x14">
            <control shapeId="1142" r:id="rId15" name="Check Box 118">
              <controlPr defaultSize="0" autoFill="0" autoLine="0" autoPict="0">
                <anchor moveWithCells="1">
                  <from>
                    <xdr:col>1</xdr:col>
                    <xdr:colOff>76200</xdr:colOff>
                    <xdr:row>41</xdr:row>
                    <xdr:rowOff>177800</xdr:rowOff>
                  </from>
                  <to>
                    <xdr:col>2</xdr:col>
                    <xdr:colOff>38100</xdr:colOff>
                    <xdr:row>44</xdr:row>
                    <xdr:rowOff>0</xdr:rowOff>
                  </to>
                </anchor>
              </controlPr>
            </control>
          </mc:Choice>
        </mc:AlternateContent>
        <mc:AlternateContent xmlns:mc="http://schemas.openxmlformats.org/markup-compatibility/2006">
          <mc:Choice Requires="x14">
            <control shapeId="1143" r:id="rId16" name="Check Box 119">
              <controlPr defaultSize="0" autoFill="0" autoLine="0" autoPict="0">
                <anchor moveWithCells="1">
                  <from>
                    <xdr:col>1</xdr:col>
                    <xdr:colOff>76200</xdr:colOff>
                    <xdr:row>41</xdr:row>
                    <xdr:rowOff>177800</xdr:rowOff>
                  </from>
                  <to>
                    <xdr:col>2</xdr:col>
                    <xdr:colOff>38100</xdr:colOff>
                    <xdr:row>44</xdr:row>
                    <xdr:rowOff>0</xdr:rowOff>
                  </to>
                </anchor>
              </controlPr>
            </control>
          </mc:Choice>
        </mc:AlternateContent>
        <mc:AlternateContent xmlns:mc="http://schemas.openxmlformats.org/markup-compatibility/2006">
          <mc:Choice Requires="x14">
            <control shapeId="1144" r:id="rId17" name="Check Box 120">
              <controlPr defaultSize="0" autoFill="0" autoLine="0" autoPict="0">
                <anchor moveWithCells="1">
                  <from>
                    <xdr:col>1</xdr:col>
                    <xdr:colOff>76200</xdr:colOff>
                    <xdr:row>41</xdr:row>
                    <xdr:rowOff>177800</xdr:rowOff>
                  </from>
                  <to>
                    <xdr:col>2</xdr:col>
                    <xdr:colOff>38100</xdr:colOff>
                    <xdr:row>44</xdr:row>
                    <xdr:rowOff>0</xdr:rowOff>
                  </to>
                </anchor>
              </controlPr>
            </control>
          </mc:Choice>
        </mc:AlternateContent>
        <mc:AlternateContent xmlns:mc="http://schemas.openxmlformats.org/markup-compatibility/2006">
          <mc:Choice Requires="x14">
            <control shapeId="1145" r:id="rId18" name="Check Box 121">
              <controlPr defaultSize="0" autoFill="0" autoLine="0" autoPict="0">
                <anchor moveWithCells="1">
                  <from>
                    <xdr:col>1</xdr:col>
                    <xdr:colOff>76200</xdr:colOff>
                    <xdr:row>41</xdr:row>
                    <xdr:rowOff>177800</xdr:rowOff>
                  </from>
                  <to>
                    <xdr:col>2</xdr:col>
                    <xdr:colOff>38100</xdr:colOff>
                    <xdr:row>44</xdr:row>
                    <xdr:rowOff>0</xdr:rowOff>
                  </to>
                </anchor>
              </controlPr>
            </control>
          </mc:Choice>
        </mc:AlternateContent>
        <mc:AlternateContent xmlns:mc="http://schemas.openxmlformats.org/markup-compatibility/2006">
          <mc:Choice Requires="x14">
            <control shapeId="1146" r:id="rId19" name="Check Box 122">
              <controlPr defaultSize="0" autoFill="0" autoLine="0" autoPict="0">
                <anchor moveWithCells="1">
                  <from>
                    <xdr:col>1</xdr:col>
                    <xdr:colOff>76200</xdr:colOff>
                    <xdr:row>41</xdr:row>
                    <xdr:rowOff>177800</xdr:rowOff>
                  </from>
                  <to>
                    <xdr:col>2</xdr:col>
                    <xdr:colOff>38100</xdr:colOff>
                    <xdr:row>44</xdr:row>
                    <xdr:rowOff>0</xdr:rowOff>
                  </to>
                </anchor>
              </controlPr>
            </control>
          </mc:Choice>
        </mc:AlternateContent>
        <mc:AlternateContent xmlns:mc="http://schemas.openxmlformats.org/markup-compatibility/2006">
          <mc:Choice Requires="x14">
            <control shapeId="1147" r:id="rId20" name="Check Box 123">
              <controlPr defaultSize="0" autoFill="0" autoLine="0" autoPict="0">
                <anchor moveWithCells="1">
                  <from>
                    <xdr:col>1</xdr:col>
                    <xdr:colOff>76200</xdr:colOff>
                    <xdr:row>41</xdr:row>
                    <xdr:rowOff>177800</xdr:rowOff>
                  </from>
                  <to>
                    <xdr:col>2</xdr:col>
                    <xdr:colOff>38100</xdr:colOff>
                    <xdr:row>44</xdr:row>
                    <xdr:rowOff>0</xdr:rowOff>
                  </to>
                </anchor>
              </controlPr>
            </control>
          </mc:Choice>
        </mc:AlternateContent>
        <mc:AlternateContent xmlns:mc="http://schemas.openxmlformats.org/markup-compatibility/2006">
          <mc:Choice Requires="x14">
            <control shapeId="1148" r:id="rId21" name="Check Box 124">
              <controlPr defaultSize="0" autoFill="0" autoLine="0" autoPict="0">
                <anchor moveWithCells="1">
                  <from>
                    <xdr:col>1</xdr:col>
                    <xdr:colOff>76200</xdr:colOff>
                    <xdr:row>41</xdr:row>
                    <xdr:rowOff>177800</xdr:rowOff>
                  </from>
                  <to>
                    <xdr:col>2</xdr:col>
                    <xdr:colOff>38100</xdr:colOff>
                    <xdr:row>44</xdr:row>
                    <xdr:rowOff>0</xdr:rowOff>
                  </to>
                </anchor>
              </controlPr>
            </control>
          </mc:Choice>
        </mc:AlternateContent>
        <mc:AlternateContent xmlns:mc="http://schemas.openxmlformats.org/markup-compatibility/2006">
          <mc:Choice Requires="x14">
            <control shapeId="1149" r:id="rId22" name="Check Box 125">
              <controlPr defaultSize="0" autoFill="0" autoLine="0" autoPict="0">
                <anchor moveWithCells="1">
                  <from>
                    <xdr:col>1</xdr:col>
                    <xdr:colOff>76200</xdr:colOff>
                    <xdr:row>41</xdr:row>
                    <xdr:rowOff>177800</xdr:rowOff>
                  </from>
                  <to>
                    <xdr:col>2</xdr:col>
                    <xdr:colOff>38100</xdr:colOff>
                    <xdr:row>44</xdr:row>
                    <xdr:rowOff>0</xdr:rowOff>
                  </to>
                </anchor>
              </controlPr>
            </control>
          </mc:Choice>
        </mc:AlternateContent>
        <mc:AlternateContent xmlns:mc="http://schemas.openxmlformats.org/markup-compatibility/2006">
          <mc:Choice Requires="x14">
            <control shapeId="1150" r:id="rId23" name="Check Box 126">
              <controlPr defaultSize="0" autoFill="0" autoLine="0" autoPict="0">
                <anchor moveWithCells="1">
                  <from>
                    <xdr:col>1</xdr:col>
                    <xdr:colOff>76200</xdr:colOff>
                    <xdr:row>41</xdr:row>
                    <xdr:rowOff>177800</xdr:rowOff>
                  </from>
                  <to>
                    <xdr:col>2</xdr:col>
                    <xdr:colOff>38100</xdr:colOff>
                    <xdr:row>44</xdr:row>
                    <xdr:rowOff>0</xdr:rowOff>
                  </to>
                </anchor>
              </controlPr>
            </control>
          </mc:Choice>
        </mc:AlternateContent>
        <mc:AlternateContent xmlns:mc="http://schemas.openxmlformats.org/markup-compatibility/2006">
          <mc:Choice Requires="x14">
            <control shapeId="1151" r:id="rId24" name="Check Box 127">
              <controlPr defaultSize="0" autoFill="0" autoLine="0" autoPict="0">
                <anchor moveWithCells="1">
                  <from>
                    <xdr:col>1</xdr:col>
                    <xdr:colOff>76200</xdr:colOff>
                    <xdr:row>41</xdr:row>
                    <xdr:rowOff>177800</xdr:rowOff>
                  </from>
                  <to>
                    <xdr:col>2</xdr:col>
                    <xdr:colOff>38100</xdr:colOff>
                    <xdr:row>44</xdr:row>
                    <xdr:rowOff>0</xdr:rowOff>
                  </to>
                </anchor>
              </controlPr>
            </control>
          </mc:Choice>
        </mc:AlternateContent>
        <mc:AlternateContent xmlns:mc="http://schemas.openxmlformats.org/markup-compatibility/2006">
          <mc:Choice Requires="x14">
            <control shapeId="1152" r:id="rId25" name="Check Box 128">
              <controlPr defaultSize="0" autoFill="0" autoLine="0" autoPict="0">
                <anchor moveWithCells="1">
                  <from>
                    <xdr:col>1</xdr:col>
                    <xdr:colOff>76200</xdr:colOff>
                    <xdr:row>41</xdr:row>
                    <xdr:rowOff>177800</xdr:rowOff>
                  </from>
                  <to>
                    <xdr:col>2</xdr:col>
                    <xdr:colOff>38100</xdr:colOff>
                    <xdr:row>44</xdr:row>
                    <xdr:rowOff>0</xdr:rowOff>
                  </to>
                </anchor>
              </controlPr>
            </control>
          </mc:Choice>
        </mc:AlternateContent>
        <mc:AlternateContent xmlns:mc="http://schemas.openxmlformats.org/markup-compatibility/2006">
          <mc:Choice Requires="x14">
            <control shapeId="1154" r:id="rId26" name="Check Box 130">
              <controlPr defaultSize="0" autoFill="0" autoLine="0" autoPict="0">
                <anchor moveWithCells="1">
                  <from>
                    <xdr:col>1</xdr:col>
                    <xdr:colOff>76200</xdr:colOff>
                    <xdr:row>41</xdr:row>
                    <xdr:rowOff>177800</xdr:rowOff>
                  </from>
                  <to>
                    <xdr:col>2</xdr:col>
                    <xdr:colOff>38100</xdr:colOff>
                    <xdr:row>44</xdr:row>
                    <xdr:rowOff>0</xdr:rowOff>
                  </to>
                </anchor>
              </controlPr>
            </control>
          </mc:Choice>
        </mc:AlternateContent>
        <mc:AlternateContent xmlns:mc="http://schemas.openxmlformats.org/markup-compatibility/2006">
          <mc:Choice Requires="x14">
            <control shapeId="1155" r:id="rId27" name="Check Box 131">
              <controlPr defaultSize="0" autoFill="0" autoLine="0" autoPict="0">
                <anchor moveWithCells="1">
                  <from>
                    <xdr:col>2</xdr:col>
                    <xdr:colOff>146050</xdr:colOff>
                    <xdr:row>27</xdr:row>
                    <xdr:rowOff>6350</xdr:rowOff>
                  </from>
                  <to>
                    <xdr:col>2</xdr:col>
                    <xdr:colOff>184150</xdr:colOff>
                    <xdr:row>44</xdr:row>
                    <xdr:rowOff>0</xdr:rowOff>
                  </to>
                </anchor>
              </controlPr>
            </control>
          </mc:Choice>
        </mc:AlternateContent>
        <mc:AlternateContent xmlns:mc="http://schemas.openxmlformats.org/markup-compatibility/2006">
          <mc:Choice Requires="x14">
            <control shapeId="1165" r:id="rId28" name="Check Box 141">
              <controlPr defaultSize="0" print="0" autoFill="0" autoLine="0" autoPict="0">
                <anchor moveWithCells="1">
                  <from>
                    <xdr:col>2</xdr:col>
                    <xdr:colOff>0</xdr:colOff>
                    <xdr:row>41</xdr:row>
                    <xdr:rowOff>177800</xdr:rowOff>
                  </from>
                  <to>
                    <xdr:col>2</xdr:col>
                    <xdr:colOff>44450</xdr:colOff>
                    <xdr:row>44</xdr:row>
                    <xdr:rowOff>0</xdr:rowOff>
                  </to>
                </anchor>
              </controlPr>
            </control>
          </mc:Choice>
        </mc:AlternateContent>
        <mc:AlternateContent xmlns:mc="http://schemas.openxmlformats.org/markup-compatibility/2006">
          <mc:Choice Requires="x14">
            <control shapeId="1166" r:id="rId29" name="Check Box 142">
              <controlPr defaultSize="0" autoFill="0" autoLine="0" autoPict="0">
                <anchor moveWithCells="1">
                  <from>
                    <xdr:col>2</xdr:col>
                    <xdr:colOff>0</xdr:colOff>
                    <xdr:row>41</xdr:row>
                    <xdr:rowOff>177800</xdr:rowOff>
                  </from>
                  <to>
                    <xdr:col>2</xdr:col>
                    <xdr:colOff>44450</xdr:colOff>
                    <xdr:row>44</xdr:row>
                    <xdr:rowOff>0</xdr:rowOff>
                  </to>
                </anchor>
              </controlPr>
            </control>
          </mc:Choice>
        </mc:AlternateContent>
        <mc:AlternateContent xmlns:mc="http://schemas.openxmlformats.org/markup-compatibility/2006">
          <mc:Choice Requires="x14">
            <control shapeId="1167" r:id="rId30" name="Check Box 143">
              <controlPr defaultSize="0" autoFill="0" autoLine="0" autoPict="0">
                <anchor moveWithCells="1">
                  <from>
                    <xdr:col>2</xdr:col>
                    <xdr:colOff>0</xdr:colOff>
                    <xdr:row>41</xdr:row>
                    <xdr:rowOff>177800</xdr:rowOff>
                  </from>
                  <to>
                    <xdr:col>2</xdr:col>
                    <xdr:colOff>44450</xdr:colOff>
                    <xdr:row>44</xdr:row>
                    <xdr:rowOff>0</xdr:rowOff>
                  </to>
                </anchor>
              </controlPr>
            </control>
          </mc:Choice>
        </mc:AlternateContent>
        <mc:AlternateContent xmlns:mc="http://schemas.openxmlformats.org/markup-compatibility/2006">
          <mc:Choice Requires="x14">
            <control shapeId="1168" r:id="rId31" name="Check Box 144">
              <controlPr defaultSize="0" autoFill="0" autoLine="0" autoPict="0">
                <anchor moveWithCells="1">
                  <from>
                    <xdr:col>2</xdr:col>
                    <xdr:colOff>0</xdr:colOff>
                    <xdr:row>41</xdr:row>
                    <xdr:rowOff>177800</xdr:rowOff>
                  </from>
                  <to>
                    <xdr:col>2</xdr:col>
                    <xdr:colOff>44450</xdr:colOff>
                    <xdr:row>44</xdr:row>
                    <xdr:rowOff>0</xdr:rowOff>
                  </to>
                </anchor>
              </controlPr>
            </control>
          </mc:Choice>
        </mc:AlternateContent>
        <mc:AlternateContent xmlns:mc="http://schemas.openxmlformats.org/markup-compatibility/2006">
          <mc:Choice Requires="x14">
            <control shapeId="1169" r:id="rId32" name="Check Box 145">
              <controlPr defaultSize="0" autoFill="0" autoLine="0" autoPict="0">
                <anchor moveWithCells="1">
                  <from>
                    <xdr:col>2</xdr:col>
                    <xdr:colOff>0</xdr:colOff>
                    <xdr:row>41</xdr:row>
                    <xdr:rowOff>177800</xdr:rowOff>
                  </from>
                  <to>
                    <xdr:col>2</xdr:col>
                    <xdr:colOff>44450</xdr:colOff>
                    <xdr:row>44</xdr:row>
                    <xdr:rowOff>0</xdr:rowOff>
                  </to>
                </anchor>
              </controlPr>
            </control>
          </mc:Choice>
        </mc:AlternateContent>
        <mc:AlternateContent xmlns:mc="http://schemas.openxmlformats.org/markup-compatibility/2006">
          <mc:Choice Requires="x14">
            <control shapeId="1170" r:id="rId33" name="Check Box 146">
              <controlPr defaultSize="0" autoFill="0" autoLine="0" autoPict="0">
                <anchor moveWithCells="1">
                  <from>
                    <xdr:col>2</xdr:col>
                    <xdr:colOff>0</xdr:colOff>
                    <xdr:row>41</xdr:row>
                    <xdr:rowOff>177800</xdr:rowOff>
                  </from>
                  <to>
                    <xdr:col>2</xdr:col>
                    <xdr:colOff>44450</xdr:colOff>
                    <xdr:row>44</xdr:row>
                    <xdr:rowOff>0</xdr:rowOff>
                  </to>
                </anchor>
              </controlPr>
            </control>
          </mc:Choice>
        </mc:AlternateContent>
        <mc:AlternateContent xmlns:mc="http://schemas.openxmlformats.org/markup-compatibility/2006">
          <mc:Choice Requires="x14">
            <control shapeId="1171" r:id="rId34" name="Check Box 147">
              <controlPr defaultSize="0" autoFill="0" autoLine="0" autoPict="0">
                <anchor moveWithCells="1">
                  <from>
                    <xdr:col>2</xdr:col>
                    <xdr:colOff>0</xdr:colOff>
                    <xdr:row>41</xdr:row>
                    <xdr:rowOff>177800</xdr:rowOff>
                  </from>
                  <to>
                    <xdr:col>2</xdr:col>
                    <xdr:colOff>44450</xdr:colOff>
                    <xdr:row>44</xdr:row>
                    <xdr:rowOff>0</xdr:rowOff>
                  </to>
                </anchor>
              </controlPr>
            </control>
          </mc:Choice>
        </mc:AlternateContent>
        <mc:AlternateContent xmlns:mc="http://schemas.openxmlformats.org/markup-compatibility/2006">
          <mc:Choice Requires="x14">
            <control shapeId="1172" r:id="rId35" name="Check Box 148">
              <controlPr defaultSize="0" autoFill="0" autoLine="0" autoPict="0">
                <anchor moveWithCells="1">
                  <from>
                    <xdr:col>2</xdr:col>
                    <xdr:colOff>0</xdr:colOff>
                    <xdr:row>41</xdr:row>
                    <xdr:rowOff>177800</xdr:rowOff>
                  </from>
                  <to>
                    <xdr:col>2</xdr:col>
                    <xdr:colOff>44450</xdr:colOff>
                    <xdr:row>44</xdr:row>
                    <xdr:rowOff>0</xdr:rowOff>
                  </to>
                </anchor>
              </controlPr>
            </control>
          </mc:Choice>
        </mc:AlternateContent>
        <mc:AlternateContent xmlns:mc="http://schemas.openxmlformats.org/markup-compatibility/2006">
          <mc:Choice Requires="x14">
            <control shapeId="1173" r:id="rId36" name="Check Box 149">
              <controlPr defaultSize="0" autoFill="0" autoLine="0" autoPict="0">
                <anchor moveWithCells="1">
                  <from>
                    <xdr:col>2</xdr:col>
                    <xdr:colOff>0</xdr:colOff>
                    <xdr:row>41</xdr:row>
                    <xdr:rowOff>177800</xdr:rowOff>
                  </from>
                  <to>
                    <xdr:col>2</xdr:col>
                    <xdr:colOff>44450</xdr:colOff>
                    <xdr:row>44</xdr:row>
                    <xdr:rowOff>0</xdr:rowOff>
                  </to>
                </anchor>
              </controlPr>
            </control>
          </mc:Choice>
        </mc:AlternateContent>
        <mc:AlternateContent xmlns:mc="http://schemas.openxmlformats.org/markup-compatibility/2006">
          <mc:Choice Requires="x14">
            <control shapeId="1174" r:id="rId37" name="Check Box 150">
              <controlPr defaultSize="0" autoFill="0" autoLine="0" autoPict="0">
                <anchor moveWithCells="1">
                  <from>
                    <xdr:col>2</xdr:col>
                    <xdr:colOff>0</xdr:colOff>
                    <xdr:row>41</xdr:row>
                    <xdr:rowOff>177800</xdr:rowOff>
                  </from>
                  <to>
                    <xdr:col>2</xdr:col>
                    <xdr:colOff>44450</xdr:colOff>
                    <xdr:row>44</xdr:row>
                    <xdr:rowOff>0</xdr:rowOff>
                  </to>
                </anchor>
              </controlPr>
            </control>
          </mc:Choice>
        </mc:AlternateContent>
        <mc:AlternateContent xmlns:mc="http://schemas.openxmlformats.org/markup-compatibility/2006">
          <mc:Choice Requires="x14">
            <control shapeId="1175" r:id="rId38" name="Check Box 151">
              <controlPr defaultSize="0" autoFill="0" autoLine="0" autoPict="0">
                <anchor moveWithCells="1">
                  <from>
                    <xdr:col>2</xdr:col>
                    <xdr:colOff>0</xdr:colOff>
                    <xdr:row>41</xdr:row>
                    <xdr:rowOff>177800</xdr:rowOff>
                  </from>
                  <to>
                    <xdr:col>2</xdr:col>
                    <xdr:colOff>44450</xdr:colOff>
                    <xdr:row>44</xdr:row>
                    <xdr:rowOff>0</xdr:rowOff>
                  </to>
                </anchor>
              </controlPr>
            </control>
          </mc:Choice>
        </mc:AlternateContent>
        <mc:AlternateContent xmlns:mc="http://schemas.openxmlformats.org/markup-compatibility/2006">
          <mc:Choice Requires="x14">
            <control shapeId="1176" r:id="rId39" name="Check Box 152">
              <controlPr defaultSize="0" autoFill="0" autoLine="0" autoPict="0">
                <anchor moveWithCells="1">
                  <from>
                    <xdr:col>2</xdr:col>
                    <xdr:colOff>0</xdr:colOff>
                    <xdr:row>41</xdr:row>
                    <xdr:rowOff>177800</xdr:rowOff>
                  </from>
                  <to>
                    <xdr:col>2</xdr:col>
                    <xdr:colOff>44450</xdr:colOff>
                    <xdr:row>44</xdr:row>
                    <xdr:rowOff>0</xdr:rowOff>
                  </to>
                </anchor>
              </controlPr>
            </control>
          </mc:Choice>
        </mc:AlternateContent>
        <mc:AlternateContent xmlns:mc="http://schemas.openxmlformats.org/markup-compatibility/2006">
          <mc:Choice Requires="x14">
            <control shapeId="1177" r:id="rId40" name="Check Box 153">
              <controlPr defaultSize="0" autoFill="0" autoLine="0" autoPict="0">
                <anchor moveWithCells="1">
                  <from>
                    <xdr:col>2</xdr:col>
                    <xdr:colOff>0</xdr:colOff>
                    <xdr:row>41</xdr:row>
                    <xdr:rowOff>177800</xdr:rowOff>
                  </from>
                  <to>
                    <xdr:col>2</xdr:col>
                    <xdr:colOff>44450</xdr:colOff>
                    <xdr:row>44</xdr:row>
                    <xdr:rowOff>0</xdr:rowOff>
                  </to>
                </anchor>
              </controlPr>
            </control>
          </mc:Choice>
        </mc:AlternateContent>
        <mc:AlternateContent xmlns:mc="http://schemas.openxmlformats.org/markup-compatibility/2006">
          <mc:Choice Requires="x14">
            <control shapeId="1178" r:id="rId41" name="Check Box 154">
              <controlPr defaultSize="0" autoFill="0" autoLine="0" autoPict="0">
                <anchor moveWithCells="1">
                  <from>
                    <xdr:col>2</xdr:col>
                    <xdr:colOff>0</xdr:colOff>
                    <xdr:row>41</xdr:row>
                    <xdr:rowOff>177800</xdr:rowOff>
                  </from>
                  <to>
                    <xdr:col>2</xdr:col>
                    <xdr:colOff>44450</xdr:colOff>
                    <xdr:row>44</xdr:row>
                    <xdr:rowOff>0</xdr:rowOff>
                  </to>
                </anchor>
              </controlPr>
            </control>
          </mc:Choice>
        </mc:AlternateContent>
        <mc:AlternateContent xmlns:mc="http://schemas.openxmlformats.org/markup-compatibility/2006">
          <mc:Choice Requires="x14">
            <control shapeId="1179" r:id="rId42" name="Check Box 155">
              <controlPr defaultSize="0" autoFill="0" autoLine="0" autoPict="0">
                <anchor moveWithCells="1">
                  <from>
                    <xdr:col>2</xdr:col>
                    <xdr:colOff>146050</xdr:colOff>
                    <xdr:row>27</xdr:row>
                    <xdr:rowOff>0</xdr:rowOff>
                  </from>
                  <to>
                    <xdr:col>2</xdr:col>
                    <xdr:colOff>190500</xdr:colOff>
                    <xdr:row>44</xdr:row>
                    <xdr:rowOff>0</xdr:rowOff>
                  </to>
                </anchor>
              </controlPr>
            </control>
          </mc:Choice>
        </mc:AlternateContent>
        <mc:AlternateContent xmlns:mc="http://schemas.openxmlformats.org/markup-compatibility/2006">
          <mc:Choice Requires="x14">
            <control shapeId="1222" r:id="rId43" name="Button 198">
              <controlPr defaultSize="0" print="0" autoFill="0" autoPict="0" macro="[0]!UnhideUnitMixRows">
                <anchor moveWithCells="1" sizeWithCells="1">
                  <from>
                    <xdr:col>2</xdr:col>
                    <xdr:colOff>895350</xdr:colOff>
                    <xdr:row>26</xdr:row>
                    <xdr:rowOff>31750</xdr:rowOff>
                  </from>
                  <to>
                    <xdr:col>4</xdr:col>
                    <xdr:colOff>609600</xdr:colOff>
                    <xdr:row>26</xdr:row>
                    <xdr:rowOff>203200</xdr:rowOff>
                  </to>
                </anchor>
              </controlPr>
            </control>
          </mc:Choice>
        </mc:AlternateContent>
        <mc:AlternateContent xmlns:mc="http://schemas.openxmlformats.org/markup-compatibility/2006">
          <mc:Choice Requires="x14">
            <control shapeId="5" r:id="rId44" name="Check Box 157">
              <controlPr defaultSize="0" print="0" autoFill="0" autoLine="0" autoPict="0">
                <anchor moveWithCells="1" sizeWithCells="1">
                  <from>
                    <xdr:col>2</xdr:col>
                    <xdr:colOff>184150</xdr:colOff>
                    <xdr:row>41</xdr:row>
                    <xdr:rowOff>177800</xdr:rowOff>
                  </from>
                  <to>
                    <xdr:col>2</xdr:col>
                    <xdr:colOff>184150</xdr:colOff>
                    <xdr:row>41</xdr:row>
                    <xdr:rowOff>177800</xdr:rowOff>
                  </to>
                </anchor>
              </controlPr>
            </control>
          </mc:Choice>
        </mc:AlternateContent>
        <mc:AlternateContent xmlns:mc="http://schemas.openxmlformats.org/markup-compatibility/2006">
          <mc:Choice Requires="x14">
            <control shapeId="6" r:id="rId45" name="Check Box 158">
              <controlPr defaultSize="0" autoFill="0" autoLine="0" autoPict="0">
                <anchor moveWithCells="1" sizeWithCells="1">
                  <from>
                    <xdr:col>2</xdr:col>
                    <xdr:colOff>184150</xdr:colOff>
                    <xdr:row>41</xdr:row>
                    <xdr:rowOff>177800</xdr:rowOff>
                  </from>
                  <to>
                    <xdr:col>2</xdr:col>
                    <xdr:colOff>184150</xdr:colOff>
                    <xdr:row>41</xdr:row>
                    <xdr:rowOff>177800</xdr:rowOff>
                  </to>
                </anchor>
              </controlPr>
            </control>
          </mc:Choice>
        </mc:AlternateContent>
        <mc:AlternateContent xmlns:mc="http://schemas.openxmlformats.org/markup-compatibility/2006">
          <mc:Choice Requires="x14">
            <control shapeId="7" r:id="rId46" name="Check Box 159">
              <controlPr defaultSize="0" autoFill="0" autoLine="0" autoPict="0">
                <anchor moveWithCells="1" sizeWithCells="1">
                  <from>
                    <xdr:col>2</xdr:col>
                    <xdr:colOff>184150</xdr:colOff>
                    <xdr:row>41</xdr:row>
                    <xdr:rowOff>177800</xdr:rowOff>
                  </from>
                  <to>
                    <xdr:col>2</xdr:col>
                    <xdr:colOff>184150</xdr:colOff>
                    <xdr:row>41</xdr:row>
                    <xdr:rowOff>177800</xdr:rowOff>
                  </to>
                </anchor>
              </controlPr>
            </control>
          </mc:Choice>
        </mc:AlternateContent>
        <mc:AlternateContent xmlns:mc="http://schemas.openxmlformats.org/markup-compatibility/2006">
          <mc:Choice Requires="x14">
            <control shapeId="8" r:id="rId47" name="Check Box 160">
              <controlPr defaultSize="0" autoFill="0" autoLine="0" autoPict="0">
                <anchor moveWithCells="1" sizeWithCells="1">
                  <from>
                    <xdr:col>2</xdr:col>
                    <xdr:colOff>184150</xdr:colOff>
                    <xdr:row>41</xdr:row>
                    <xdr:rowOff>177800</xdr:rowOff>
                  </from>
                  <to>
                    <xdr:col>2</xdr:col>
                    <xdr:colOff>184150</xdr:colOff>
                    <xdr:row>41</xdr:row>
                    <xdr:rowOff>177800</xdr:rowOff>
                  </to>
                </anchor>
              </controlPr>
            </control>
          </mc:Choice>
        </mc:AlternateContent>
        <mc:AlternateContent xmlns:mc="http://schemas.openxmlformats.org/markup-compatibility/2006">
          <mc:Choice Requires="x14">
            <control shapeId="10" r:id="rId48" name="Check Box 161">
              <controlPr defaultSize="0" autoFill="0" autoLine="0" autoPict="0">
                <anchor moveWithCells="1" sizeWithCells="1">
                  <from>
                    <xdr:col>2</xdr:col>
                    <xdr:colOff>184150</xdr:colOff>
                    <xdr:row>41</xdr:row>
                    <xdr:rowOff>177800</xdr:rowOff>
                  </from>
                  <to>
                    <xdr:col>2</xdr:col>
                    <xdr:colOff>184150</xdr:colOff>
                    <xdr:row>41</xdr:row>
                    <xdr:rowOff>177800</xdr:rowOff>
                  </to>
                </anchor>
              </controlPr>
            </control>
          </mc:Choice>
        </mc:AlternateContent>
        <mc:AlternateContent xmlns:mc="http://schemas.openxmlformats.org/markup-compatibility/2006">
          <mc:Choice Requires="x14">
            <control shapeId="11" r:id="rId49" name="Check Box 162">
              <controlPr defaultSize="0" autoFill="0" autoLine="0" autoPict="0">
                <anchor moveWithCells="1" sizeWithCells="1">
                  <from>
                    <xdr:col>2</xdr:col>
                    <xdr:colOff>184150</xdr:colOff>
                    <xdr:row>41</xdr:row>
                    <xdr:rowOff>177800</xdr:rowOff>
                  </from>
                  <to>
                    <xdr:col>2</xdr:col>
                    <xdr:colOff>184150</xdr:colOff>
                    <xdr:row>41</xdr:row>
                    <xdr:rowOff>177800</xdr:rowOff>
                  </to>
                </anchor>
              </controlPr>
            </control>
          </mc:Choice>
        </mc:AlternateContent>
        <mc:AlternateContent xmlns:mc="http://schemas.openxmlformats.org/markup-compatibility/2006">
          <mc:Choice Requires="x14">
            <control shapeId="12" r:id="rId50" name="Check Box 163">
              <controlPr defaultSize="0" autoFill="0" autoLine="0" autoPict="0">
                <anchor moveWithCells="1" sizeWithCells="1">
                  <from>
                    <xdr:col>2</xdr:col>
                    <xdr:colOff>184150</xdr:colOff>
                    <xdr:row>41</xdr:row>
                    <xdr:rowOff>177800</xdr:rowOff>
                  </from>
                  <to>
                    <xdr:col>2</xdr:col>
                    <xdr:colOff>184150</xdr:colOff>
                    <xdr:row>41</xdr:row>
                    <xdr:rowOff>177800</xdr:rowOff>
                  </to>
                </anchor>
              </controlPr>
            </control>
          </mc:Choice>
        </mc:AlternateContent>
        <mc:AlternateContent xmlns:mc="http://schemas.openxmlformats.org/markup-compatibility/2006">
          <mc:Choice Requires="x14">
            <control shapeId="13" r:id="rId51" name="Check Box 164">
              <controlPr defaultSize="0" autoFill="0" autoLine="0" autoPict="0">
                <anchor moveWithCells="1" sizeWithCells="1">
                  <from>
                    <xdr:col>2</xdr:col>
                    <xdr:colOff>184150</xdr:colOff>
                    <xdr:row>41</xdr:row>
                    <xdr:rowOff>177800</xdr:rowOff>
                  </from>
                  <to>
                    <xdr:col>2</xdr:col>
                    <xdr:colOff>184150</xdr:colOff>
                    <xdr:row>41</xdr:row>
                    <xdr:rowOff>177800</xdr:rowOff>
                  </to>
                </anchor>
              </controlPr>
            </control>
          </mc:Choice>
        </mc:AlternateContent>
        <mc:AlternateContent xmlns:mc="http://schemas.openxmlformats.org/markup-compatibility/2006">
          <mc:Choice Requires="x14">
            <control shapeId="14" r:id="rId52" name="Check Box 165">
              <controlPr defaultSize="0" autoFill="0" autoLine="0" autoPict="0">
                <anchor moveWithCells="1" sizeWithCells="1">
                  <from>
                    <xdr:col>2</xdr:col>
                    <xdr:colOff>184150</xdr:colOff>
                    <xdr:row>41</xdr:row>
                    <xdr:rowOff>177800</xdr:rowOff>
                  </from>
                  <to>
                    <xdr:col>2</xdr:col>
                    <xdr:colOff>184150</xdr:colOff>
                    <xdr:row>41</xdr:row>
                    <xdr:rowOff>177800</xdr:rowOff>
                  </to>
                </anchor>
              </controlPr>
            </control>
          </mc:Choice>
        </mc:AlternateContent>
        <mc:AlternateContent xmlns:mc="http://schemas.openxmlformats.org/markup-compatibility/2006">
          <mc:Choice Requires="x14">
            <control shapeId="15" r:id="rId53" name="Check Box 166">
              <controlPr defaultSize="0" autoFill="0" autoLine="0" autoPict="0">
                <anchor moveWithCells="1" sizeWithCells="1">
                  <from>
                    <xdr:col>2</xdr:col>
                    <xdr:colOff>184150</xdr:colOff>
                    <xdr:row>41</xdr:row>
                    <xdr:rowOff>177800</xdr:rowOff>
                  </from>
                  <to>
                    <xdr:col>2</xdr:col>
                    <xdr:colOff>184150</xdr:colOff>
                    <xdr:row>41</xdr:row>
                    <xdr:rowOff>177800</xdr:rowOff>
                  </to>
                </anchor>
              </controlPr>
            </control>
          </mc:Choice>
        </mc:AlternateContent>
        <mc:AlternateContent xmlns:mc="http://schemas.openxmlformats.org/markup-compatibility/2006">
          <mc:Choice Requires="x14">
            <control shapeId="16" r:id="rId54" name="Check Box 167">
              <controlPr defaultSize="0" autoFill="0" autoLine="0" autoPict="0">
                <anchor moveWithCells="1" sizeWithCells="1">
                  <from>
                    <xdr:col>2</xdr:col>
                    <xdr:colOff>184150</xdr:colOff>
                    <xdr:row>41</xdr:row>
                    <xdr:rowOff>177800</xdr:rowOff>
                  </from>
                  <to>
                    <xdr:col>2</xdr:col>
                    <xdr:colOff>184150</xdr:colOff>
                    <xdr:row>41</xdr:row>
                    <xdr:rowOff>177800</xdr:rowOff>
                  </to>
                </anchor>
              </controlPr>
            </control>
          </mc:Choice>
        </mc:AlternateContent>
        <mc:AlternateContent xmlns:mc="http://schemas.openxmlformats.org/markup-compatibility/2006">
          <mc:Choice Requires="x14">
            <control shapeId="17" r:id="rId55" name="Check Box 168">
              <controlPr defaultSize="0" autoFill="0" autoLine="0" autoPict="0">
                <anchor moveWithCells="1" sizeWithCells="1">
                  <from>
                    <xdr:col>2</xdr:col>
                    <xdr:colOff>184150</xdr:colOff>
                    <xdr:row>41</xdr:row>
                    <xdr:rowOff>177800</xdr:rowOff>
                  </from>
                  <to>
                    <xdr:col>2</xdr:col>
                    <xdr:colOff>184150</xdr:colOff>
                    <xdr:row>41</xdr:row>
                    <xdr:rowOff>177800</xdr:rowOff>
                  </to>
                </anchor>
              </controlPr>
            </control>
          </mc:Choice>
        </mc:AlternateContent>
        <mc:AlternateContent xmlns:mc="http://schemas.openxmlformats.org/markup-compatibility/2006">
          <mc:Choice Requires="x14">
            <control shapeId="18" r:id="rId56" name="Check Box 169">
              <controlPr defaultSize="0" autoFill="0" autoLine="0" autoPict="0">
                <anchor moveWithCells="1" sizeWithCells="1">
                  <from>
                    <xdr:col>2</xdr:col>
                    <xdr:colOff>184150</xdr:colOff>
                    <xdr:row>41</xdr:row>
                    <xdr:rowOff>177800</xdr:rowOff>
                  </from>
                  <to>
                    <xdr:col>2</xdr:col>
                    <xdr:colOff>184150</xdr:colOff>
                    <xdr:row>41</xdr:row>
                    <xdr:rowOff>177800</xdr:rowOff>
                  </to>
                </anchor>
              </controlPr>
            </control>
          </mc:Choice>
        </mc:AlternateContent>
        <mc:AlternateContent xmlns:mc="http://schemas.openxmlformats.org/markup-compatibility/2006">
          <mc:Choice Requires="x14">
            <control shapeId="19" r:id="rId57" name="Check Box 170">
              <controlPr defaultSize="0" autoFill="0" autoLine="0" autoPict="0">
                <anchor moveWithCells="1" sizeWithCells="1">
                  <from>
                    <xdr:col>2</xdr:col>
                    <xdr:colOff>184150</xdr:colOff>
                    <xdr:row>41</xdr:row>
                    <xdr:rowOff>177800</xdr:rowOff>
                  </from>
                  <to>
                    <xdr:col>2</xdr:col>
                    <xdr:colOff>184150</xdr:colOff>
                    <xdr:row>41</xdr:row>
                    <xdr:rowOff>177800</xdr:rowOff>
                  </to>
                </anchor>
              </controlPr>
            </control>
          </mc:Choice>
        </mc:AlternateContent>
        <mc:AlternateContent xmlns:mc="http://schemas.openxmlformats.org/markup-compatibility/2006">
          <mc:Choice Requires="x14">
            <control shapeId="20" r:id="rId58" name="Check Box 171">
              <controlPr defaultSize="0" autoFill="0" autoLine="0" autoPict="0">
                <anchor moveWithCells="1" sizeWithCells="1">
                  <from>
                    <xdr:col>2</xdr:col>
                    <xdr:colOff>0</xdr:colOff>
                    <xdr:row>27</xdr:row>
                    <xdr:rowOff>0</xdr:rowOff>
                  </from>
                  <to>
                    <xdr:col>2</xdr:col>
                    <xdr:colOff>0</xdr:colOff>
                    <xdr:row>27</xdr:row>
                    <xdr:rowOff>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2679B-17D9-415E-BCEF-C4D9A88A4AFD}">
  <sheetPr codeName="Sheet41"/>
  <dimension ref="B1:N5"/>
  <sheetViews>
    <sheetView showGridLines="0" workbookViewId="0">
      <selection activeCell="D4" sqref="D4"/>
    </sheetView>
  </sheetViews>
  <sheetFormatPr defaultRowHeight="14.5" x14ac:dyDescent="0.35"/>
  <cols>
    <col min="1" max="1" width="1.7265625" customWidth="1"/>
    <col min="5" max="5" width="2.90625" customWidth="1"/>
    <col min="6" max="6" width="10.90625" bestFit="1" customWidth="1"/>
    <col min="7" max="7" width="0" hidden="1" customWidth="1"/>
  </cols>
  <sheetData>
    <row r="1" spans="2:14" ht="15" thickBot="1" x14ac:dyDescent="0.4"/>
    <row r="2" spans="2:14" ht="15" thickBot="1" x14ac:dyDescent="0.4">
      <c r="B2" s="450" t="s">
        <v>220</v>
      </c>
      <c r="C2" s="451"/>
      <c r="D2" s="454"/>
      <c r="F2" s="450" t="s">
        <v>224</v>
      </c>
      <c r="G2" s="451"/>
      <c r="H2" s="452"/>
      <c r="I2" s="452"/>
      <c r="J2" s="452"/>
      <c r="K2" s="456" t="s">
        <v>225</v>
      </c>
      <c r="L2" s="452"/>
      <c r="M2" s="452"/>
      <c r="N2" s="453"/>
    </row>
    <row r="3" spans="2:14" x14ac:dyDescent="0.35">
      <c r="B3" s="434" t="s">
        <v>221</v>
      </c>
      <c r="C3" s="449"/>
      <c r="D3" s="435">
        <f>'UW Model'!B20</f>
        <v>5.7500000000000002E-2</v>
      </c>
      <c r="F3" s="440" t="s">
        <v>226</v>
      </c>
      <c r="G3" s="441"/>
      <c r="H3" s="442">
        <f>I3-$D$4</f>
        <v>5.2999999999999999E-2</v>
      </c>
      <c r="I3" s="442">
        <f>J3-$D$4</f>
        <v>5.45E-2</v>
      </c>
      <c r="J3" s="442">
        <f>K3-$D$4</f>
        <v>5.6000000000000001E-2</v>
      </c>
      <c r="K3" s="457">
        <f>'UW Model'!G23</f>
        <v>5.7500000000000002E-2</v>
      </c>
      <c r="L3" s="442">
        <f>K3+$D$4</f>
        <v>5.9000000000000004E-2</v>
      </c>
      <c r="M3" s="442">
        <f>L3+$D$4</f>
        <v>6.0500000000000005E-2</v>
      </c>
      <c r="N3" s="443">
        <f>M3+$D$4</f>
        <v>6.2000000000000006E-2</v>
      </c>
    </row>
    <row r="4" spans="2:14" ht="15" thickBot="1" x14ac:dyDescent="0.4">
      <c r="B4" s="436" t="s">
        <v>222</v>
      </c>
      <c r="D4" s="455">
        <f>('UW Model'!G23-'UW Model'!G14)/'UW Model'!G20</f>
        <v>1.5E-3</v>
      </c>
      <c r="F4" s="444" t="s">
        <v>176</v>
      </c>
      <c r="G4" s="447">
        <f>'UW Model'!I207</f>
        <v>0</v>
      </c>
      <c r="H4" s="445">
        <f t="dataTable" ref="H4:N4" dt2D="0" dtr="1" r1="C3"/>
        <v>0</v>
      </c>
      <c r="I4" s="445">
        <v>0</v>
      </c>
      <c r="J4" s="445">
        <v>0</v>
      </c>
      <c r="K4" s="458">
        <v>0</v>
      </c>
      <c r="L4" s="445">
        <v>0</v>
      </c>
      <c r="M4" s="445">
        <v>0</v>
      </c>
      <c r="N4" s="446">
        <v>0</v>
      </c>
    </row>
    <row r="5" spans="2:14" ht="15" thickBot="1" x14ac:dyDescent="0.4">
      <c r="B5" s="437" t="s">
        <v>223</v>
      </c>
      <c r="C5" s="438"/>
      <c r="D5" s="439">
        <f>'UW Model'!G20</f>
        <v>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62FA7-B8CF-4164-8F51-7927E05283DB}">
  <sheetPr codeName="Sheet9"/>
  <dimension ref="A1:AR75"/>
  <sheetViews>
    <sheetView showGridLines="0" workbookViewId="0">
      <selection activeCell="I14" sqref="I14"/>
    </sheetView>
  </sheetViews>
  <sheetFormatPr defaultRowHeight="14.5" x14ac:dyDescent="0.35"/>
  <sheetData>
    <row r="1" spans="1:44" x14ac:dyDescent="0.35">
      <c r="A1" s="788"/>
      <c r="B1" s="788"/>
      <c r="C1" s="788"/>
      <c r="D1" s="788"/>
      <c r="E1" s="788"/>
      <c r="F1" s="788"/>
      <c r="G1" s="788"/>
      <c r="H1" s="788"/>
      <c r="I1" s="788"/>
      <c r="J1" s="788"/>
      <c r="K1" s="788"/>
      <c r="L1" s="788"/>
      <c r="M1" s="788"/>
      <c r="N1" s="788"/>
      <c r="O1" s="788"/>
      <c r="P1" s="788"/>
      <c r="Q1" s="788"/>
      <c r="R1" s="788"/>
      <c r="S1" s="788"/>
      <c r="T1" s="788"/>
      <c r="U1" s="788"/>
      <c r="V1" s="788"/>
      <c r="W1" s="788"/>
      <c r="X1" s="788"/>
      <c r="Y1" s="788"/>
      <c r="Z1" s="788"/>
      <c r="AA1" s="788"/>
      <c r="AB1" s="788"/>
      <c r="AC1" s="788"/>
      <c r="AD1" s="788"/>
      <c r="AE1" s="788"/>
      <c r="AF1" s="788"/>
      <c r="AG1" s="788"/>
      <c r="AH1" s="788"/>
      <c r="AI1" s="788"/>
      <c r="AJ1" s="788"/>
      <c r="AK1" s="788"/>
      <c r="AL1" s="788"/>
      <c r="AM1" s="788"/>
      <c r="AN1" s="788"/>
      <c r="AO1" s="788"/>
      <c r="AP1" s="788"/>
      <c r="AQ1" s="788"/>
      <c r="AR1" s="788"/>
    </row>
    <row r="2" spans="1:44" x14ac:dyDescent="0.35">
      <c r="A2" s="788"/>
      <c r="B2" s="788"/>
      <c r="C2" s="788"/>
      <c r="D2" s="788"/>
      <c r="E2" s="788"/>
      <c r="F2" s="788"/>
      <c r="G2" s="788"/>
      <c r="H2" s="788"/>
      <c r="I2" s="788"/>
      <c r="J2" s="788"/>
      <c r="K2" s="788"/>
      <c r="L2" s="788"/>
      <c r="M2" s="788"/>
      <c r="N2" s="788"/>
      <c r="O2" s="788"/>
      <c r="P2" s="788"/>
      <c r="Q2" s="788"/>
      <c r="R2" s="788"/>
      <c r="S2" s="788"/>
      <c r="T2" s="788"/>
      <c r="U2" s="788"/>
      <c r="V2" s="788"/>
      <c r="W2" s="788"/>
      <c r="X2" s="788"/>
      <c r="Y2" s="788"/>
      <c r="Z2" s="788"/>
      <c r="AA2" s="788"/>
      <c r="AB2" s="788"/>
      <c r="AC2" s="788"/>
      <c r="AD2" s="788"/>
      <c r="AE2" s="788"/>
      <c r="AF2" s="788"/>
      <c r="AG2" s="788"/>
      <c r="AH2" s="788"/>
      <c r="AI2" s="788"/>
      <c r="AJ2" s="788"/>
      <c r="AK2" s="788"/>
      <c r="AL2" s="788"/>
      <c r="AM2" s="788"/>
      <c r="AN2" s="788"/>
      <c r="AO2" s="788"/>
      <c r="AP2" s="788"/>
      <c r="AQ2" s="788"/>
      <c r="AR2" s="788"/>
    </row>
    <row r="3" spans="1:44" x14ac:dyDescent="0.35">
      <c r="A3" s="788"/>
      <c r="B3" s="788"/>
      <c r="C3" s="788"/>
      <c r="D3" s="788"/>
      <c r="E3" s="788"/>
      <c r="F3" s="788"/>
      <c r="G3" s="788"/>
      <c r="H3" s="788"/>
      <c r="I3" s="788"/>
      <c r="J3" s="788"/>
      <c r="K3" s="788"/>
      <c r="L3" s="788"/>
      <c r="M3" s="788"/>
      <c r="N3" s="788"/>
      <c r="O3" s="788"/>
      <c r="P3" s="788"/>
      <c r="Q3" s="788"/>
      <c r="R3" s="788"/>
      <c r="S3" s="788"/>
      <c r="T3" s="788"/>
      <c r="U3" s="788"/>
      <c r="V3" s="788"/>
      <c r="W3" s="788"/>
      <c r="X3" s="788"/>
      <c r="Y3" s="788"/>
      <c r="Z3" s="788"/>
      <c r="AA3" s="788"/>
      <c r="AB3" s="788"/>
      <c r="AC3" s="788"/>
      <c r="AD3" s="788"/>
      <c r="AE3" s="788"/>
      <c r="AF3" s="788"/>
      <c r="AG3" s="788"/>
      <c r="AH3" s="788"/>
      <c r="AI3" s="788"/>
      <c r="AJ3" s="788"/>
      <c r="AK3" s="788"/>
      <c r="AL3" s="788"/>
      <c r="AM3" s="788"/>
      <c r="AN3" s="788"/>
      <c r="AO3" s="788"/>
      <c r="AP3" s="788"/>
      <c r="AQ3" s="788"/>
      <c r="AR3" s="788"/>
    </row>
    <row r="4" spans="1:44" x14ac:dyDescent="0.35">
      <c r="A4" s="788"/>
      <c r="B4" s="788"/>
      <c r="C4" s="788"/>
      <c r="D4" s="788"/>
      <c r="E4" s="788"/>
      <c r="F4" s="788"/>
      <c r="G4" s="788"/>
      <c r="H4" s="788"/>
      <c r="I4" s="788"/>
      <c r="J4" s="788"/>
      <c r="K4" s="788"/>
      <c r="L4" s="788"/>
      <c r="M4" s="788"/>
      <c r="N4" s="788"/>
      <c r="O4" s="788"/>
      <c r="P4" s="788"/>
      <c r="Q4" s="788"/>
      <c r="R4" s="788"/>
      <c r="S4" s="788"/>
      <c r="T4" s="788"/>
      <c r="U4" s="788"/>
      <c r="V4" s="788"/>
      <c r="W4" s="788"/>
      <c r="X4" s="788"/>
      <c r="Y4" s="788"/>
      <c r="Z4" s="788"/>
      <c r="AA4" s="788"/>
      <c r="AB4" s="788"/>
      <c r="AC4" s="788"/>
      <c r="AD4" s="788"/>
      <c r="AE4" s="788"/>
      <c r="AF4" s="788"/>
      <c r="AG4" s="788"/>
      <c r="AH4" s="788"/>
      <c r="AI4" s="788"/>
      <c r="AJ4" s="788"/>
      <c r="AK4" s="788"/>
      <c r="AL4" s="788"/>
      <c r="AM4" s="788"/>
      <c r="AN4" s="788"/>
      <c r="AO4" s="788"/>
      <c r="AP4" s="788"/>
      <c r="AQ4" s="788"/>
      <c r="AR4" s="788"/>
    </row>
    <row r="5" spans="1:44" x14ac:dyDescent="0.35">
      <c r="A5" s="788"/>
      <c r="B5" s="788"/>
      <c r="C5" s="788"/>
      <c r="D5" s="788"/>
      <c r="E5" s="788"/>
      <c r="F5" s="788"/>
      <c r="G5" s="788"/>
      <c r="H5" s="788"/>
      <c r="I5" s="788"/>
      <c r="J5" s="788"/>
      <c r="K5" s="788"/>
      <c r="L5" s="788"/>
      <c r="M5" s="788"/>
      <c r="N5" s="788"/>
      <c r="O5" s="788"/>
      <c r="P5" s="788"/>
      <c r="Q5" s="788"/>
      <c r="R5" s="788"/>
      <c r="S5" s="788"/>
      <c r="T5" s="788"/>
      <c r="U5" s="788"/>
      <c r="V5" s="788"/>
      <c r="W5" s="788"/>
      <c r="X5" s="788"/>
      <c r="Y5" s="788"/>
      <c r="Z5" s="788"/>
      <c r="AA5" s="788"/>
      <c r="AB5" s="788"/>
      <c r="AC5" s="788"/>
      <c r="AD5" s="788"/>
      <c r="AE5" s="788"/>
      <c r="AF5" s="788"/>
      <c r="AG5" s="788"/>
      <c r="AH5" s="788"/>
      <c r="AI5" s="788"/>
      <c r="AJ5" s="788"/>
      <c r="AK5" s="788"/>
      <c r="AL5" s="788"/>
      <c r="AM5" s="788"/>
      <c r="AN5" s="788"/>
      <c r="AO5" s="788"/>
      <c r="AP5" s="788"/>
      <c r="AQ5" s="788"/>
      <c r="AR5" s="788"/>
    </row>
    <row r="6" spans="1:44" x14ac:dyDescent="0.35">
      <c r="A6" s="788"/>
      <c r="B6" s="788"/>
      <c r="C6" s="788"/>
      <c r="D6" s="788"/>
      <c r="E6" s="788"/>
      <c r="F6" s="788"/>
      <c r="G6" s="788"/>
      <c r="H6" s="788"/>
      <c r="I6" s="788"/>
      <c r="J6" s="788"/>
      <c r="K6" s="788"/>
      <c r="L6" s="788"/>
      <c r="M6" s="788"/>
      <c r="N6" s="788"/>
      <c r="O6" s="788"/>
      <c r="P6" s="788"/>
      <c r="Q6" s="788"/>
      <c r="R6" s="788"/>
      <c r="S6" s="788"/>
      <c r="T6" s="788"/>
      <c r="U6" s="788"/>
      <c r="V6" s="788"/>
      <c r="W6" s="788"/>
      <c r="X6" s="788"/>
      <c r="Y6" s="788"/>
      <c r="Z6" s="788"/>
      <c r="AA6" s="788"/>
      <c r="AB6" s="788"/>
      <c r="AC6" s="788"/>
      <c r="AD6" s="788"/>
      <c r="AE6" s="788"/>
      <c r="AF6" s="788"/>
      <c r="AG6" s="788"/>
      <c r="AH6" s="788"/>
      <c r="AI6" s="788"/>
      <c r="AJ6" s="788"/>
      <c r="AK6" s="788"/>
      <c r="AL6" s="788"/>
      <c r="AM6" s="788"/>
      <c r="AN6" s="788"/>
      <c r="AO6" s="788"/>
      <c r="AP6" s="788"/>
      <c r="AQ6" s="788"/>
      <c r="AR6" s="788"/>
    </row>
    <row r="7" spans="1:44" x14ac:dyDescent="0.35">
      <c r="A7" s="788"/>
      <c r="B7" s="788"/>
      <c r="C7" s="788"/>
      <c r="D7" s="788"/>
      <c r="E7" s="788"/>
      <c r="F7" s="788"/>
      <c r="G7" s="788"/>
      <c r="H7" s="788"/>
      <c r="I7" s="788"/>
      <c r="J7" s="788"/>
      <c r="K7" s="788"/>
      <c r="L7" s="788"/>
      <c r="M7" s="788"/>
      <c r="N7" s="788"/>
      <c r="O7" s="788"/>
      <c r="P7" s="788"/>
      <c r="Q7" s="788"/>
      <c r="R7" s="788"/>
      <c r="S7" s="788"/>
      <c r="T7" s="788"/>
      <c r="U7" s="788"/>
      <c r="V7" s="788"/>
      <c r="W7" s="788"/>
      <c r="X7" s="788"/>
      <c r="Y7" s="788"/>
      <c r="Z7" s="788"/>
      <c r="AA7" s="788"/>
      <c r="AB7" s="788"/>
      <c r="AC7" s="788"/>
      <c r="AD7" s="788"/>
      <c r="AE7" s="788"/>
      <c r="AF7" s="788"/>
      <c r="AG7" s="788"/>
      <c r="AH7" s="788"/>
      <c r="AI7" s="788"/>
      <c r="AJ7" s="788"/>
      <c r="AK7" s="788"/>
      <c r="AL7" s="788"/>
      <c r="AM7" s="788"/>
      <c r="AN7" s="788"/>
      <c r="AO7" s="788"/>
      <c r="AP7" s="788"/>
      <c r="AQ7" s="788"/>
      <c r="AR7" s="788"/>
    </row>
    <row r="8" spans="1:44" x14ac:dyDescent="0.35">
      <c r="A8" s="788"/>
      <c r="B8" s="788"/>
      <c r="C8" s="788"/>
      <c r="D8" s="788"/>
      <c r="E8" s="788"/>
      <c r="F8" s="788"/>
      <c r="G8" s="788"/>
      <c r="H8" s="788"/>
      <c r="I8" s="788"/>
      <c r="J8" s="788"/>
      <c r="K8" s="788"/>
      <c r="L8" s="788"/>
      <c r="M8" s="788"/>
      <c r="N8" s="788"/>
      <c r="O8" s="788"/>
      <c r="P8" s="788"/>
      <c r="Q8" s="788"/>
      <c r="R8" s="788"/>
      <c r="S8" s="788"/>
      <c r="T8" s="788"/>
      <c r="U8" s="788"/>
      <c r="V8" s="788"/>
      <c r="W8" s="788"/>
      <c r="X8" s="788"/>
      <c r="Y8" s="788"/>
      <c r="Z8" s="788"/>
      <c r="AA8" s="788"/>
      <c r="AB8" s="788"/>
      <c r="AC8" s="788"/>
      <c r="AD8" s="788"/>
      <c r="AE8" s="788"/>
      <c r="AF8" s="788"/>
      <c r="AG8" s="788"/>
      <c r="AH8" s="788"/>
      <c r="AI8" s="788"/>
      <c r="AJ8" s="788"/>
      <c r="AK8" s="788"/>
      <c r="AL8" s="788"/>
      <c r="AM8" s="788"/>
      <c r="AN8" s="788"/>
      <c r="AO8" s="788"/>
      <c r="AP8" s="788"/>
      <c r="AQ8" s="788"/>
      <c r="AR8" s="788"/>
    </row>
    <row r="9" spans="1:44" x14ac:dyDescent="0.35">
      <c r="A9" s="788"/>
      <c r="B9" s="788"/>
      <c r="C9" s="788"/>
      <c r="D9" s="788"/>
      <c r="E9" s="788"/>
      <c r="F9" s="788"/>
      <c r="G9" s="788"/>
      <c r="H9" s="788"/>
      <c r="I9" s="788"/>
      <c r="J9" s="788"/>
      <c r="K9" s="788"/>
      <c r="L9" s="788"/>
      <c r="M9" s="788"/>
      <c r="N9" s="788"/>
      <c r="O9" s="788"/>
      <c r="P9" s="788"/>
      <c r="Q9" s="788"/>
      <c r="R9" s="788"/>
      <c r="S9" s="788"/>
      <c r="T9" s="788"/>
      <c r="U9" s="788"/>
      <c r="V9" s="788"/>
      <c r="W9" s="788"/>
      <c r="X9" s="788"/>
      <c r="Y9" s="788"/>
      <c r="Z9" s="788"/>
      <c r="AA9" s="788"/>
      <c r="AB9" s="788"/>
      <c r="AC9" s="788"/>
      <c r="AD9" s="788"/>
      <c r="AE9" s="788"/>
      <c r="AF9" s="788"/>
      <c r="AG9" s="788"/>
      <c r="AH9" s="788"/>
      <c r="AI9" s="788"/>
      <c r="AJ9" s="788"/>
      <c r="AK9" s="788"/>
      <c r="AL9" s="788"/>
      <c r="AM9" s="788"/>
      <c r="AN9" s="788"/>
      <c r="AO9" s="788"/>
      <c r="AP9" s="788"/>
      <c r="AQ9" s="788"/>
      <c r="AR9" s="788"/>
    </row>
    <row r="10" spans="1:44" x14ac:dyDescent="0.35">
      <c r="A10" s="788"/>
      <c r="B10" s="788"/>
      <c r="C10" s="788"/>
      <c r="D10" s="788"/>
      <c r="E10" s="788"/>
      <c r="F10" s="788"/>
      <c r="G10" s="788"/>
      <c r="H10" s="788"/>
      <c r="I10" s="788"/>
      <c r="J10" s="788"/>
      <c r="K10" s="788"/>
      <c r="L10" s="788"/>
      <c r="M10" s="788"/>
      <c r="N10" s="788"/>
      <c r="O10" s="788"/>
      <c r="P10" s="788"/>
      <c r="Q10" s="788"/>
      <c r="R10" s="788"/>
      <c r="S10" s="788"/>
      <c r="T10" s="788"/>
      <c r="U10" s="788"/>
      <c r="V10" s="788"/>
      <c r="W10" s="788"/>
      <c r="X10" s="788"/>
      <c r="Y10" s="788"/>
      <c r="Z10" s="788"/>
      <c r="AA10" s="788"/>
      <c r="AB10" s="788"/>
      <c r="AC10" s="788"/>
      <c r="AD10" s="788"/>
      <c r="AE10" s="788"/>
      <c r="AF10" s="788"/>
      <c r="AG10" s="788"/>
      <c r="AH10" s="788"/>
      <c r="AI10" s="788"/>
      <c r="AJ10" s="788"/>
      <c r="AK10" s="788"/>
      <c r="AL10" s="788"/>
      <c r="AM10" s="788"/>
      <c r="AN10" s="788"/>
      <c r="AO10" s="788"/>
      <c r="AP10" s="788"/>
      <c r="AQ10" s="788"/>
      <c r="AR10" s="788"/>
    </row>
    <row r="11" spans="1:44" x14ac:dyDescent="0.35">
      <c r="A11" s="788"/>
      <c r="B11" s="788"/>
      <c r="C11" s="788"/>
      <c r="D11" s="788"/>
      <c r="E11" s="788"/>
      <c r="F11" s="788"/>
      <c r="G11" s="788"/>
      <c r="H11" s="788"/>
      <c r="I11" s="788"/>
      <c r="J11" s="788"/>
      <c r="K11" s="788"/>
      <c r="L11" s="788"/>
      <c r="M11" s="788"/>
      <c r="N11" s="788"/>
      <c r="O11" s="788"/>
      <c r="P11" s="788"/>
      <c r="Q11" s="788"/>
      <c r="R11" s="788"/>
      <c r="S11" s="788"/>
      <c r="T11" s="788"/>
      <c r="U11" s="788"/>
      <c r="V11" s="788"/>
      <c r="W11" s="788"/>
      <c r="X11" s="788"/>
      <c r="Y11" s="788"/>
      <c r="Z11" s="788"/>
      <c r="AA11" s="788"/>
      <c r="AB11" s="788"/>
      <c r="AC11" s="788"/>
      <c r="AD11" s="788"/>
      <c r="AE11" s="788"/>
      <c r="AF11" s="788"/>
      <c r="AG11" s="788"/>
      <c r="AH11" s="788"/>
      <c r="AI11" s="788"/>
      <c r="AJ11" s="788"/>
      <c r="AK11" s="788"/>
      <c r="AL11" s="788"/>
      <c r="AM11" s="788"/>
      <c r="AN11" s="788"/>
      <c r="AO11" s="788"/>
      <c r="AP11" s="788"/>
      <c r="AQ11" s="788"/>
      <c r="AR11" s="788"/>
    </row>
    <row r="12" spans="1:44" x14ac:dyDescent="0.35">
      <c r="A12" s="788"/>
      <c r="B12" s="788"/>
      <c r="C12" s="788"/>
      <c r="D12" s="788"/>
      <c r="E12" s="788"/>
      <c r="F12" s="788"/>
      <c r="G12" s="788"/>
      <c r="H12" s="788"/>
      <c r="I12" s="788"/>
      <c r="J12" s="788"/>
      <c r="K12" s="788"/>
      <c r="L12" s="788"/>
      <c r="M12" s="788"/>
      <c r="N12" s="788"/>
      <c r="O12" s="788"/>
      <c r="P12" s="788"/>
      <c r="Q12" s="788"/>
      <c r="R12" s="788"/>
      <c r="S12" s="788"/>
      <c r="T12" s="788"/>
      <c r="U12" s="788"/>
      <c r="V12" s="788"/>
      <c r="W12" s="788"/>
      <c r="X12" s="788"/>
      <c r="Y12" s="788"/>
      <c r="Z12" s="788"/>
      <c r="AA12" s="788"/>
      <c r="AB12" s="788"/>
      <c r="AC12" s="788"/>
      <c r="AD12" s="788"/>
      <c r="AE12" s="788"/>
      <c r="AF12" s="788"/>
      <c r="AG12" s="788"/>
      <c r="AH12" s="788"/>
      <c r="AI12" s="788"/>
      <c r="AJ12" s="788"/>
      <c r="AK12" s="788"/>
      <c r="AL12" s="788"/>
      <c r="AM12" s="788"/>
      <c r="AN12" s="788"/>
      <c r="AO12" s="788"/>
      <c r="AP12" s="788"/>
      <c r="AQ12" s="788"/>
      <c r="AR12" s="788"/>
    </row>
    <row r="13" spans="1:44" x14ac:dyDescent="0.35">
      <c r="A13" s="788"/>
      <c r="B13" s="788"/>
      <c r="C13" s="788"/>
      <c r="D13" s="788"/>
      <c r="E13" s="788"/>
      <c r="F13" s="788"/>
      <c r="G13" s="788"/>
      <c r="H13" s="788"/>
      <c r="I13" s="788"/>
      <c r="J13" s="788"/>
      <c r="K13" s="788"/>
      <c r="L13" s="788"/>
      <c r="M13" s="788"/>
      <c r="N13" s="788"/>
      <c r="O13" s="788"/>
      <c r="P13" s="788"/>
      <c r="Q13" s="788"/>
      <c r="R13" s="788"/>
      <c r="S13" s="788"/>
      <c r="T13" s="788"/>
      <c r="U13" s="788"/>
      <c r="V13" s="788"/>
      <c r="W13" s="788"/>
      <c r="X13" s="788"/>
      <c r="Y13" s="788"/>
      <c r="Z13" s="788"/>
      <c r="AA13" s="788"/>
      <c r="AB13" s="788"/>
      <c r="AC13" s="788"/>
      <c r="AD13" s="788"/>
      <c r="AE13" s="788"/>
      <c r="AF13" s="788"/>
      <c r="AG13" s="788"/>
      <c r="AH13" s="788"/>
      <c r="AI13" s="788"/>
      <c r="AJ13" s="788"/>
      <c r="AK13" s="788"/>
      <c r="AL13" s="788"/>
      <c r="AM13" s="788"/>
      <c r="AN13" s="788"/>
      <c r="AO13" s="788"/>
      <c r="AP13" s="788"/>
      <c r="AQ13" s="788"/>
      <c r="AR13" s="788"/>
    </row>
    <row r="14" spans="1:44" x14ac:dyDescent="0.35">
      <c r="A14" s="788"/>
      <c r="B14" s="788"/>
      <c r="C14" s="788"/>
      <c r="D14" s="788"/>
      <c r="E14" s="788"/>
      <c r="F14" s="788"/>
      <c r="G14" s="788"/>
      <c r="H14" s="788"/>
      <c r="I14" s="788"/>
      <c r="J14" s="788"/>
      <c r="K14" s="788"/>
      <c r="L14" s="788"/>
      <c r="M14" s="788"/>
      <c r="N14" s="788"/>
      <c r="O14" s="788"/>
      <c r="P14" s="788"/>
      <c r="Q14" s="788"/>
      <c r="R14" s="788"/>
      <c r="S14" s="788"/>
      <c r="T14" s="788"/>
      <c r="U14" s="788"/>
      <c r="V14" s="788"/>
      <c r="W14" s="788"/>
      <c r="X14" s="788"/>
      <c r="Y14" s="788"/>
      <c r="Z14" s="788"/>
      <c r="AA14" s="788"/>
      <c r="AB14" s="788"/>
      <c r="AC14" s="788"/>
      <c r="AD14" s="788"/>
      <c r="AE14" s="788"/>
      <c r="AF14" s="788"/>
      <c r="AG14" s="788"/>
      <c r="AH14" s="788"/>
      <c r="AI14" s="788"/>
      <c r="AJ14" s="788"/>
      <c r="AK14" s="788"/>
      <c r="AL14" s="788"/>
      <c r="AM14" s="788"/>
      <c r="AN14" s="788"/>
      <c r="AO14" s="788"/>
      <c r="AP14" s="788"/>
      <c r="AQ14" s="788"/>
      <c r="AR14" s="788"/>
    </row>
    <row r="15" spans="1:44" x14ac:dyDescent="0.35">
      <c r="A15" s="788"/>
      <c r="B15" s="788"/>
      <c r="C15" s="788"/>
      <c r="D15" s="788"/>
      <c r="E15" s="788"/>
      <c r="F15" s="788"/>
      <c r="G15" s="788"/>
      <c r="H15" s="788"/>
      <c r="I15" s="788"/>
      <c r="J15" s="788"/>
      <c r="K15" s="788"/>
      <c r="L15" s="788"/>
      <c r="M15" s="788"/>
      <c r="N15" s="788"/>
      <c r="O15" s="788"/>
      <c r="P15" s="788"/>
      <c r="Q15" s="788"/>
      <c r="R15" s="788"/>
      <c r="S15" s="788"/>
      <c r="T15" s="788"/>
      <c r="U15" s="788"/>
      <c r="V15" s="788"/>
      <c r="W15" s="788"/>
      <c r="X15" s="788"/>
      <c r="Y15" s="788"/>
      <c r="Z15" s="788"/>
      <c r="AA15" s="788"/>
      <c r="AB15" s="788"/>
      <c r="AC15" s="788"/>
      <c r="AD15" s="788"/>
      <c r="AE15" s="788"/>
      <c r="AF15" s="788"/>
      <c r="AG15" s="788"/>
      <c r="AH15" s="788"/>
      <c r="AI15" s="788"/>
      <c r="AJ15" s="788"/>
      <c r="AK15" s="788"/>
      <c r="AL15" s="788"/>
      <c r="AM15" s="788"/>
      <c r="AN15" s="788"/>
      <c r="AO15" s="788"/>
      <c r="AP15" s="788"/>
      <c r="AQ15" s="788"/>
      <c r="AR15" s="788"/>
    </row>
    <row r="16" spans="1:44" x14ac:dyDescent="0.35">
      <c r="A16" s="788"/>
      <c r="B16" s="788"/>
      <c r="C16" s="788"/>
      <c r="D16" s="788"/>
      <c r="E16" s="788"/>
      <c r="F16" s="788"/>
      <c r="G16" s="788"/>
      <c r="H16" s="788"/>
      <c r="I16" s="788"/>
      <c r="J16" s="788"/>
      <c r="K16" s="788"/>
      <c r="L16" s="788"/>
      <c r="M16" s="788"/>
      <c r="N16" s="788"/>
      <c r="O16" s="788"/>
      <c r="P16" s="788"/>
      <c r="Q16" s="788"/>
      <c r="R16" s="788"/>
      <c r="S16" s="788"/>
      <c r="T16" s="788"/>
      <c r="U16" s="788"/>
      <c r="V16" s="788"/>
      <c r="W16" s="788"/>
      <c r="X16" s="788"/>
      <c r="Y16" s="788"/>
      <c r="Z16" s="788"/>
      <c r="AA16" s="788"/>
      <c r="AB16" s="788"/>
      <c r="AC16" s="788"/>
      <c r="AD16" s="788"/>
      <c r="AE16" s="788"/>
      <c r="AF16" s="788"/>
      <c r="AG16" s="788"/>
      <c r="AH16" s="788"/>
      <c r="AI16" s="788"/>
      <c r="AJ16" s="788"/>
      <c r="AK16" s="788"/>
      <c r="AL16" s="788"/>
      <c r="AM16" s="788"/>
      <c r="AN16" s="788"/>
      <c r="AO16" s="788"/>
      <c r="AP16" s="788"/>
      <c r="AQ16" s="788"/>
      <c r="AR16" s="788"/>
    </row>
    <row r="17" spans="1:44" x14ac:dyDescent="0.35">
      <c r="A17" s="788"/>
      <c r="B17" s="788"/>
      <c r="C17" s="788"/>
      <c r="D17" s="788"/>
      <c r="E17" s="788"/>
      <c r="F17" s="788"/>
      <c r="G17" s="788"/>
      <c r="H17" s="788"/>
      <c r="I17" s="788"/>
      <c r="J17" s="788"/>
      <c r="K17" s="788"/>
      <c r="L17" s="788"/>
      <c r="M17" s="788"/>
      <c r="N17" s="788"/>
      <c r="O17" s="788"/>
      <c r="P17" s="788"/>
      <c r="Q17" s="788"/>
      <c r="R17" s="788"/>
      <c r="S17" s="788"/>
      <c r="T17" s="788"/>
      <c r="U17" s="788"/>
      <c r="V17" s="788"/>
      <c r="W17" s="788"/>
      <c r="X17" s="788"/>
      <c r="Y17" s="788"/>
      <c r="Z17" s="788"/>
      <c r="AA17" s="788"/>
      <c r="AB17" s="788"/>
      <c r="AC17" s="788"/>
      <c r="AD17" s="788"/>
      <c r="AE17" s="788"/>
      <c r="AF17" s="788"/>
      <c r="AG17" s="788"/>
      <c r="AH17" s="788"/>
      <c r="AI17" s="788"/>
      <c r="AJ17" s="788"/>
      <c r="AK17" s="788"/>
      <c r="AL17" s="788"/>
      <c r="AM17" s="788"/>
      <c r="AN17" s="788"/>
      <c r="AO17" s="788"/>
      <c r="AP17" s="788"/>
      <c r="AQ17" s="788"/>
      <c r="AR17" s="788"/>
    </row>
    <row r="18" spans="1:44" x14ac:dyDescent="0.35">
      <c r="A18" s="788"/>
      <c r="B18" s="788"/>
      <c r="C18" s="788"/>
      <c r="D18" s="788"/>
      <c r="E18" s="788"/>
      <c r="F18" s="788"/>
      <c r="G18" s="788"/>
      <c r="H18" s="788"/>
      <c r="I18" s="788"/>
      <c r="J18" s="788"/>
      <c r="K18" s="788"/>
      <c r="L18" s="788"/>
      <c r="M18" s="788"/>
      <c r="N18" s="788"/>
      <c r="O18" s="788"/>
      <c r="P18" s="788"/>
      <c r="Q18" s="788"/>
      <c r="R18" s="788"/>
      <c r="S18" s="788"/>
      <c r="T18" s="788"/>
      <c r="U18" s="788"/>
      <c r="V18" s="788"/>
      <c r="W18" s="788"/>
      <c r="X18" s="788"/>
      <c r="Y18" s="788"/>
      <c r="Z18" s="788"/>
      <c r="AA18" s="788"/>
      <c r="AB18" s="788"/>
      <c r="AC18" s="788"/>
      <c r="AD18" s="788"/>
      <c r="AE18" s="788"/>
      <c r="AF18" s="788"/>
      <c r="AG18" s="788"/>
      <c r="AH18" s="788"/>
      <c r="AI18" s="788"/>
      <c r="AJ18" s="788"/>
      <c r="AK18" s="788"/>
      <c r="AL18" s="788"/>
      <c r="AM18" s="788"/>
      <c r="AN18" s="788"/>
      <c r="AO18" s="788"/>
      <c r="AP18" s="788"/>
      <c r="AQ18" s="788"/>
      <c r="AR18" s="788"/>
    </row>
    <row r="19" spans="1:44" x14ac:dyDescent="0.35">
      <c r="A19" s="788"/>
      <c r="B19" s="788"/>
      <c r="C19" s="788"/>
      <c r="D19" s="788"/>
      <c r="E19" s="788"/>
      <c r="F19" s="788"/>
      <c r="G19" s="788"/>
      <c r="H19" s="788"/>
      <c r="I19" s="788"/>
      <c r="J19" s="788"/>
      <c r="K19" s="788"/>
      <c r="L19" s="788"/>
      <c r="M19" s="788"/>
      <c r="N19" s="788"/>
      <c r="O19" s="788"/>
      <c r="P19" s="788"/>
      <c r="Q19" s="788"/>
      <c r="R19" s="788"/>
      <c r="S19" s="788"/>
      <c r="T19" s="788"/>
      <c r="U19" s="788"/>
      <c r="V19" s="788"/>
      <c r="W19" s="788"/>
      <c r="X19" s="788"/>
      <c r="Y19" s="788"/>
      <c r="Z19" s="788"/>
      <c r="AA19" s="788"/>
      <c r="AB19" s="788"/>
      <c r="AC19" s="788"/>
      <c r="AD19" s="788"/>
      <c r="AE19" s="788"/>
      <c r="AF19" s="788"/>
      <c r="AG19" s="788"/>
      <c r="AH19" s="788"/>
      <c r="AI19" s="788"/>
      <c r="AJ19" s="788"/>
      <c r="AK19" s="788"/>
      <c r="AL19" s="788"/>
      <c r="AM19" s="788"/>
      <c r="AN19" s="788"/>
      <c r="AO19" s="788"/>
      <c r="AP19" s="788"/>
      <c r="AQ19" s="788"/>
      <c r="AR19" s="788"/>
    </row>
    <row r="20" spans="1:44" x14ac:dyDescent="0.35">
      <c r="A20" s="788"/>
      <c r="B20" s="788"/>
      <c r="C20" s="788"/>
      <c r="D20" s="788"/>
      <c r="E20" s="788"/>
      <c r="F20" s="788"/>
      <c r="G20" s="788"/>
      <c r="H20" s="788"/>
      <c r="I20" s="788"/>
      <c r="J20" s="788"/>
      <c r="K20" s="788"/>
      <c r="L20" s="788"/>
      <c r="M20" s="788"/>
      <c r="N20" s="788"/>
      <c r="O20" s="788"/>
      <c r="P20" s="788"/>
      <c r="Q20" s="788"/>
      <c r="R20" s="788"/>
      <c r="S20" s="788"/>
      <c r="T20" s="788"/>
      <c r="U20" s="788"/>
      <c r="V20" s="788"/>
      <c r="W20" s="788"/>
      <c r="X20" s="788"/>
      <c r="Y20" s="788"/>
      <c r="Z20" s="788"/>
      <c r="AA20" s="788"/>
      <c r="AB20" s="788"/>
      <c r="AC20" s="788"/>
      <c r="AD20" s="788"/>
      <c r="AE20" s="788"/>
      <c r="AF20" s="788"/>
      <c r="AG20" s="788"/>
      <c r="AH20" s="788"/>
      <c r="AI20" s="788"/>
      <c r="AJ20" s="788"/>
      <c r="AK20" s="788"/>
      <c r="AL20" s="788"/>
      <c r="AM20" s="788"/>
      <c r="AN20" s="788"/>
      <c r="AO20" s="788"/>
      <c r="AP20" s="788"/>
      <c r="AQ20" s="788"/>
      <c r="AR20" s="788"/>
    </row>
    <row r="21" spans="1:44" x14ac:dyDescent="0.35">
      <c r="A21" s="788"/>
      <c r="B21" s="788"/>
      <c r="C21" s="788"/>
      <c r="D21" s="788"/>
      <c r="E21" s="788"/>
      <c r="F21" s="788"/>
      <c r="G21" s="788"/>
      <c r="H21" s="788"/>
      <c r="I21" s="788"/>
      <c r="J21" s="788"/>
      <c r="K21" s="788"/>
      <c r="L21" s="788"/>
      <c r="M21" s="788"/>
      <c r="N21" s="788"/>
      <c r="O21" s="788"/>
      <c r="P21" s="788"/>
      <c r="Q21" s="788"/>
      <c r="R21" s="788"/>
      <c r="S21" s="788"/>
      <c r="T21" s="788"/>
      <c r="U21" s="788"/>
      <c r="V21" s="788"/>
      <c r="W21" s="788"/>
      <c r="X21" s="788"/>
      <c r="Y21" s="788"/>
      <c r="Z21" s="788"/>
      <c r="AA21" s="788"/>
      <c r="AB21" s="788"/>
      <c r="AC21" s="788"/>
      <c r="AD21" s="788"/>
      <c r="AE21" s="788"/>
      <c r="AF21" s="788"/>
      <c r="AG21" s="788"/>
      <c r="AH21" s="788"/>
      <c r="AI21" s="788"/>
      <c r="AJ21" s="788"/>
      <c r="AK21" s="788"/>
      <c r="AL21" s="788"/>
      <c r="AM21" s="788"/>
      <c r="AN21" s="788"/>
      <c r="AO21" s="788"/>
      <c r="AP21" s="788"/>
      <c r="AQ21" s="788"/>
      <c r="AR21" s="788"/>
    </row>
    <row r="22" spans="1:44" x14ac:dyDescent="0.35">
      <c r="A22" s="788"/>
      <c r="B22" s="788"/>
      <c r="C22" s="788"/>
      <c r="D22" s="788"/>
      <c r="E22" s="788"/>
      <c r="F22" s="788"/>
      <c r="G22" s="788"/>
      <c r="H22" s="788"/>
      <c r="I22" s="788"/>
      <c r="J22" s="788"/>
      <c r="K22" s="788"/>
      <c r="L22" s="788"/>
      <c r="M22" s="788"/>
      <c r="N22" s="788"/>
      <c r="O22" s="788"/>
      <c r="P22" s="788"/>
      <c r="Q22" s="788"/>
      <c r="R22" s="788"/>
      <c r="S22" s="788"/>
      <c r="T22" s="788"/>
      <c r="U22" s="788"/>
      <c r="V22" s="788"/>
      <c r="W22" s="788"/>
      <c r="X22" s="788"/>
      <c r="Y22" s="788"/>
      <c r="Z22" s="788"/>
      <c r="AA22" s="788"/>
      <c r="AB22" s="788"/>
      <c r="AC22" s="788"/>
      <c r="AD22" s="788"/>
      <c r="AE22" s="788"/>
      <c r="AF22" s="788"/>
      <c r="AG22" s="788"/>
      <c r="AH22" s="788"/>
      <c r="AI22" s="788"/>
      <c r="AJ22" s="788"/>
      <c r="AK22" s="788"/>
      <c r="AL22" s="788"/>
      <c r="AM22" s="788"/>
      <c r="AN22" s="788"/>
      <c r="AO22" s="788"/>
      <c r="AP22" s="788"/>
      <c r="AQ22" s="788"/>
      <c r="AR22" s="788"/>
    </row>
    <row r="23" spans="1:44" x14ac:dyDescent="0.35">
      <c r="A23" s="788"/>
      <c r="B23" s="788"/>
      <c r="C23" s="788"/>
      <c r="D23" s="788"/>
      <c r="E23" s="788"/>
      <c r="F23" s="788"/>
      <c r="G23" s="788"/>
      <c r="H23" s="788"/>
      <c r="I23" s="788"/>
      <c r="J23" s="788"/>
      <c r="K23" s="788"/>
      <c r="L23" s="788"/>
      <c r="M23" s="788"/>
      <c r="N23" s="788"/>
      <c r="O23" s="788"/>
      <c r="P23" s="788"/>
      <c r="Q23" s="788"/>
      <c r="R23" s="788"/>
      <c r="S23" s="788"/>
      <c r="T23" s="788"/>
      <c r="U23" s="788"/>
      <c r="V23" s="788"/>
      <c r="W23" s="788"/>
      <c r="X23" s="788"/>
      <c r="Y23" s="788"/>
      <c r="Z23" s="788"/>
      <c r="AA23" s="788"/>
      <c r="AB23" s="788"/>
      <c r="AC23" s="788"/>
      <c r="AD23" s="788"/>
      <c r="AE23" s="788"/>
      <c r="AF23" s="788"/>
      <c r="AG23" s="788"/>
      <c r="AH23" s="788"/>
      <c r="AI23" s="788"/>
      <c r="AJ23" s="788"/>
      <c r="AK23" s="788"/>
      <c r="AL23" s="788"/>
      <c r="AM23" s="788"/>
      <c r="AN23" s="788"/>
      <c r="AO23" s="788"/>
      <c r="AP23" s="788"/>
      <c r="AQ23" s="788"/>
      <c r="AR23" s="788"/>
    </row>
    <row r="24" spans="1:44" x14ac:dyDescent="0.35">
      <c r="A24" s="788"/>
      <c r="B24" s="788"/>
      <c r="C24" s="788"/>
      <c r="D24" s="788"/>
      <c r="E24" s="788"/>
      <c r="F24" s="788"/>
      <c r="G24" s="788"/>
      <c r="H24" s="788"/>
      <c r="I24" s="788"/>
      <c r="J24" s="788"/>
      <c r="K24" s="788"/>
      <c r="L24" s="788"/>
      <c r="M24" s="788"/>
      <c r="N24" s="788"/>
      <c r="O24" s="788"/>
      <c r="P24" s="788"/>
      <c r="Q24" s="788"/>
      <c r="R24" s="788"/>
      <c r="S24" s="788"/>
      <c r="T24" s="788"/>
      <c r="U24" s="788"/>
      <c r="V24" s="788"/>
      <c r="W24" s="788"/>
      <c r="X24" s="788"/>
      <c r="Y24" s="788"/>
      <c r="Z24" s="788"/>
      <c r="AA24" s="788"/>
      <c r="AB24" s="788"/>
      <c r="AC24" s="788"/>
      <c r="AD24" s="788"/>
      <c r="AE24" s="788"/>
      <c r="AF24" s="788"/>
      <c r="AG24" s="788"/>
      <c r="AH24" s="788"/>
      <c r="AI24" s="788"/>
      <c r="AJ24" s="788"/>
      <c r="AK24" s="788"/>
      <c r="AL24" s="788"/>
      <c r="AM24" s="788"/>
      <c r="AN24" s="788"/>
      <c r="AO24" s="788"/>
      <c r="AP24" s="788"/>
      <c r="AQ24" s="788"/>
      <c r="AR24" s="788"/>
    </row>
    <row r="25" spans="1:44" x14ac:dyDescent="0.35">
      <c r="A25" s="788"/>
      <c r="B25" s="788"/>
      <c r="C25" s="788"/>
      <c r="D25" s="788"/>
      <c r="E25" s="788"/>
      <c r="F25" s="788"/>
      <c r="G25" s="788"/>
      <c r="H25" s="788"/>
      <c r="I25" s="788"/>
      <c r="J25" s="788"/>
      <c r="K25" s="788"/>
      <c r="L25" s="788"/>
      <c r="M25" s="788"/>
      <c r="N25" s="788"/>
      <c r="O25" s="788"/>
      <c r="P25" s="788"/>
      <c r="Q25" s="788"/>
      <c r="R25" s="788"/>
      <c r="S25" s="788"/>
      <c r="T25" s="788"/>
      <c r="U25" s="788"/>
      <c r="V25" s="788"/>
      <c r="W25" s="788"/>
      <c r="X25" s="788"/>
      <c r="Y25" s="788"/>
      <c r="Z25" s="788"/>
      <c r="AA25" s="788"/>
      <c r="AB25" s="788"/>
      <c r="AC25" s="788"/>
      <c r="AD25" s="788"/>
      <c r="AE25" s="788"/>
      <c r="AF25" s="788"/>
      <c r="AG25" s="788"/>
      <c r="AH25" s="788"/>
      <c r="AI25" s="788"/>
      <c r="AJ25" s="788"/>
      <c r="AK25" s="788"/>
      <c r="AL25" s="788"/>
      <c r="AM25" s="788"/>
      <c r="AN25" s="788"/>
      <c r="AO25" s="788"/>
      <c r="AP25" s="788"/>
      <c r="AQ25" s="788"/>
      <c r="AR25" s="788"/>
    </row>
    <row r="26" spans="1:44" x14ac:dyDescent="0.35">
      <c r="A26" s="788"/>
      <c r="B26" s="788"/>
      <c r="C26" s="788"/>
      <c r="D26" s="788"/>
      <c r="E26" s="788"/>
      <c r="F26" s="788"/>
      <c r="G26" s="788"/>
      <c r="H26" s="788"/>
      <c r="I26" s="788"/>
      <c r="J26" s="788"/>
      <c r="K26" s="788"/>
      <c r="L26" s="788"/>
      <c r="M26" s="788"/>
      <c r="N26" s="788"/>
      <c r="O26" s="788"/>
      <c r="P26" s="788"/>
      <c r="Q26" s="788"/>
      <c r="R26" s="788"/>
      <c r="S26" s="788"/>
      <c r="T26" s="788"/>
      <c r="U26" s="788"/>
      <c r="V26" s="788"/>
      <c r="W26" s="788"/>
      <c r="X26" s="788"/>
      <c r="Y26" s="788"/>
      <c r="Z26" s="788"/>
      <c r="AA26" s="788"/>
      <c r="AB26" s="788"/>
      <c r="AC26" s="788"/>
      <c r="AD26" s="788"/>
      <c r="AE26" s="788"/>
      <c r="AF26" s="788"/>
      <c r="AG26" s="788"/>
      <c r="AH26" s="788"/>
      <c r="AI26" s="788"/>
      <c r="AJ26" s="788"/>
      <c r="AK26" s="788"/>
      <c r="AL26" s="788"/>
      <c r="AM26" s="788"/>
      <c r="AN26" s="788"/>
      <c r="AO26" s="788"/>
      <c r="AP26" s="788"/>
      <c r="AQ26" s="788"/>
      <c r="AR26" s="788"/>
    </row>
    <row r="27" spans="1:44" x14ac:dyDescent="0.35">
      <c r="A27" s="788"/>
      <c r="B27" s="788"/>
      <c r="C27" s="788"/>
      <c r="D27" s="788"/>
      <c r="E27" s="788"/>
      <c r="F27" s="788"/>
      <c r="G27" s="788"/>
      <c r="H27" s="788"/>
      <c r="I27" s="788"/>
      <c r="J27" s="788"/>
      <c r="K27" s="788"/>
      <c r="L27" s="788"/>
      <c r="M27" s="788"/>
      <c r="N27" s="788"/>
      <c r="O27" s="788"/>
      <c r="P27" s="788"/>
      <c r="Q27" s="788"/>
      <c r="R27" s="788"/>
      <c r="S27" s="788"/>
      <c r="T27" s="788"/>
      <c r="U27" s="788"/>
      <c r="V27" s="788"/>
      <c r="W27" s="788"/>
      <c r="X27" s="788"/>
      <c r="Y27" s="788"/>
      <c r="Z27" s="788"/>
      <c r="AA27" s="788"/>
      <c r="AB27" s="788"/>
      <c r="AC27" s="788"/>
      <c r="AD27" s="788"/>
      <c r="AE27" s="788"/>
      <c r="AF27" s="788"/>
      <c r="AG27" s="788"/>
      <c r="AH27" s="788"/>
      <c r="AI27" s="788"/>
      <c r="AJ27" s="788"/>
      <c r="AK27" s="788"/>
      <c r="AL27" s="788"/>
      <c r="AM27" s="788"/>
      <c r="AN27" s="788"/>
      <c r="AO27" s="788"/>
      <c r="AP27" s="788"/>
      <c r="AQ27" s="788"/>
      <c r="AR27" s="788"/>
    </row>
    <row r="28" spans="1:44" x14ac:dyDescent="0.35">
      <c r="A28" s="788"/>
      <c r="B28" s="788"/>
      <c r="C28" s="788"/>
      <c r="D28" s="788"/>
      <c r="E28" s="788"/>
      <c r="F28" s="788"/>
      <c r="G28" s="788"/>
      <c r="H28" s="788"/>
      <c r="I28" s="788"/>
      <c r="J28" s="788"/>
      <c r="K28" s="788"/>
      <c r="L28" s="788"/>
      <c r="M28" s="788"/>
      <c r="N28" s="788"/>
      <c r="O28" s="788"/>
      <c r="P28" s="788"/>
      <c r="Q28" s="788"/>
      <c r="R28" s="788"/>
      <c r="S28" s="788"/>
      <c r="T28" s="788"/>
      <c r="U28" s="788"/>
      <c r="V28" s="788"/>
      <c r="W28" s="788"/>
      <c r="X28" s="788"/>
      <c r="Y28" s="788"/>
      <c r="Z28" s="788"/>
      <c r="AA28" s="788"/>
      <c r="AB28" s="788"/>
      <c r="AC28" s="788"/>
      <c r="AD28" s="788"/>
      <c r="AE28" s="788"/>
      <c r="AF28" s="788"/>
      <c r="AG28" s="788"/>
      <c r="AH28" s="788"/>
      <c r="AI28" s="788"/>
      <c r="AJ28" s="788"/>
      <c r="AK28" s="788"/>
      <c r="AL28" s="788"/>
      <c r="AM28" s="788"/>
      <c r="AN28" s="788"/>
      <c r="AO28" s="788"/>
      <c r="AP28" s="788"/>
      <c r="AQ28" s="788"/>
      <c r="AR28" s="788"/>
    </row>
    <row r="29" spans="1:44" x14ac:dyDescent="0.35">
      <c r="A29" s="788"/>
      <c r="B29" s="788"/>
      <c r="C29" s="788"/>
      <c r="D29" s="788"/>
      <c r="E29" s="788"/>
      <c r="F29" s="788"/>
      <c r="G29" s="788"/>
      <c r="H29" s="788"/>
      <c r="I29" s="788"/>
      <c r="J29" s="788"/>
      <c r="K29" s="788"/>
      <c r="L29" s="788"/>
      <c r="M29" s="788"/>
      <c r="N29" s="788"/>
      <c r="O29" s="788"/>
      <c r="P29" s="788"/>
      <c r="Q29" s="788"/>
      <c r="R29" s="788"/>
      <c r="S29" s="788"/>
      <c r="T29" s="788"/>
      <c r="U29" s="788"/>
      <c r="V29" s="788"/>
      <c r="W29" s="788"/>
      <c r="X29" s="788"/>
      <c r="Y29" s="788"/>
      <c r="Z29" s="788"/>
      <c r="AA29" s="788"/>
      <c r="AB29" s="788"/>
      <c r="AC29" s="788"/>
      <c r="AD29" s="788"/>
      <c r="AE29" s="788"/>
      <c r="AF29" s="788"/>
      <c r="AG29" s="788"/>
      <c r="AH29" s="788"/>
      <c r="AI29" s="788"/>
      <c r="AJ29" s="788"/>
      <c r="AK29" s="788"/>
      <c r="AL29" s="788"/>
      <c r="AM29" s="788"/>
      <c r="AN29" s="788"/>
      <c r="AO29" s="788"/>
      <c r="AP29" s="788"/>
      <c r="AQ29" s="788"/>
      <c r="AR29" s="788"/>
    </row>
    <row r="30" spans="1:44" x14ac:dyDescent="0.35">
      <c r="A30" s="788"/>
      <c r="B30" s="788"/>
      <c r="C30" s="788"/>
      <c r="D30" s="788"/>
      <c r="E30" s="788"/>
      <c r="F30" s="788"/>
      <c r="G30" s="788"/>
      <c r="H30" s="788"/>
      <c r="I30" s="788"/>
      <c r="J30" s="788"/>
      <c r="K30" s="788"/>
      <c r="L30" s="788"/>
      <c r="M30" s="788"/>
      <c r="N30" s="788"/>
      <c r="O30" s="788"/>
      <c r="P30" s="788"/>
      <c r="Q30" s="788"/>
      <c r="R30" s="788"/>
      <c r="S30" s="788"/>
      <c r="T30" s="788"/>
      <c r="U30" s="788"/>
      <c r="V30" s="788"/>
      <c r="W30" s="788"/>
      <c r="X30" s="788"/>
      <c r="Y30" s="788"/>
      <c r="Z30" s="788"/>
      <c r="AA30" s="788"/>
      <c r="AB30" s="788"/>
      <c r="AC30" s="788"/>
      <c r="AD30" s="788"/>
      <c r="AE30" s="788"/>
      <c r="AF30" s="788"/>
      <c r="AG30" s="788"/>
      <c r="AH30" s="788"/>
      <c r="AI30" s="788"/>
      <c r="AJ30" s="788"/>
      <c r="AK30" s="788"/>
      <c r="AL30" s="788"/>
      <c r="AM30" s="788"/>
      <c r="AN30" s="788"/>
      <c r="AO30" s="788"/>
      <c r="AP30" s="788"/>
      <c r="AQ30" s="788"/>
      <c r="AR30" s="788"/>
    </row>
    <row r="31" spans="1:44" x14ac:dyDescent="0.35">
      <c r="A31" s="788"/>
      <c r="B31" s="788"/>
      <c r="C31" s="788"/>
      <c r="D31" s="788"/>
      <c r="E31" s="788"/>
      <c r="F31" s="788"/>
      <c r="G31" s="788"/>
      <c r="H31" s="788"/>
      <c r="I31" s="788"/>
      <c r="J31" s="788"/>
      <c r="K31" s="788"/>
      <c r="L31" s="788"/>
      <c r="M31" s="788"/>
      <c r="N31" s="788"/>
      <c r="O31" s="788"/>
      <c r="P31" s="788"/>
      <c r="Q31" s="788"/>
      <c r="R31" s="788"/>
      <c r="S31" s="788"/>
      <c r="T31" s="788"/>
      <c r="U31" s="788"/>
      <c r="V31" s="788"/>
      <c r="W31" s="788"/>
      <c r="X31" s="788"/>
      <c r="Y31" s="788"/>
      <c r="Z31" s="788"/>
      <c r="AA31" s="788"/>
      <c r="AB31" s="788"/>
      <c r="AC31" s="788"/>
      <c r="AD31" s="788"/>
      <c r="AE31" s="788"/>
      <c r="AF31" s="788"/>
      <c r="AG31" s="788"/>
      <c r="AH31" s="788"/>
      <c r="AI31" s="788"/>
      <c r="AJ31" s="788"/>
      <c r="AK31" s="788"/>
      <c r="AL31" s="788"/>
      <c r="AM31" s="788"/>
      <c r="AN31" s="788"/>
      <c r="AO31" s="788"/>
      <c r="AP31" s="788"/>
      <c r="AQ31" s="788"/>
      <c r="AR31" s="788"/>
    </row>
    <row r="32" spans="1:44" x14ac:dyDescent="0.35">
      <c r="A32" s="788"/>
      <c r="B32" s="788"/>
      <c r="C32" s="788"/>
      <c r="D32" s="788"/>
      <c r="E32" s="788"/>
      <c r="F32" s="788"/>
      <c r="G32" s="788"/>
      <c r="H32" s="788"/>
      <c r="I32" s="788"/>
      <c r="J32" s="788"/>
      <c r="K32" s="788"/>
      <c r="L32" s="788"/>
      <c r="M32" s="788"/>
      <c r="N32" s="788"/>
      <c r="O32" s="788"/>
      <c r="P32" s="788"/>
      <c r="Q32" s="788"/>
      <c r="R32" s="788"/>
      <c r="S32" s="788"/>
      <c r="T32" s="788"/>
      <c r="U32" s="788"/>
      <c r="V32" s="788"/>
      <c r="W32" s="788"/>
      <c r="X32" s="788"/>
      <c r="Y32" s="788"/>
      <c r="Z32" s="788"/>
      <c r="AA32" s="788"/>
      <c r="AB32" s="788"/>
      <c r="AC32" s="788"/>
      <c r="AD32" s="788"/>
      <c r="AE32" s="788"/>
      <c r="AF32" s="788"/>
      <c r="AG32" s="788"/>
      <c r="AH32" s="788"/>
      <c r="AI32" s="788"/>
      <c r="AJ32" s="788"/>
      <c r="AK32" s="788"/>
      <c r="AL32" s="788"/>
      <c r="AM32" s="788"/>
      <c r="AN32" s="788"/>
      <c r="AO32" s="788"/>
      <c r="AP32" s="788"/>
      <c r="AQ32" s="788"/>
      <c r="AR32" s="788"/>
    </row>
    <row r="33" spans="1:44" x14ac:dyDescent="0.35">
      <c r="A33" s="788"/>
      <c r="B33" s="788"/>
      <c r="C33" s="788"/>
      <c r="D33" s="788"/>
      <c r="E33" s="788"/>
      <c r="F33" s="788"/>
      <c r="G33" s="788"/>
      <c r="H33" s="788"/>
      <c r="I33" s="788"/>
      <c r="J33" s="788"/>
      <c r="K33" s="788"/>
      <c r="L33" s="788"/>
      <c r="M33" s="788"/>
      <c r="N33" s="788"/>
      <c r="O33" s="788"/>
      <c r="P33" s="788"/>
      <c r="Q33" s="788"/>
      <c r="R33" s="788"/>
      <c r="S33" s="788"/>
      <c r="T33" s="788"/>
      <c r="U33" s="788"/>
      <c r="V33" s="788"/>
      <c r="W33" s="788"/>
      <c r="X33" s="788"/>
      <c r="Y33" s="788"/>
      <c r="Z33" s="788"/>
      <c r="AA33" s="788"/>
      <c r="AB33" s="788"/>
      <c r="AC33" s="788"/>
      <c r="AD33" s="788"/>
      <c r="AE33" s="788"/>
      <c r="AF33" s="788"/>
      <c r="AG33" s="788"/>
      <c r="AH33" s="788"/>
      <c r="AI33" s="788"/>
      <c r="AJ33" s="788"/>
      <c r="AK33" s="788"/>
      <c r="AL33" s="788"/>
      <c r="AM33" s="788"/>
      <c r="AN33" s="788"/>
      <c r="AO33" s="788"/>
      <c r="AP33" s="788"/>
      <c r="AQ33" s="788"/>
      <c r="AR33" s="788"/>
    </row>
    <row r="34" spans="1:44" x14ac:dyDescent="0.35">
      <c r="A34" s="788"/>
      <c r="B34" s="788"/>
      <c r="C34" s="788"/>
      <c r="D34" s="788"/>
      <c r="E34" s="788"/>
      <c r="F34" s="788"/>
      <c r="G34" s="788"/>
      <c r="H34" s="788"/>
      <c r="I34" s="788"/>
      <c r="J34" s="788"/>
      <c r="K34" s="788"/>
      <c r="L34" s="788"/>
      <c r="M34" s="788"/>
      <c r="N34" s="788"/>
      <c r="O34" s="788"/>
      <c r="P34" s="788"/>
      <c r="Q34" s="788"/>
      <c r="R34" s="788"/>
      <c r="S34" s="788"/>
      <c r="T34" s="788"/>
      <c r="U34" s="788"/>
      <c r="V34" s="788"/>
      <c r="W34" s="788"/>
      <c r="X34" s="788"/>
      <c r="Y34" s="788"/>
      <c r="Z34" s="788"/>
      <c r="AA34" s="788"/>
      <c r="AB34" s="788"/>
      <c r="AC34" s="788"/>
      <c r="AD34" s="788"/>
      <c r="AE34" s="788"/>
      <c r="AF34" s="788"/>
      <c r="AG34" s="788"/>
      <c r="AH34" s="788"/>
      <c r="AI34" s="788"/>
      <c r="AJ34" s="788"/>
      <c r="AK34" s="788"/>
      <c r="AL34" s="788"/>
      <c r="AM34" s="788"/>
      <c r="AN34" s="788"/>
      <c r="AO34" s="788"/>
      <c r="AP34" s="788"/>
      <c r="AQ34" s="788"/>
      <c r="AR34" s="788"/>
    </row>
    <row r="35" spans="1:44" x14ac:dyDescent="0.35">
      <c r="A35" s="788"/>
      <c r="B35" s="788"/>
      <c r="C35" s="788"/>
      <c r="D35" s="788"/>
      <c r="E35" s="788"/>
      <c r="F35" s="788"/>
      <c r="G35" s="788"/>
      <c r="H35" s="788"/>
      <c r="I35" s="788"/>
      <c r="J35" s="788"/>
      <c r="K35" s="788"/>
      <c r="L35" s="788"/>
      <c r="M35" s="788"/>
      <c r="N35" s="788"/>
      <c r="O35" s="788"/>
      <c r="P35" s="788"/>
      <c r="Q35" s="788"/>
      <c r="R35" s="788"/>
      <c r="S35" s="788"/>
      <c r="T35" s="788"/>
      <c r="U35" s="788"/>
      <c r="V35" s="788"/>
      <c r="W35" s="788"/>
      <c r="X35" s="788"/>
      <c r="Y35" s="788"/>
      <c r="Z35" s="788"/>
      <c r="AA35" s="788"/>
      <c r="AB35" s="788"/>
      <c r="AC35" s="788"/>
      <c r="AD35" s="788"/>
      <c r="AE35" s="788"/>
      <c r="AF35" s="788"/>
      <c r="AG35" s="788"/>
      <c r="AH35" s="788"/>
      <c r="AI35" s="788"/>
      <c r="AJ35" s="788"/>
      <c r="AK35" s="788"/>
      <c r="AL35" s="788"/>
      <c r="AM35" s="788"/>
      <c r="AN35" s="788"/>
      <c r="AO35" s="788"/>
      <c r="AP35" s="788"/>
      <c r="AQ35" s="788"/>
      <c r="AR35" s="788"/>
    </row>
    <row r="36" spans="1:44" x14ac:dyDescent="0.35">
      <c r="A36" s="788"/>
      <c r="B36" s="788"/>
      <c r="C36" s="788"/>
      <c r="D36" s="788"/>
      <c r="E36" s="788"/>
      <c r="F36" s="788"/>
      <c r="G36" s="788"/>
      <c r="H36" s="788"/>
      <c r="I36" s="788"/>
      <c r="J36" s="788"/>
      <c r="K36" s="788"/>
      <c r="L36" s="788"/>
      <c r="M36" s="788"/>
      <c r="N36" s="788"/>
      <c r="O36" s="788"/>
      <c r="P36" s="788"/>
      <c r="Q36" s="788"/>
      <c r="R36" s="788"/>
      <c r="S36" s="788"/>
      <c r="T36" s="788"/>
      <c r="U36" s="788"/>
      <c r="V36" s="788"/>
      <c r="W36" s="788"/>
      <c r="X36" s="788"/>
      <c r="Y36" s="788"/>
      <c r="Z36" s="788"/>
      <c r="AA36" s="788"/>
      <c r="AB36" s="788"/>
      <c r="AC36" s="788"/>
      <c r="AD36" s="788"/>
      <c r="AE36" s="788"/>
      <c r="AF36" s="788"/>
      <c r="AG36" s="788"/>
      <c r="AH36" s="788"/>
      <c r="AI36" s="788"/>
      <c r="AJ36" s="788"/>
      <c r="AK36" s="788"/>
      <c r="AL36" s="788"/>
      <c r="AM36" s="788"/>
      <c r="AN36" s="788"/>
      <c r="AO36" s="788"/>
      <c r="AP36" s="788"/>
      <c r="AQ36" s="788"/>
      <c r="AR36" s="788"/>
    </row>
    <row r="37" spans="1:44" x14ac:dyDescent="0.35">
      <c r="A37" s="788"/>
      <c r="B37" s="788"/>
      <c r="C37" s="788"/>
      <c r="D37" s="788"/>
      <c r="E37" s="788"/>
      <c r="F37" s="788"/>
      <c r="G37" s="788"/>
      <c r="H37" s="788"/>
      <c r="I37" s="788"/>
      <c r="J37" s="788"/>
      <c r="K37" s="788"/>
      <c r="L37" s="788"/>
      <c r="M37" s="788"/>
      <c r="N37" s="788"/>
      <c r="O37" s="788"/>
      <c r="P37" s="788"/>
      <c r="Q37" s="788"/>
      <c r="R37" s="788"/>
      <c r="S37" s="788"/>
      <c r="T37" s="788"/>
      <c r="U37" s="788"/>
      <c r="V37" s="788"/>
      <c r="W37" s="788"/>
      <c r="X37" s="788"/>
      <c r="Y37" s="788"/>
      <c r="Z37" s="788"/>
      <c r="AA37" s="788"/>
      <c r="AB37" s="788"/>
      <c r="AC37" s="788"/>
      <c r="AD37" s="788"/>
      <c r="AE37" s="788"/>
      <c r="AF37" s="788"/>
      <c r="AG37" s="788"/>
      <c r="AH37" s="788"/>
      <c r="AI37" s="788"/>
      <c r="AJ37" s="788"/>
      <c r="AK37" s="788"/>
      <c r="AL37" s="788"/>
      <c r="AM37" s="788"/>
      <c r="AN37" s="788"/>
      <c r="AO37" s="788"/>
      <c r="AP37" s="788"/>
      <c r="AQ37" s="788"/>
      <c r="AR37" s="788"/>
    </row>
    <row r="38" spans="1:44" x14ac:dyDescent="0.35">
      <c r="A38" s="788"/>
      <c r="B38" s="788"/>
      <c r="C38" s="788"/>
      <c r="D38" s="788"/>
      <c r="E38" s="788"/>
      <c r="F38" s="788"/>
      <c r="G38" s="788"/>
      <c r="H38" s="788"/>
      <c r="I38" s="788"/>
      <c r="J38" s="788"/>
      <c r="K38" s="788"/>
      <c r="L38" s="788"/>
      <c r="M38" s="788"/>
      <c r="N38" s="788"/>
      <c r="O38" s="788"/>
      <c r="P38" s="788"/>
      <c r="Q38" s="788"/>
      <c r="R38" s="788"/>
      <c r="S38" s="788"/>
      <c r="T38" s="788"/>
      <c r="U38" s="788"/>
      <c r="V38" s="788"/>
      <c r="W38" s="788"/>
      <c r="X38" s="788"/>
      <c r="Y38" s="788"/>
      <c r="Z38" s="788"/>
      <c r="AA38" s="788"/>
      <c r="AB38" s="788"/>
      <c r="AC38" s="788"/>
      <c r="AD38" s="788"/>
      <c r="AE38" s="788"/>
      <c r="AF38" s="788"/>
      <c r="AG38" s="788"/>
      <c r="AH38" s="788"/>
      <c r="AI38" s="788"/>
      <c r="AJ38" s="788"/>
      <c r="AK38" s="788"/>
      <c r="AL38" s="788"/>
      <c r="AM38" s="788"/>
      <c r="AN38" s="788"/>
      <c r="AO38" s="788"/>
      <c r="AP38" s="788"/>
      <c r="AQ38" s="788"/>
      <c r="AR38" s="788"/>
    </row>
    <row r="39" spans="1:44" x14ac:dyDescent="0.35">
      <c r="A39" s="788"/>
      <c r="B39" s="788"/>
      <c r="C39" s="788"/>
      <c r="D39" s="788"/>
      <c r="E39" s="788"/>
      <c r="F39" s="788"/>
      <c r="G39" s="788"/>
      <c r="H39" s="788"/>
      <c r="I39" s="788"/>
      <c r="J39" s="788"/>
      <c r="K39" s="788"/>
      <c r="L39" s="788"/>
      <c r="M39" s="788"/>
      <c r="N39" s="788"/>
      <c r="O39" s="788"/>
      <c r="P39" s="788"/>
      <c r="Q39" s="788"/>
      <c r="R39" s="788"/>
      <c r="S39" s="788"/>
      <c r="T39" s="788"/>
      <c r="U39" s="788"/>
      <c r="V39" s="788"/>
      <c r="W39" s="788"/>
      <c r="X39" s="788"/>
      <c r="Y39" s="788"/>
      <c r="Z39" s="788"/>
      <c r="AA39" s="788"/>
      <c r="AB39" s="788"/>
      <c r="AC39" s="788"/>
      <c r="AD39" s="788"/>
      <c r="AE39" s="788"/>
      <c r="AF39" s="788"/>
      <c r="AG39" s="788"/>
      <c r="AH39" s="788"/>
      <c r="AI39" s="788"/>
      <c r="AJ39" s="788"/>
      <c r="AK39" s="788"/>
      <c r="AL39" s="788"/>
      <c r="AM39" s="788"/>
      <c r="AN39" s="788"/>
      <c r="AO39" s="788"/>
      <c r="AP39" s="788"/>
      <c r="AQ39" s="788"/>
      <c r="AR39" s="788"/>
    </row>
    <row r="40" spans="1:44" x14ac:dyDescent="0.35">
      <c r="A40" s="788"/>
      <c r="B40" s="788"/>
      <c r="C40" s="788"/>
      <c r="D40" s="788"/>
      <c r="E40" s="788"/>
      <c r="F40" s="788"/>
      <c r="G40" s="788"/>
      <c r="H40" s="788"/>
      <c r="I40" s="788"/>
      <c r="J40" s="788"/>
      <c r="K40" s="788"/>
      <c r="L40" s="788"/>
      <c r="M40" s="788"/>
      <c r="N40" s="788"/>
      <c r="O40" s="788"/>
      <c r="P40" s="788"/>
      <c r="Q40" s="788"/>
      <c r="R40" s="788"/>
      <c r="S40" s="788"/>
      <c r="T40" s="788"/>
      <c r="U40" s="788"/>
      <c r="V40" s="788"/>
      <c r="W40" s="788"/>
      <c r="X40" s="788"/>
      <c r="Y40" s="788"/>
      <c r="Z40" s="788"/>
      <c r="AA40" s="788"/>
      <c r="AB40" s="788"/>
      <c r="AC40" s="788"/>
      <c r="AD40" s="788"/>
      <c r="AE40" s="788"/>
      <c r="AF40" s="788"/>
      <c r="AG40" s="788"/>
      <c r="AH40" s="788"/>
      <c r="AI40" s="788"/>
      <c r="AJ40" s="788"/>
      <c r="AK40" s="788"/>
      <c r="AL40" s="788"/>
      <c r="AM40" s="788"/>
      <c r="AN40" s="788"/>
      <c r="AO40" s="788"/>
      <c r="AP40" s="788"/>
      <c r="AQ40" s="788"/>
      <c r="AR40" s="788"/>
    </row>
    <row r="41" spans="1:44" x14ac:dyDescent="0.35">
      <c r="A41" s="788"/>
      <c r="B41" s="788"/>
      <c r="C41" s="788"/>
      <c r="D41" s="788"/>
      <c r="E41" s="788"/>
      <c r="F41" s="788"/>
      <c r="G41" s="788"/>
      <c r="H41" s="788"/>
      <c r="I41" s="788"/>
      <c r="J41" s="788"/>
      <c r="K41" s="788"/>
      <c r="L41" s="788"/>
      <c r="M41" s="788"/>
      <c r="N41" s="788"/>
      <c r="O41" s="788"/>
      <c r="P41" s="788"/>
      <c r="Q41" s="788"/>
      <c r="R41" s="788"/>
      <c r="S41" s="788"/>
      <c r="T41" s="788"/>
      <c r="U41" s="788"/>
      <c r="V41" s="788"/>
      <c r="W41" s="788"/>
      <c r="X41" s="788"/>
      <c r="Y41" s="788"/>
      <c r="Z41" s="788"/>
      <c r="AA41" s="788"/>
      <c r="AB41" s="788"/>
      <c r="AC41" s="788"/>
      <c r="AD41" s="788"/>
      <c r="AE41" s="788"/>
      <c r="AF41" s="788"/>
      <c r="AG41" s="788"/>
      <c r="AH41" s="788"/>
      <c r="AI41" s="788"/>
      <c r="AJ41" s="788"/>
      <c r="AK41" s="788"/>
      <c r="AL41" s="788"/>
      <c r="AM41" s="788"/>
      <c r="AN41" s="788"/>
      <c r="AO41" s="788"/>
      <c r="AP41" s="788"/>
      <c r="AQ41" s="788"/>
      <c r="AR41" s="788"/>
    </row>
    <row r="42" spans="1:44" x14ac:dyDescent="0.35">
      <c r="A42" s="788"/>
      <c r="B42" s="788"/>
      <c r="C42" s="788"/>
      <c r="D42" s="788"/>
      <c r="E42" s="788"/>
      <c r="F42" s="788"/>
      <c r="G42" s="788"/>
      <c r="H42" s="788"/>
      <c r="I42" s="788"/>
      <c r="J42" s="788"/>
      <c r="K42" s="788"/>
      <c r="L42" s="788"/>
      <c r="M42" s="788"/>
      <c r="N42" s="788"/>
      <c r="O42" s="788"/>
      <c r="P42" s="788"/>
      <c r="Q42" s="788"/>
      <c r="R42" s="788"/>
      <c r="S42" s="788"/>
      <c r="T42" s="788"/>
      <c r="U42" s="788"/>
      <c r="V42" s="788"/>
      <c r="W42" s="788"/>
      <c r="X42" s="788"/>
      <c r="Y42" s="788"/>
      <c r="Z42" s="788"/>
      <c r="AA42" s="788"/>
      <c r="AB42" s="788"/>
      <c r="AC42" s="788"/>
      <c r="AD42" s="788"/>
      <c r="AE42" s="788"/>
      <c r="AF42" s="788"/>
      <c r="AG42" s="788"/>
      <c r="AH42" s="788"/>
      <c r="AI42" s="788"/>
      <c r="AJ42" s="788"/>
      <c r="AK42" s="788"/>
      <c r="AL42" s="788"/>
      <c r="AM42" s="788"/>
      <c r="AN42" s="788"/>
      <c r="AO42" s="788"/>
      <c r="AP42" s="788"/>
      <c r="AQ42" s="788"/>
      <c r="AR42" s="788"/>
    </row>
    <row r="43" spans="1:44" x14ac:dyDescent="0.35">
      <c r="A43" s="788"/>
      <c r="B43" s="788"/>
      <c r="C43" s="788"/>
      <c r="D43" s="788"/>
      <c r="E43" s="788"/>
      <c r="F43" s="788"/>
      <c r="G43" s="788"/>
      <c r="H43" s="788"/>
      <c r="I43" s="788"/>
      <c r="J43" s="788"/>
      <c r="K43" s="788"/>
      <c r="L43" s="788"/>
      <c r="M43" s="788"/>
      <c r="N43" s="788"/>
      <c r="O43" s="788"/>
      <c r="P43" s="788"/>
      <c r="Q43" s="788"/>
      <c r="R43" s="788"/>
      <c r="S43" s="788"/>
      <c r="T43" s="788"/>
      <c r="U43" s="788"/>
      <c r="V43" s="788"/>
      <c r="W43" s="788"/>
      <c r="X43" s="788"/>
      <c r="Y43" s="788"/>
      <c r="Z43" s="788"/>
      <c r="AA43" s="788"/>
      <c r="AB43" s="788"/>
      <c r="AC43" s="788"/>
      <c r="AD43" s="788"/>
      <c r="AE43" s="788"/>
      <c r="AF43" s="788"/>
      <c r="AG43" s="788"/>
      <c r="AH43" s="788"/>
      <c r="AI43" s="788"/>
      <c r="AJ43" s="788"/>
      <c r="AK43" s="788"/>
      <c r="AL43" s="788"/>
      <c r="AM43" s="788"/>
      <c r="AN43" s="788"/>
      <c r="AO43" s="788"/>
      <c r="AP43" s="788"/>
      <c r="AQ43" s="788"/>
      <c r="AR43" s="788"/>
    </row>
    <row r="44" spans="1:44" x14ac:dyDescent="0.35">
      <c r="A44" s="788"/>
      <c r="B44" s="788"/>
      <c r="C44" s="788"/>
      <c r="D44" s="788"/>
      <c r="E44" s="788"/>
      <c r="F44" s="788"/>
      <c r="G44" s="788"/>
      <c r="H44" s="788"/>
      <c r="I44" s="788"/>
      <c r="J44" s="788"/>
      <c r="K44" s="788"/>
      <c r="L44" s="788"/>
      <c r="M44" s="788"/>
      <c r="N44" s="788"/>
      <c r="O44" s="788"/>
      <c r="P44" s="788"/>
      <c r="Q44" s="788"/>
      <c r="R44" s="788"/>
      <c r="S44" s="788"/>
      <c r="T44" s="788"/>
      <c r="U44" s="788"/>
      <c r="V44" s="788"/>
      <c r="W44" s="788"/>
      <c r="X44" s="788"/>
      <c r="Y44" s="788"/>
      <c r="Z44" s="788"/>
      <c r="AA44" s="788"/>
      <c r="AB44" s="788"/>
      <c r="AC44" s="788"/>
      <c r="AD44" s="788"/>
      <c r="AE44" s="788"/>
      <c r="AF44" s="788"/>
      <c r="AG44" s="788"/>
      <c r="AH44" s="788"/>
      <c r="AI44" s="788"/>
      <c r="AJ44" s="788"/>
      <c r="AK44" s="788"/>
      <c r="AL44" s="788"/>
      <c r="AM44" s="788"/>
      <c r="AN44" s="788"/>
      <c r="AO44" s="788"/>
      <c r="AP44" s="788"/>
      <c r="AQ44" s="788"/>
      <c r="AR44" s="788"/>
    </row>
    <row r="45" spans="1:44" x14ac:dyDescent="0.35">
      <c r="A45" s="788"/>
      <c r="B45" s="788"/>
      <c r="C45" s="788"/>
      <c r="D45" s="788"/>
      <c r="E45" s="788"/>
      <c r="F45" s="788"/>
      <c r="G45" s="788"/>
      <c r="H45" s="788"/>
      <c r="I45" s="788"/>
      <c r="J45" s="788"/>
      <c r="K45" s="788"/>
      <c r="L45" s="788"/>
      <c r="M45" s="788"/>
      <c r="N45" s="788"/>
      <c r="O45" s="788"/>
      <c r="P45" s="788"/>
      <c r="Q45" s="788"/>
      <c r="R45" s="788"/>
      <c r="S45" s="788"/>
      <c r="T45" s="788"/>
      <c r="U45" s="788"/>
      <c r="V45" s="788"/>
      <c r="W45" s="788"/>
      <c r="X45" s="788"/>
      <c r="Y45" s="788"/>
      <c r="Z45" s="788"/>
      <c r="AA45" s="788"/>
      <c r="AB45" s="788"/>
      <c r="AC45" s="788"/>
      <c r="AD45" s="788"/>
      <c r="AE45" s="788"/>
      <c r="AF45" s="788"/>
      <c r="AG45" s="788"/>
      <c r="AH45" s="788"/>
      <c r="AI45" s="788"/>
      <c r="AJ45" s="788"/>
      <c r="AK45" s="788"/>
      <c r="AL45" s="788"/>
      <c r="AM45" s="788"/>
      <c r="AN45" s="788"/>
      <c r="AO45" s="788"/>
      <c r="AP45" s="788"/>
      <c r="AQ45" s="788"/>
      <c r="AR45" s="788"/>
    </row>
    <row r="46" spans="1:44" x14ac:dyDescent="0.35">
      <c r="A46" s="788"/>
      <c r="B46" s="788"/>
      <c r="C46" s="788"/>
      <c r="D46" s="788"/>
      <c r="E46" s="788"/>
      <c r="F46" s="788"/>
      <c r="G46" s="788"/>
      <c r="H46" s="788"/>
      <c r="I46" s="788"/>
      <c r="J46" s="788"/>
      <c r="K46" s="788"/>
      <c r="L46" s="788"/>
      <c r="M46" s="788"/>
      <c r="N46" s="788"/>
      <c r="O46" s="788"/>
      <c r="P46" s="788"/>
      <c r="Q46" s="788"/>
      <c r="R46" s="788"/>
      <c r="S46" s="788"/>
      <c r="T46" s="788"/>
      <c r="U46" s="788"/>
      <c r="V46" s="788"/>
      <c r="W46" s="788"/>
      <c r="X46" s="788"/>
      <c r="Y46" s="788"/>
      <c r="Z46" s="788"/>
      <c r="AA46" s="788"/>
      <c r="AB46" s="788"/>
      <c r="AC46" s="788"/>
      <c r="AD46" s="788"/>
      <c r="AE46" s="788"/>
      <c r="AF46" s="788"/>
      <c r="AG46" s="788"/>
      <c r="AH46" s="788"/>
      <c r="AI46" s="788"/>
      <c r="AJ46" s="788"/>
      <c r="AK46" s="788"/>
      <c r="AL46" s="788"/>
      <c r="AM46" s="788"/>
      <c r="AN46" s="788"/>
      <c r="AO46" s="788"/>
      <c r="AP46" s="788"/>
      <c r="AQ46" s="788"/>
      <c r="AR46" s="788"/>
    </row>
    <row r="47" spans="1:44" x14ac:dyDescent="0.35">
      <c r="A47" s="788"/>
      <c r="B47" s="788"/>
      <c r="C47" s="788"/>
      <c r="D47" s="788"/>
      <c r="E47" s="788"/>
      <c r="F47" s="788"/>
      <c r="G47" s="788"/>
      <c r="H47" s="788"/>
      <c r="I47" s="788"/>
      <c r="J47" s="788"/>
      <c r="K47" s="788"/>
      <c r="L47" s="788"/>
      <c r="M47" s="788"/>
      <c r="N47" s="788"/>
      <c r="O47" s="788"/>
      <c r="P47" s="788"/>
      <c r="Q47" s="788"/>
      <c r="R47" s="788"/>
      <c r="S47" s="788"/>
      <c r="T47" s="788"/>
      <c r="U47" s="788"/>
      <c r="V47" s="788"/>
      <c r="W47" s="788"/>
      <c r="X47" s="788"/>
      <c r="Y47" s="788"/>
      <c r="Z47" s="788"/>
      <c r="AA47" s="788"/>
      <c r="AB47" s="788"/>
      <c r="AC47" s="788"/>
      <c r="AD47" s="788"/>
      <c r="AE47" s="788"/>
      <c r="AF47" s="788"/>
      <c r="AG47" s="788"/>
      <c r="AH47" s="788"/>
      <c r="AI47" s="788"/>
      <c r="AJ47" s="788"/>
      <c r="AK47" s="788"/>
      <c r="AL47" s="788"/>
      <c r="AM47" s="788"/>
      <c r="AN47" s="788"/>
      <c r="AO47" s="788"/>
      <c r="AP47" s="788"/>
      <c r="AQ47" s="788"/>
      <c r="AR47" s="788"/>
    </row>
    <row r="48" spans="1:44" x14ac:dyDescent="0.35">
      <c r="A48" s="788"/>
      <c r="B48" s="788"/>
      <c r="C48" s="788"/>
      <c r="D48" s="788"/>
      <c r="E48" s="788"/>
      <c r="F48" s="788"/>
      <c r="G48" s="788"/>
      <c r="H48" s="788"/>
      <c r="I48" s="788"/>
      <c r="J48" s="788"/>
      <c r="K48" s="788"/>
      <c r="L48" s="788"/>
      <c r="M48" s="788"/>
      <c r="N48" s="788"/>
      <c r="O48" s="788"/>
      <c r="P48" s="788"/>
      <c r="Q48" s="788"/>
      <c r="R48" s="788"/>
      <c r="S48" s="788"/>
      <c r="T48" s="788"/>
      <c r="U48" s="788"/>
      <c r="V48" s="788"/>
      <c r="W48" s="788"/>
      <c r="X48" s="788"/>
      <c r="Y48" s="788"/>
      <c r="Z48" s="788"/>
      <c r="AA48" s="788"/>
      <c r="AB48" s="788"/>
      <c r="AC48" s="788"/>
      <c r="AD48" s="788"/>
      <c r="AE48" s="788"/>
      <c r="AF48" s="788"/>
      <c r="AG48" s="788"/>
      <c r="AH48" s="788"/>
      <c r="AI48" s="788"/>
      <c r="AJ48" s="788"/>
      <c r="AK48" s="788"/>
      <c r="AL48" s="788"/>
      <c r="AM48" s="788"/>
      <c r="AN48" s="788"/>
      <c r="AO48" s="788"/>
      <c r="AP48" s="788"/>
      <c r="AQ48" s="788"/>
      <c r="AR48" s="788"/>
    </row>
    <row r="49" spans="1:44" x14ac:dyDescent="0.35">
      <c r="A49" s="788"/>
      <c r="B49" s="788"/>
      <c r="C49" s="788"/>
      <c r="D49" s="788"/>
      <c r="E49" s="788"/>
      <c r="F49" s="788"/>
      <c r="G49" s="788"/>
      <c r="H49" s="788"/>
      <c r="I49" s="788"/>
      <c r="J49" s="788"/>
      <c r="K49" s="788"/>
      <c r="L49" s="788"/>
      <c r="M49" s="788"/>
      <c r="N49" s="788"/>
      <c r="O49" s="788"/>
      <c r="P49" s="788"/>
      <c r="Q49" s="788"/>
      <c r="R49" s="788"/>
      <c r="S49" s="788"/>
      <c r="T49" s="788"/>
      <c r="U49" s="788"/>
      <c r="V49" s="788"/>
      <c r="W49" s="788"/>
      <c r="X49" s="788"/>
      <c r="Y49" s="788"/>
      <c r="Z49" s="788"/>
      <c r="AA49" s="788"/>
      <c r="AB49" s="788"/>
      <c r="AC49" s="788"/>
      <c r="AD49" s="788"/>
      <c r="AE49" s="788"/>
      <c r="AF49" s="788"/>
      <c r="AG49" s="788"/>
      <c r="AH49" s="788"/>
      <c r="AI49" s="788"/>
      <c r="AJ49" s="788"/>
      <c r="AK49" s="788"/>
      <c r="AL49" s="788"/>
      <c r="AM49" s="788"/>
      <c r="AN49" s="788"/>
      <c r="AO49" s="788"/>
      <c r="AP49" s="788"/>
      <c r="AQ49" s="788"/>
      <c r="AR49" s="788"/>
    </row>
    <row r="50" spans="1:44" x14ac:dyDescent="0.35">
      <c r="A50" s="788"/>
      <c r="B50" s="788"/>
      <c r="C50" s="788"/>
      <c r="D50" s="788"/>
      <c r="E50" s="788"/>
      <c r="F50" s="788"/>
      <c r="G50" s="788"/>
      <c r="H50" s="788"/>
      <c r="I50" s="788"/>
      <c r="J50" s="788"/>
      <c r="K50" s="788"/>
      <c r="L50" s="788"/>
      <c r="M50" s="788"/>
      <c r="N50" s="788"/>
      <c r="O50" s="788"/>
      <c r="P50" s="788"/>
      <c r="Q50" s="788"/>
      <c r="R50" s="788"/>
      <c r="S50" s="788"/>
      <c r="T50" s="788"/>
      <c r="U50" s="788"/>
      <c r="V50" s="788"/>
      <c r="W50" s="788"/>
      <c r="X50" s="788"/>
      <c r="Y50" s="788"/>
      <c r="Z50" s="788"/>
      <c r="AA50" s="788"/>
      <c r="AB50" s="788"/>
      <c r="AC50" s="788"/>
      <c r="AD50" s="788"/>
      <c r="AE50" s="788"/>
      <c r="AF50" s="788"/>
      <c r="AG50" s="788"/>
      <c r="AH50" s="788"/>
      <c r="AI50" s="788"/>
      <c r="AJ50" s="788"/>
      <c r="AK50" s="788"/>
      <c r="AL50" s="788"/>
      <c r="AM50" s="788"/>
      <c r="AN50" s="788"/>
      <c r="AO50" s="788"/>
      <c r="AP50" s="788"/>
      <c r="AQ50" s="788"/>
      <c r="AR50" s="788"/>
    </row>
    <row r="51" spans="1:44" x14ac:dyDescent="0.35">
      <c r="A51" s="788"/>
      <c r="B51" s="788"/>
      <c r="C51" s="788"/>
      <c r="D51" s="788"/>
      <c r="E51" s="788"/>
      <c r="F51" s="788"/>
      <c r="G51" s="788"/>
      <c r="H51" s="788"/>
      <c r="I51" s="788"/>
      <c r="J51" s="788"/>
      <c r="K51" s="788"/>
      <c r="L51" s="788"/>
      <c r="M51" s="788"/>
      <c r="N51" s="788"/>
      <c r="O51" s="788"/>
      <c r="P51" s="788"/>
      <c r="Q51" s="788"/>
      <c r="R51" s="788"/>
      <c r="S51" s="788"/>
      <c r="T51" s="788"/>
      <c r="U51" s="788"/>
      <c r="V51" s="788"/>
      <c r="W51" s="788"/>
      <c r="X51" s="788"/>
      <c r="Y51" s="788"/>
      <c r="Z51" s="788"/>
      <c r="AA51" s="788"/>
      <c r="AB51" s="788"/>
      <c r="AC51" s="788"/>
      <c r="AD51" s="788"/>
      <c r="AE51" s="788"/>
      <c r="AF51" s="788"/>
      <c r="AG51" s="788"/>
      <c r="AH51" s="788"/>
      <c r="AI51" s="788"/>
      <c r="AJ51" s="788"/>
      <c r="AK51" s="788"/>
      <c r="AL51" s="788"/>
      <c r="AM51" s="788"/>
      <c r="AN51" s="788"/>
      <c r="AO51" s="788"/>
      <c r="AP51" s="788"/>
      <c r="AQ51" s="788"/>
      <c r="AR51" s="788"/>
    </row>
    <row r="52" spans="1:44" x14ac:dyDescent="0.35">
      <c r="A52" s="788"/>
      <c r="B52" s="788"/>
      <c r="C52" s="788"/>
      <c r="D52" s="788"/>
      <c r="E52" s="788"/>
      <c r="F52" s="788"/>
      <c r="G52" s="788"/>
      <c r="H52" s="788"/>
      <c r="I52" s="788"/>
      <c r="J52" s="788"/>
      <c r="K52" s="788"/>
      <c r="L52" s="788"/>
      <c r="M52" s="788"/>
      <c r="N52" s="788"/>
      <c r="O52" s="788"/>
      <c r="P52" s="788"/>
      <c r="Q52" s="788"/>
      <c r="R52" s="788"/>
      <c r="S52" s="788"/>
      <c r="T52" s="788"/>
      <c r="U52" s="788"/>
      <c r="V52" s="788"/>
      <c r="W52" s="788"/>
      <c r="X52" s="788"/>
      <c r="Y52" s="788"/>
      <c r="Z52" s="788"/>
      <c r="AA52" s="788"/>
      <c r="AB52" s="788"/>
      <c r="AC52" s="788"/>
      <c r="AD52" s="788"/>
      <c r="AE52" s="788"/>
      <c r="AF52" s="788"/>
      <c r="AG52" s="788"/>
      <c r="AH52" s="788"/>
      <c r="AI52" s="788"/>
      <c r="AJ52" s="788"/>
      <c r="AK52" s="788"/>
      <c r="AL52" s="788"/>
      <c r="AM52" s="788"/>
      <c r="AN52" s="788"/>
      <c r="AO52" s="788"/>
      <c r="AP52" s="788"/>
      <c r="AQ52" s="788"/>
      <c r="AR52" s="788"/>
    </row>
    <row r="53" spans="1:44" x14ac:dyDescent="0.35">
      <c r="A53" s="788"/>
      <c r="B53" s="788"/>
      <c r="C53" s="788"/>
      <c r="D53" s="788"/>
      <c r="E53" s="788"/>
      <c r="F53" s="788"/>
      <c r="G53" s="788"/>
      <c r="H53" s="788"/>
      <c r="I53" s="788"/>
      <c r="J53" s="788"/>
      <c r="K53" s="788"/>
      <c r="L53" s="788"/>
      <c r="M53" s="788"/>
      <c r="N53" s="788"/>
      <c r="O53" s="788"/>
      <c r="P53" s="788"/>
      <c r="Q53" s="788"/>
      <c r="R53" s="788"/>
      <c r="S53" s="788"/>
      <c r="T53" s="788"/>
      <c r="U53" s="788"/>
      <c r="V53" s="788"/>
      <c r="W53" s="788"/>
      <c r="X53" s="788"/>
      <c r="Y53" s="788"/>
      <c r="Z53" s="788"/>
      <c r="AA53" s="788"/>
      <c r="AB53" s="788"/>
      <c r="AC53" s="788"/>
      <c r="AD53" s="788"/>
      <c r="AE53" s="788"/>
      <c r="AF53" s="788"/>
      <c r="AG53" s="788"/>
      <c r="AH53" s="788"/>
      <c r="AI53" s="788"/>
      <c r="AJ53" s="788"/>
      <c r="AK53" s="788"/>
      <c r="AL53" s="788"/>
      <c r="AM53" s="788"/>
      <c r="AN53" s="788"/>
      <c r="AO53" s="788"/>
      <c r="AP53" s="788"/>
      <c r="AQ53" s="788"/>
      <c r="AR53" s="788"/>
    </row>
    <row r="54" spans="1:44" x14ac:dyDescent="0.35">
      <c r="A54" s="788"/>
      <c r="B54" s="788"/>
      <c r="C54" s="788"/>
      <c r="D54" s="788"/>
      <c r="E54" s="788"/>
      <c r="F54" s="788"/>
      <c r="G54" s="788"/>
      <c r="H54" s="788"/>
      <c r="I54" s="788"/>
      <c r="J54" s="788"/>
      <c r="K54" s="788"/>
      <c r="L54" s="788"/>
      <c r="M54" s="788"/>
      <c r="N54" s="788"/>
      <c r="O54" s="788"/>
      <c r="P54" s="788"/>
      <c r="Q54" s="788"/>
      <c r="R54" s="788"/>
      <c r="S54" s="788"/>
      <c r="T54" s="788"/>
      <c r="U54" s="788"/>
      <c r="V54" s="788"/>
      <c r="W54" s="788"/>
      <c r="X54" s="788"/>
      <c r="Y54" s="788"/>
      <c r="Z54" s="788"/>
      <c r="AA54" s="788"/>
      <c r="AB54" s="788"/>
      <c r="AC54" s="788"/>
      <c r="AD54" s="788"/>
      <c r="AE54" s="788"/>
      <c r="AF54" s="788"/>
      <c r="AG54" s="788"/>
      <c r="AH54" s="788"/>
      <c r="AI54" s="788"/>
      <c r="AJ54" s="788"/>
      <c r="AK54" s="788"/>
      <c r="AL54" s="788"/>
      <c r="AM54" s="788"/>
      <c r="AN54" s="788"/>
      <c r="AO54" s="788"/>
      <c r="AP54" s="788"/>
      <c r="AQ54" s="788"/>
      <c r="AR54" s="788"/>
    </row>
    <row r="55" spans="1:44" x14ac:dyDescent="0.35">
      <c r="A55" s="788"/>
      <c r="B55" s="788"/>
      <c r="C55" s="788"/>
      <c r="D55" s="788"/>
      <c r="E55" s="788"/>
      <c r="F55" s="788"/>
      <c r="G55" s="788"/>
      <c r="H55" s="788"/>
      <c r="I55" s="788"/>
      <c r="J55" s="788"/>
      <c r="K55" s="788"/>
      <c r="L55" s="788"/>
      <c r="M55" s="788"/>
      <c r="N55" s="788"/>
      <c r="O55" s="788"/>
      <c r="P55" s="788"/>
      <c r="Q55" s="788"/>
      <c r="R55" s="788"/>
      <c r="S55" s="788"/>
      <c r="T55" s="788"/>
      <c r="U55" s="788"/>
      <c r="V55" s="788"/>
      <c r="W55" s="788"/>
      <c r="X55" s="788"/>
      <c r="Y55" s="788"/>
      <c r="Z55" s="788"/>
      <c r="AA55" s="788"/>
      <c r="AB55" s="788"/>
      <c r="AC55" s="788"/>
      <c r="AD55" s="788"/>
      <c r="AE55" s="788"/>
      <c r="AF55" s="788"/>
      <c r="AG55" s="788"/>
      <c r="AH55" s="788"/>
      <c r="AI55" s="788"/>
      <c r="AJ55" s="788"/>
      <c r="AK55" s="788"/>
      <c r="AL55" s="788"/>
      <c r="AM55" s="788"/>
      <c r="AN55" s="788"/>
      <c r="AO55" s="788"/>
      <c r="AP55" s="788"/>
      <c r="AQ55" s="788"/>
      <c r="AR55" s="788"/>
    </row>
    <row r="56" spans="1:44" x14ac:dyDescent="0.35">
      <c r="A56" s="788"/>
      <c r="B56" s="788"/>
      <c r="C56" s="788"/>
      <c r="D56" s="788"/>
      <c r="E56" s="788"/>
      <c r="F56" s="788"/>
      <c r="G56" s="788"/>
      <c r="H56" s="788"/>
      <c r="I56" s="788"/>
      <c r="J56" s="788"/>
      <c r="K56" s="788"/>
      <c r="L56" s="788"/>
      <c r="M56" s="788"/>
      <c r="N56" s="788"/>
      <c r="O56" s="788"/>
      <c r="P56" s="788"/>
      <c r="Q56" s="788"/>
      <c r="R56" s="788"/>
      <c r="S56" s="788"/>
      <c r="T56" s="788"/>
      <c r="U56" s="788"/>
      <c r="V56" s="788"/>
      <c r="W56" s="788"/>
      <c r="X56" s="788"/>
      <c r="Y56" s="788"/>
      <c r="Z56" s="788"/>
      <c r="AA56" s="788"/>
      <c r="AB56" s="788"/>
      <c r="AC56" s="788"/>
      <c r="AD56" s="788"/>
      <c r="AE56" s="788"/>
      <c r="AF56" s="788"/>
      <c r="AG56" s="788"/>
      <c r="AH56" s="788"/>
      <c r="AI56" s="788"/>
      <c r="AJ56" s="788"/>
      <c r="AK56" s="788"/>
      <c r="AL56" s="788"/>
      <c r="AM56" s="788"/>
      <c r="AN56" s="788"/>
      <c r="AO56" s="788"/>
      <c r="AP56" s="788"/>
      <c r="AQ56" s="788"/>
      <c r="AR56" s="788"/>
    </row>
    <row r="57" spans="1:44" x14ac:dyDescent="0.35">
      <c r="A57" s="788"/>
      <c r="B57" s="788"/>
      <c r="C57" s="788"/>
      <c r="D57" s="788"/>
      <c r="E57" s="788"/>
      <c r="F57" s="788"/>
      <c r="G57" s="788"/>
      <c r="H57" s="788"/>
      <c r="I57" s="788"/>
      <c r="J57" s="788"/>
      <c r="K57" s="788"/>
      <c r="L57" s="788"/>
      <c r="M57" s="788"/>
      <c r="N57" s="788"/>
      <c r="O57" s="788"/>
      <c r="P57" s="788"/>
      <c r="Q57" s="788"/>
      <c r="R57" s="788"/>
      <c r="S57" s="788"/>
      <c r="T57" s="788"/>
      <c r="U57" s="788"/>
      <c r="V57" s="788"/>
      <c r="W57" s="788"/>
      <c r="X57" s="788"/>
      <c r="Y57" s="788"/>
      <c r="Z57" s="788"/>
      <c r="AA57" s="788"/>
      <c r="AB57" s="788"/>
      <c r="AC57" s="788"/>
      <c r="AD57" s="788"/>
      <c r="AE57" s="788"/>
      <c r="AF57" s="788"/>
      <c r="AG57" s="788"/>
      <c r="AH57" s="788"/>
      <c r="AI57" s="788"/>
      <c r="AJ57" s="788"/>
      <c r="AK57" s="788"/>
      <c r="AL57" s="788"/>
      <c r="AM57" s="788"/>
      <c r="AN57" s="788"/>
      <c r="AO57" s="788"/>
      <c r="AP57" s="788"/>
      <c r="AQ57" s="788"/>
      <c r="AR57" s="788"/>
    </row>
    <row r="58" spans="1:44" x14ac:dyDescent="0.35">
      <c r="A58" s="788"/>
      <c r="B58" s="788"/>
      <c r="C58" s="788"/>
      <c r="D58" s="788"/>
      <c r="E58" s="788"/>
      <c r="F58" s="788"/>
      <c r="G58" s="788"/>
      <c r="H58" s="788"/>
      <c r="I58" s="788"/>
      <c r="J58" s="788"/>
      <c r="K58" s="788"/>
      <c r="L58" s="788"/>
      <c r="M58" s="788"/>
      <c r="N58" s="788"/>
      <c r="O58" s="788"/>
      <c r="P58" s="788"/>
      <c r="Q58" s="788"/>
      <c r="R58" s="788"/>
      <c r="S58" s="788"/>
      <c r="T58" s="788"/>
      <c r="U58" s="788"/>
      <c r="V58" s="788"/>
      <c r="W58" s="788"/>
      <c r="X58" s="788"/>
      <c r="Y58" s="788"/>
      <c r="Z58" s="788"/>
      <c r="AA58" s="788"/>
      <c r="AB58" s="788"/>
      <c r="AC58" s="788"/>
      <c r="AD58" s="788"/>
      <c r="AE58" s="788"/>
      <c r="AF58" s="788"/>
      <c r="AG58" s="788"/>
      <c r="AH58" s="788"/>
      <c r="AI58" s="788"/>
      <c r="AJ58" s="788"/>
      <c r="AK58" s="788"/>
      <c r="AL58" s="788"/>
      <c r="AM58" s="788"/>
      <c r="AN58" s="788"/>
      <c r="AO58" s="788"/>
      <c r="AP58" s="788"/>
      <c r="AQ58" s="788"/>
      <c r="AR58" s="788"/>
    </row>
    <row r="59" spans="1:44" x14ac:dyDescent="0.35">
      <c r="A59" s="788"/>
      <c r="B59" s="788"/>
      <c r="C59" s="788"/>
      <c r="D59" s="788"/>
      <c r="E59" s="788"/>
      <c r="F59" s="788"/>
      <c r="G59" s="788"/>
      <c r="H59" s="788"/>
      <c r="I59" s="788"/>
      <c r="J59" s="788"/>
      <c r="K59" s="788"/>
      <c r="L59" s="788"/>
      <c r="M59" s="788"/>
      <c r="N59" s="788"/>
      <c r="O59" s="788"/>
      <c r="P59" s="788"/>
      <c r="Q59" s="788"/>
      <c r="R59" s="788"/>
      <c r="S59" s="788"/>
      <c r="T59" s="788"/>
      <c r="U59" s="788"/>
      <c r="V59" s="788"/>
      <c r="W59" s="788"/>
      <c r="X59" s="788"/>
      <c r="Y59" s="788"/>
      <c r="Z59" s="788"/>
      <c r="AA59" s="788"/>
      <c r="AB59" s="788"/>
      <c r="AC59" s="788"/>
      <c r="AD59" s="788"/>
      <c r="AE59" s="788"/>
      <c r="AF59" s="788"/>
      <c r="AG59" s="788"/>
      <c r="AH59" s="788"/>
      <c r="AI59" s="788"/>
      <c r="AJ59" s="788"/>
      <c r="AK59" s="788"/>
      <c r="AL59" s="788"/>
      <c r="AM59" s="788"/>
      <c r="AN59" s="788"/>
      <c r="AO59" s="788"/>
      <c r="AP59" s="788"/>
      <c r="AQ59" s="788"/>
      <c r="AR59" s="788"/>
    </row>
    <row r="60" spans="1:44" x14ac:dyDescent="0.35">
      <c r="A60" s="788"/>
      <c r="B60" s="788"/>
      <c r="C60" s="788"/>
      <c r="D60" s="788"/>
      <c r="E60" s="788"/>
      <c r="F60" s="788"/>
      <c r="G60" s="788"/>
      <c r="H60" s="788"/>
      <c r="I60" s="788"/>
      <c r="J60" s="788"/>
      <c r="K60" s="788"/>
      <c r="L60" s="788"/>
      <c r="M60" s="788"/>
      <c r="N60" s="788"/>
      <c r="O60" s="788"/>
      <c r="P60" s="788"/>
      <c r="Q60" s="788"/>
      <c r="R60" s="788"/>
      <c r="S60" s="788"/>
      <c r="T60" s="788"/>
      <c r="U60" s="788"/>
      <c r="V60" s="788"/>
      <c r="W60" s="788"/>
      <c r="X60" s="788"/>
      <c r="Y60" s="788"/>
      <c r="Z60" s="788"/>
      <c r="AA60" s="788"/>
      <c r="AB60" s="788"/>
      <c r="AC60" s="788"/>
      <c r="AD60" s="788"/>
      <c r="AE60" s="788"/>
      <c r="AF60" s="788"/>
      <c r="AG60" s="788"/>
      <c r="AH60" s="788"/>
      <c r="AI60" s="788"/>
      <c r="AJ60" s="788"/>
      <c r="AK60" s="788"/>
      <c r="AL60" s="788"/>
      <c r="AM60" s="788"/>
      <c r="AN60" s="788"/>
      <c r="AO60" s="788"/>
      <c r="AP60" s="788"/>
      <c r="AQ60" s="788"/>
      <c r="AR60" s="788"/>
    </row>
    <row r="61" spans="1:44" x14ac:dyDescent="0.35">
      <c r="A61" s="788"/>
      <c r="B61" s="788"/>
      <c r="C61" s="788"/>
      <c r="D61" s="788"/>
      <c r="E61" s="788"/>
      <c r="F61" s="788"/>
      <c r="G61" s="788"/>
      <c r="H61" s="788"/>
      <c r="I61" s="788"/>
      <c r="J61" s="788"/>
      <c r="K61" s="788"/>
      <c r="L61" s="788"/>
      <c r="M61" s="788"/>
      <c r="N61" s="788"/>
      <c r="O61" s="788"/>
      <c r="P61" s="788"/>
      <c r="Q61" s="788"/>
      <c r="R61" s="788"/>
      <c r="S61" s="788"/>
      <c r="T61" s="788"/>
      <c r="U61" s="788"/>
      <c r="V61" s="788"/>
      <c r="W61" s="788"/>
      <c r="X61" s="788"/>
      <c r="Y61" s="788"/>
      <c r="Z61" s="788"/>
      <c r="AA61" s="788"/>
      <c r="AB61" s="788"/>
      <c r="AC61" s="788"/>
      <c r="AD61" s="788"/>
      <c r="AE61" s="788"/>
      <c r="AF61" s="788"/>
      <c r="AG61" s="788"/>
      <c r="AH61" s="788"/>
      <c r="AI61" s="788"/>
      <c r="AJ61" s="788"/>
      <c r="AK61" s="788"/>
      <c r="AL61" s="788"/>
      <c r="AM61" s="788"/>
      <c r="AN61" s="788"/>
      <c r="AO61" s="788"/>
      <c r="AP61" s="788"/>
      <c r="AQ61" s="788"/>
      <c r="AR61" s="788"/>
    </row>
    <row r="62" spans="1:44" x14ac:dyDescent="0.35">
      <c r="A62" s="788"/>
      <c r="B62" s="788"/>
      <c r="C62" s="788"/>
      <c r="D62" s="788"/>
      <c r="E62" s="788"/>
      <c r="F62" s="788"/>
      <c r="G62" s="788"/>
      <c r="H62" s="788"/>
      <c r="I62" s="788"/>
      <c r="J62" s="788"/>
      <c r="K62" s="788"/>
      <c r="L62" s="788"/>
      <c r="M62" s="788"/>
      <c r="N62" s="788"/>
      <c r="O62" s="788"/>
      <c r="P62" s="788"/>
      <c r="Q62" s="788"/>
      <c r="R62" s="788"/>
      <c r="S62" s="788"/>
      <c r="T62" s="788"/>
      <c r="U62" s="788"/>
      <c r="V62" s="788"/>
      <c r="W62" s="788"/>
      <c r="X62" s="788"/>
      <c r="Y62" s="788"/>
      <c r="Z62" s="788"/>
      <c r="AA62" s="788"/>
      <c r="AB62" s="788"/>
      <c r="AC62" s="788"/>
      <c r="AD62" s="788"/>
      <c r="AE62" s="788"/>
      <c r="AF62" s="788"/>
      <c r="AG62" s="788"/>
      <c r="AH62" s="788"/>
      <c r="AI62" s="788"/>
      <c r="AJ62" s="788"/>
      <c r="AK62" s="788"/>
      <c r="AL62" s="788"/>
      <c r="AM62" s="788"/>
      <c r="AN62" s="788"/>
      <c r="AO62" s="788"/>
      <c r="AP62" s="788"/>
      <c r="AQ62" s="788"/>
      <c r="AR62" s="788"/>
    </row>
    <row r="63" spans="1:44" x14ac:dyDescent="0.35">
      <c r="A63" s="788"/>
      <c r="B63" s="788"/>
      <c r="C63" s="788"/>
      <c r="D63" s="788"/>
      <c r="E63" s="788"/>
      <c r="F63" s="788"/>
      <c r="G63" s="788"/>
      <c r="H63" s="788"/>
      <c r="I63" s="788"/>
      <c r="J63" s="788"/>
      <c r="K63" s="788"/>
      <c r="L63" s="788"/>
      <c r="M63" s="788"/>
      <c r="N63" s="788"/>
      <c r="O63" s="788"/>
      <c r="P63" s="788"/>
      <c r="Q63" s="788"/>
      <c r="R63" s="788"/>
      <c r="S63" s="788"/>
      <c r="T63" s="788"/>
      <c r="U63" s="788"/>
      <c r="V63" s="788"/>
      <c r="W63" s="788"/>
      <c r="X63" s="788"/>
      <c r="Y63" s="788"/>
      <c r="Z63" s="788"/>
      <c r="AA63" s="788"/>
      <c r="AB63" s="788"/>
      <c r="AC63" s="788"/>
      <c r="AD63" s="788"/>
      <c r="AE63" s="788"/>
      <c r="AF63" s="788"/>
      <c r="AG63" s="788"/>
      <c r="AH63" s="788"/>
      <c r="AI63" s="788"/>
      <c r="AJ63" s="788"/>
      <c r="AK63" s="788"/>
      <c r="AL63" s="788"/>
      <c r="AM63" s="788"/>
      <c r="AN63" s="788"/>
      <c r="AO63" s="788"/>
      <c r="AP63" s="788"/>
      <c r="AQ63" s="788"/>
      <c r="AR63" s="788"/>
    </row>
    <row r="64" spans="1:44" x14ac:dyDescent="0.35">
      <c r="A64" s="788"/>
      <c r="B64" s="788"/>
      <c r="C64" s="788"/>
      <c r="D64" s="788"/>
      <c r="E64" s="788"/>
      <c r="F64" s="788"/>
      <c r="G64" s="788"/>
      <c r="H64" s="788"/>
      <c r="I64" s="788"/>
      <c r="J64" s="788"/>
      <c r="K64" s="788"/>
      <c r="L64" s="788"/>
      <c r="M64" s="788"/>
      <c r="N64" s="788"/>
      <c r="O64" s="788"/>
      <c r="P64" s="788"/>
      <c r="Q64" s="788"/>
      <c r="R64" s="788"/>
      <c r="S64" s="788"/>
      <c r="T64" s="788"/>
      <c r="U64" s="788"/>
      <c r="V64" s="788"/>
      <c r="W64" s="788"/>
      <c r="X64" s="788"/>
      <c r="Y64" s="788"/>
      <c r="Z64" s="788"/>
      <c r="AA64" s="788"/>
      <c r="AB64" s="788"/>
      <c r="AC64" s="788"/>
      <c r="AD64" s="788"/>
      <c r="AE64" s="788"/>
      <c r="AF64" s="788"/>
      <c r="AG64" s="788"/>
      <c r="AH64" s="788"/>
      <c r="AI64" s="788"/>
      <c r="AJ64" s="788"/>
      <c r="AK64" s="788"/>
      <c r="AL64" s="788"/>
      <c r="AM64" s="788"/>
      <c r="AN64" s="788"/>
      <c r="AO64" s="788"/>
      <c r="AP64" s="788"/>
      <c r="AQ64" s="788"/>
      <c r="AR64" s="788"/>
    </row>
    <row r="65" spans="1:44" x14ac:dyDescent="0.35">
      <c r="A65" s="788"/>
      <c r="B65" s="788"/>
      <c r="C65" s="788"/>
      <c r="D65" s="788"/>
      <c r="E65" s="788"/>
      <c r="F65" s="788"/>
      <c r="G65" s="788"/>
      <c r="H65" s="788"/>
      <c r="I65" s="788"/>
      <c r="J65" s="788"/>
      <c r="K65" s="788"/>
      <c r="L65" s="788"/>
      <c r="M65" s="788"/>
      <c r="N65" s="788"/>
      <c r="O65" s="788"/>
      <c r="P65" s="788"/>
      <c r="Q65" s="788"/>
      <c r="R65" s="788"/>
      <c r="S65" s="788"/>
      <c r="T65" s="788"/>
      <c r="U65" s="788"/>
      <c r="V65" s="788"/>
      <c r="W65" s="788"/>
      <c r="X65" s="788"/>
      <c r="Y65" s="788"/>
      <c r="Z65" s="788"/>
      <c r="AA65" s="788"/>
      <c r="AB65" s="788"/>
      <c r="AC65" s="788"/>
      <c r="AD65" s="788"/>
      <c r="AE65" s="788"/>
      <c r="AF65" s="788"/>
      <c r="AG65" s="788"/>
      <c r="AH65" s="788"/>
      <c r="AI65" s="788"/>
      <c r="AJ65" s="788"/>
      <c r="AK65" s="788"/>
      <c r="AL65" s="788"/>
      <c r="AM65" s="788"/>
      <c r="AN65" s="788"/>
      <c r="AO65" s="788"/>
      <c r="AP65" s="788"/>
      <c r="AQ65" s="788"/>
      <c r="AR65" s="788"/>
    </row>
    <row r="66" spans="1:44" x14ac:dyDescent="0.35">
      <c r="A66" s="788"/>
      <c r="B66" s="788"/>
      <c r="C66" s="788"/>
      <c r="D66" s="788"/>
      <c r="E66" s="788"/>
      <c r="F66" s="788"/>
      <c r="G66" s="788"/>
      <c r="H66" s="788"/>
      <c r="I66" s="788"/>
      <c r="J66" s="788"/>
      <c r="K66" s="788"/>
      <c r="L66" s="788"/>
      <c r="M66" s="788"/>
      <c r="N66" s="788"/>
      <c r="O66" s="788"/>
      <c r="P66" s="788"/>
      <c r="Q66" s="788"/>
      <c r="R66" s="788"/>
      <c r="S66" s="788"/>
      <c r="T66" s="788"/>
      <c r="U66" s="788"/>
      <c r="V66" s="788"/>
      <c r="W66" s="788"/>
      <c r="X66" s="788"/>
      <c r="Y66" s="788"/>
      <c r="Z66" s="788"/>
      <c r="AA66" s="788"/>
      <c r="AB66" s="788"/>
      <c r="AC66" s="788"/>
      <c r="AD66" s="788"/>
      <c r="AE66" s="788"/>
      <c r="AF66" s="788"/>
      <c r="AG66" s="788"/>
      <c r="AH66" s="788"/>
      <c r="AI66" s="788"/>
      <c r="AJ66" s="788"/>
      <c r="AK66" s="788"/>
      <c r="AL66" s="788"/>
      <c r="AM66" s="788"/>
      <c r="AN66" s="788"/>
      <c r="AO66" s="788"/>
      <c r="AP66" s="788"/>
      <c r="AQ66" s="788"/>
      <c r="AR66" s="788"/>
    </row>
    <row r="67" spans="1:44" x14ac:dyDescent="0.35">
      <c r="A67" s="788"/>
      <c r="B67" s="788"/>
      <c r="C67" s="788"/>
      <c r="D67" s="788"/>
      <c r="E67" s="788"/>
      <c r="F67" s="788"/>
      <c r="G67" s="788"/>
      <c r="H67" s="788"/>
      <c r="I67" s="788"/>
      <c r="J67" s="788"/>
      <c r="K67" s="788"/>
      <c r="L67" s="788"/>
      <c r="M67" s="788"/>
      <c r="N67" s="788"/>
      <c r="O67" s="788"/>
      <c r="P67" s="788"/>
      <c r="Q67" s="788"/>
      <c r="R67" s="788"/>
      <c r="S67" s="788"/>
      <c r="T67" s="788"/>
      <c r="U67" s="788"/>
      <c r="V67" s="788"/>
      <c r="W67" s="788"/>
      <c r="X67" s="788"/>
      <c r="Y67" s="788"/>
      <c r="Z67" s="788"/>
      <c r="AA67" s="788"/>
      <c r="AB67" s="788"/>
      <c r="AC67" s="788"/>
      <c r="AD67" s="788"/>
      <c r="AE67" s="788"/>
      <c r="AF67" s="788"/>
      <c r="AG67" s="788"/>
      <c r="AH67" s="788"/>
      <c r="AI67" s="788"/>
      <c r="AJ67" s="788"/>
      <c r="AK67" s="788"/>
      <c r="AL67" s="788"/>
      <c r="AM67" s="788"/>
      <c r="AN67" s="788"/>
      <c r="AO67" s="788"/>
      <c r="AP67" s="788"/>
      <c r="AQ67" s="788"/>
      <c r="AR67" s="788"/>
    </row>
    <row r="68" spans="1:44" x14ac:dyDescent="0.35">
      <c r="A68" s="788"/>
      <c r="B68" s="788"/>
      <c r="C68" s="788"/>
      <c r="D68" s="788"/>
      <c r="E68" s="788"/>
      <c r="F68" s="788"/>
      <c r="G68" s="788"/>
      <c r="H68" s="788"/>
      <c r="I68" s="788"/>
      <c r="J68" s="788"/>
      <c r="K68" s="788"/>
      <c r="L68" s="788"/>
      <c r="M68" s="788"/>
      <c r="N68" s="788"/>
      <c r="O68" s="788"/>
      <c r="P68" s="788"/>
      <c r="Q68" s="788"/>
      <c r="R68" s="788"/>
      <c r="S68" s="788"/>
      <c r="T68" s="788"/>
      <c r="U68" s="788"/>
      <c r="V68" s="788"/>
      <c r="W68" s="788"/>
      <c r="X68" s="788"/>
      <c r="Y68" s="788"/>
      <c r="Z68" s="788"/>
      <c r="AA68" s="788"/>
      <c r="AB68" s="788"/>
      <c r="AC68" s="788"/>
      <c r="AD68" s="788"/>
      <c r="AE68" s="788"/>
      <c r="AF68" s="788"/>
      <c r="AG68" s="788"/>
      <c r="AH68" s="788"/>
      <c r="AI68" s="788"/>
      <c r="AJ68" s="788"/>
      <c r="AK68" s="788"/>
      <c r="AL68" s="788"/>
      <c r="AM68" s="788"/>
      <c r="AN68" s="788"/>
      <c r="AO68" s="788"/>
      <c r="AP68" s="788"/>
      <c r="AQ68" s="788"/>
      <c r="AR68" s="788"/>
    </row>
    <row r="69" spans="1:44" x14ac:dyDescent="0.35">
      <c r="A69" s="788"/>
      <c r="B69" s="788"/>
      <c r="C69" s="788"/>
      <c r="D69" s="788"/>
      <c r="E69" s="788"/>
      <c r="F69" s="788"/>
      <c r="G69" s="788"/>
      <c r="H69" s="788"/>
      <c r="I69" s="788"/>
      <c r="J69" s="788"/>
      <c r="K69" s="788"/>
      <c r="L69" s="788"/>
      <c r="M69" s="788"/>
      <c r="N69" s="788"/>
      <c r="O69" s="788"/>
      <c r="P69" s="788"/>
      <c r="Q69" s="788"/>
      <c r="R69" s="788"/>
      <c r="S69" s="788"/>
      <c r="T69" s="788"/>
      <c r="U69" s="788"/>
      <c r="V69" s="788"/>
      <c r="W69" s="788"/>
      <c r="X69" s="788"/>
      <c r="Y69" s="788"/>
      <c r="Z69" s="788"/>
      <c r="AA69" s="788"/>
      <c r="AB69" s="788"/>
      <c r="AC69" s="788"/>
      <c r="AD69" s="788"/>
      <c r="AE69" s="788"/>
      <c r="AF69" s="788"/>
      <c r="AG69" s="788"/>
      <c r="AH69" s="788"/>
      <c r="AI69" s="788"/>
      <c r="AJ69" s="788"/>
      <c r="AK69" s="788"/>
      <c r="AL69" s="788"/>
      <c r="AM69" s="788"/>
      <c r="AN69" s="788"/>
      <c r="AO69" s="788"/>
      <c r="AP69" s="788"/>
      <c r="AQ69" s="788"/>
      <c r="AR69" s="788"/>
    </row>
    <row r="70" spans="1:44" x14ac:dyDescent="0.35">
      <c r="A70" s="788"/>
      <c r="B70" s="788"/>
      <c r="C70" s="788"/>
      <c r="D70" s="788"/>
      <c r="E70" s="788"/>
      <c r="F70" s="788"/>
      <c r="G70" s="788"/>
      <c r="H70" s="788"/>
      <c r="I70" s="788"/>
      <c r="J70" s="788"/>
      <c r="K70" s="788"/>
      <c r="L70" s="788"/>
      <c r="M70" s="788"/>
      <c r="N70" s="788"/>
      <c r="O70" s="788"/>
      <c r="P70" s="788"/>
      <c r="Q70" s="788"/>
      <c r="R70" s="788"/>
      <c r="S70" s="788"/>
      <c r="T70" s="788"/>
      <c r="U70" s="788"/>
      <c r="V70" s="788"/>
      <c r="W70" s="788"/>
      <c r="X70" s="788"/>
      <c r="Y70" s="788"/>
      <c r="Z70" s="788"/>
      <c r="AA70" s="788"/>
      <c r="AB70" s="788"/>
      <c r="AC70" s="788"/>
      <c r="AD70" s="788"/>
      <c r="AE70" s="788"/>
      <c r="AF70" s="788"/>
      <c r="AG70" s="788"/>
      <c r="AH70" s="788"/>
      <c r="AI70" s="788"/>
      <c r="AJ70" s="788"/>
      <c r="AK70" s="788"/>
      <c r="AL70" s="788"/>
      <c r="AM70" s="788"/>
      <c r="AN70" s="788"/>
      <c r="AO70" s="788"/>
      <c r="AP70" s="788"/>
      <c r="AQ70" s="788"/>
      <c r="AR70" s="788"/>
    </row>
    <row r="71" spans="1:44" x14ac:dyDescent="0.35">
      <c r="A71" s="788"/>
      <c r="B71" s="788"/>
      <c r="C71" s="788"/>
      <c r="D71" s="788"/>
      <c r="E71" s="788"/>
      <c r="F71" s="788"/>
      <c r="G71" s="788"/>
      <c r="H71" s="788"/>
      <c r="I71" s="788"/>
      <c r="J71" s="788"/>
      <c r="K71" s="788"/>
      <c r="L71" s="788"/>
      <c r="M71" s="788"/>
      <c r="N71" s="788"/>
      <c r="O71" s="788"/>
      <c r="P71" s="788"/>
      <c r="Q71" s="788"/>
      <c r="R71" s="788"/>
      <c r="S71" s="788"/>
      <c r="T71" s="788"/>
      <c r="U71" s="788"/>
      <c r="V71" s="788"/>
      <c r="W71" s="788"/>
      <c r="X71" s="788"/>
      <c r="Y71" s="788"/>
      <c r="Z71" s="788"/>
      <c r="AA71" s="788"/>
      <c r="AB71" s="788"/>
      <c r="AC71" s="788"/>
      <c r="AD71" s="788"/>
      <c r="AE71" s="788"/>
      <c r="AF71" s="788"/>
      <c r="AG71" s="788"/>
      <c r="AH71" s="788"/>
      <c r="AI71" s="788"/>
      <c r="AJ71" s="788"/>
      <c r="AK71" s="788"/>
      <c r="AL71" s="788"/>
      <c r="AM71" s="788"/>
      <c r="AN71" s="788"/>
      <c r="AO71" s="788"/>
      <c r="AP71" s="788"/>
      <c r="AQ71" s="788"/>
      <c r="AR71" s="788"/>
    </row>
    <row r="72" spans="1:44" x14ac:dyDescent="0.35">
      <c r="A72" s="788"/>
      <c r="B72" s="788"/>
      <c r="C72" s="788"/>
      <c r="D72" s="788"/>
      <c r="E72" s="788"/>
      <c r="F72" s="788"/>
      <c r="G72" s="788"/>
      <c r="H72" s="788"/>
      <c r="I72" s="788"/>
      <c r="J72" s="788"/>
      <c r="K72" s="788"/>
      <c r="L72" s="788"/>
      <c r="M72" s="788"/>
      <c r="N72" s="788"/>
      <c r="O72" s="788"/>
      <c r="P72" s="788"/>
      <c r="Q72" s="788"/>
      <c r="R72" s="788"/>
      <c r="S72" s="788"/>
      <c r="T72" s="788"/>
      <c r="U72" s="788"/>
      <c r="V72" s="788"/>
      <c r="W72" s="788"/>
      <c r="X72" s="788"/>
      <c r="Y72" s="788"/>
      <c r="Z72" s="788"/>
      <c r="AA72" s="788"/>
      <c r="AB72" s="788"/>
      <c r="AC72" s="788"/>
      <c r="AD72" s="788"/>
      <c r="AE72" s="788"/>
      <c r="AF72" s="788"/>
      <c r="AG72" s="788"/>
      <c r="AH72" s="788"/>
      <c r="AI72" s="788"/>
      <c r="AJ72" s="788"/>
      <c r="AK72" s="788"/>
      <c r="AL72" s="788"/>
      <c r="AM72" s="788"/>
      <c r="AN72" s="788"/>
      <c r="AO72" s="788"/>
      <c r="AP72" s="788"/>
      <c r="AQ72" s="788"/>
      <c r="AR72" s="788"/>
    </row>
    <row r="73" spans="1:44" x14ac:dyDescent="0.35">
      <c r="A73" s="788"/>
      <c r="B73" s="788"/>
      <c r="C73" s="788"/>
      <c r="D73" s="788"/>
      <c r="E73" s="788"/>
      <c r="F73" s="788"/>
      <c r="G73" s="788"/>
      <c r="H73" s="788"/>
      <c r="I73" s="788"/>
      <c r="J73" s="788"/>
      <c r="K73" s="788"/>
      <c r="L73" s="788"/>
      <c r="M73" s="788"/>
      <c r="N73" s="788"/>
      <c r="O73" s="788"/>
      <c r="P73" s="788"/>
      <c r="Q73" s="788"/>
      <c r="R73" s="788"/>
      <c r="S73" s="788"/>
      <c r="T73" s="788"/>
      <c r="U73" s="788"/>
      <c r="V73" s="788"/>
      <c r="W73" s="788"/>
      <c r="X73" s="788"/>
      <c r="Y73" s="788"/>
      <c r="Z73" s="788"/>
      <c r="AA73" s="788"/>
      <c r="AB73" s="788"/>
      <c r="AC73" s="788"/>
      <c r="AD73" s="788"/>
      <c r="AE73" s="788"/>
      <c r="AF73" s="788"/>
      <c r="AG73" s="788"/>
      <c r="AH73" s="788"/>
      <c r="AI73" s="788"/>
      <c r="AJ73" s="788"/>
      <c r="AK73" s="788"/>
      <c r="AL73" s="788"/>
      <c r="AM73" s="788"/>
      <c r="AN73" s="788"/>
      <c r="AO73" s="788"/>
      <c r="AP73" s="788"/>
      <c r="AQ73" s="788"/>
      <c r="AR73" s="788"/>
    </row>
    <row r="74" spans="1:44" x14ac:dyDescent="0.35">
      <c r="A74" s="788"/>
      <c r="B74" s="788"/>
      <c r="C74" s="788"/>
      <c r="D74" s="788"/>
      <c r="E74" s="788"/>
      <c r="F74" s="788"/>
      <c r="G74" s="788"/>
      <c r="H74" s="788"/>
      <c r="I74" s="788"/>
      <c r="J74" s="788"/>
      <c r="K74" s="788"/>
      <c r="L74" s="788"/>
      <c r="M74" s="788"/>
      <c r="N74" s="788"/>
      <c r="O74" s="788"/>
      <c r="P74" s="788"/>
      <c r="Q74" s="788"/>
      <c r="R74" s="788"/>
      <c r="S74" s="788"/>
      <c r="T74" s="788"/>
      <c r="U74" s="788"/>
      <c r="V74" s="788"/>
      <c r="W74" s="788"/>
      <c r="X74" s="788"/>
      <c r="Y74" s="788"/>
      <c r="Z74" s="788"/>
      <c r="AA74" s="788"/>
      <c r="AB74" s="788"/>
      <c r="AC74" s="788"/>
      <c r="AD74" s="788"/>
      <c r="AE74" s="788"/>
      <c r="AF74" s="788"/>
      <c r="AG74" s="788"/>
      <c r="AH74" s="788"/>
      <c r="AI74" s="788"/>
      <c r="AJ74" s="788"/>
      <c r="AK74" s="788"/>
      <c r="AL74" s="788"/>
      <c r="AM74" s="788"/>
      <c r="AN74" s="788"/>
      <c r="AO74" s="788"/>
      <c r="AP74" s="788"/>
      <c r="AQ74" s="788"/>
      <c r="AR74" s="788"/>
    </row>
    <row r="75" spans="1:44" x14ac:dyDescent="0.35">
      <c r="A75" s="788"/>
      <c r="B75" s="788"/>
      <c r="C75" s="788"/>
      <c r="D75" s="788"/>
      <c r="E75" s="788"/>
      <c r="F75" s="788"/>
      <c r="G75" s="788"/>
      <c r="H75" s="788"/>
      <c r="I75" s="788"/>
      <c r="J75" s="788"/>
      <c r="K75" s="788"/>
      <c r="L75" s="788"/>
      <c r="M75" s="788"/>
      <c r="N75" s="788"/>
      <c r="O75" s="788"/>
      <c r="P75" s="788"/>
      <c r="Q75" s="788"/>
      <c r="R75" s="788"/>
      <c r="S75" s="788"/>
      <c r="T75" s="788"/>
      <c r="U75" s="788"/>
      <c r="V75" s="788"/>
      <c r="W75" s="788"/>
      <c r="X75" s="788"/>
      <c r="Y75" s="788"/>
      <c r="Z75" s="788"/>
      <c r="AA75" s="788"/>
      <c r="AB75" s="788"/>
      <c r="AC75" s="788"/>
      <c r="AD75" s="788"/>
      <c r="AE75" s="788"/>
      <c r="AF75" s="788"/>
      <c r="AG75" s="788"/>
      <c r="AH75" s="788"/>
      <c r="AI75" s="788"/>
      <c r="AJ75" s="788"/>
      <c r="AK75" s="788"/>
      <c r="AL75" s="788"/>
      <c r="AM75" s="788"/>
      <c r="AN75" s="788"/>
      <c r="AO75" s="788"/>
      <c r="AP75" s="788"/>
      <c r="AQ75" s="788"/>
      <c r="AR75" s="788"/>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C4580-D461-421E-AC13-24B5BCFF7B8E}">
  <sheetPr codeName="Sheet4">
    <tabColor theme="5"/>
  </sheetPr>
  <dimension ref="B1:CE249"/>
  <sheetViews>
    <sheetView showGridLines="0" zoomScaleNormal="100" workbookViewId="0">
      <selection activeCell="K31" sqref="K31"/>
    </sheetView>
  </sheetViews>
  <sheetFormatPr defaultRowHeight="14.5" x14ac:dyDescent="0.35"/>
  <cols>
    <col min="1" max="1" width="1.36328125" customWidth="1"/>
    <col min="6" max="6" width="7.36328125" customWidth="1"/>
    <col min="11" max="13" width="3.36328125" customWidth="1"/>
    <col min="14" max="14" width="7.26953125" customWidth="1"/>
    <col min="15" max="15" width="3" customWidth="1"/>
    <col min="16" max="16" width="3.54296875" style="5" bestFit="1" customWidth="1"/>
    <col min="17" max="17" width="26.1796875" style="5" bestFit="1" customWidth="1"/>
    <col min="18" max="27" width="8.453125" style="5" customWidth="1"/>
    <col min="28" max="28" width="8.26953125" style="5" bestFit="1" customWidth="1"/>
    <col min="29" max="29" width="7.81640625" style="5" bestFit="1" customWidth="1"/>
    <col min="30" max="83" width="8.453125" style="5" customWidth="1"/>
  </cols>
  <sheetData>
    <row r="1" spans="2:83" ht="15" thickBot="1" x14ac:dyDescent="0.4">
      <c r="B1" s="929" t="s">
        <v>295</v>
      </c>
      <c r="C1" s="929"/>
      <c r="H1" s="804"/>
      <c r="R1" s="662"/>
      <c r="S1" s="662"/>
      <c r="T1" s="693"/>
      <c r="U1" s="662"/>
      <c r="V1" s="662"/>
      <c r="W1" s="660" t="str">
        <f>IF(W3='UW Model'!$O$14,"Reno Start",
IF(AND(W3&gt;'UW Model'!$O$14,W3&lt;'UW Model'!$O$15),"Rolling",
IF(W3='UW Model'!$O$15,"Reno End","")))</f>
        <v/>
      </c>
      <c r="X1" s="660" t="str">
        <f>IF(X3='UW Model'!$O$14,"Reno Start",
IF(AND(X3&gt;'UW Model'!$O$14,X3&lt;'UW Model'!$O$15),"Rolling",
IF(X3='UW Model'!$O$15,"Reno End","")))</f>
        <v/>
      </c>
      <c r="Y1" s="746" t="str">
        <f>IF(Y3='UW Model'!$O$14,"Reno Start",
IF(AND(Y3&gt;'UW Model'!$O$14,Y3&lt;'UW Model'!$O$15),"Rolling",
IF(Y3='UW Model'!$O$15,"Reno End","")))</f>
        <v>Reno Start</v>
      </c>
      <c r="Z1" s="746" t="str">
        <f>IF(Z3='UW Model'!$O$14,"Reno Start",
IF(AND(Z3&gt;'UW Model'!$O$14,Z3&lt;'UW Model'!$O$15),"Rolling",
IF(Z3='UW Model'!$O$15,"Reno End","")))</f>
        <v>Rolling</v>
      </c>
      <c r="AA1" s="746" t="str">
        <f>IF(AA3='UW Model'!$O$14,"Reno Start",
IF(AND(AA3&gt;'UW Model'!$O$14,AA3&lt;'UW Model'!$O$15),"Rolling",
IF(AA3='UW Model'!$O$15,"Reno End","")))</f>
        <v>Rolling</v>
      </c>
      <c r="AB1" s="746" t="str">
        <f>IF(AB3='UW Model'!$O$14,"Reno Start",
IF(AND(AB3&gt;'UW Model'!$O$14,AB3&lt;'UW Model'!$O$15),"Rolling",
IF(AB3='UW Model'!$O$15,"Reno End","")))</f>
        <v>Rolling</v>
      </c>
      <c r="AC1" s="746" t="str">
        <f>IF(AC3='UW Model'!$O$14,"Reno Start",
IF(AND(AC3&gt;'UW Model'!$O$14,AC3&lt;'UW Model'!$O$15),"Rolling",
IF(AC3='UW Model'!$O$15,"Reno End","")))</f>
        <v>Rolling</v>
      </c>
      <c r="AD1" s="746" t="str">
        <f>IF(AD3='UW Model'!$O$14,"Reno Start",
IF(AND(AD3&gt;'UW Model'!$O$14,AD3&lt;'UW Model'!$O$15),"Rolling",
IF(AD3='UW Model'!$O$15,"Reno End","")))</f>
        <v>Rolling</v>
      </c>
      <c r="AE1" s="746" t="str">
        <f>IF(AE3='UW Model'!$O$14,"Reno Start",
IF(AND(AE3&gt;'UW Model'!$O$14,AE3&lt;'UW Model'!$O$15),"Rolling",
IF(AE3='UW Model'!$O$15,"Reno End","")))</f>
        <v>Rolling</v>
      </c>
      <c r="AF1" s="746" t="str">
        <f>IF(AF3='UW Model'!$O$14,"Reno Start",
IF(AND(AF3&gt;'UW Model'!$O$14,AF3&lt;'UW Model'!$O$15),"Rolling",
IF(AF3='UW Model'!$O$15,"Reno End","")))</f>
        <v>Rolling</v>
      </c>
      <c r="AG1" s="746" t="str">
        <f>IF(AG3='UW Model'!$O$14,"Reno Start",
IF(AND(AG3&gt;'UW Model'!$O$14,AG3&lt;'UW Model'!$O$15),"Rolling",
IF(AG3='UW Model'!$O$15,"Reno End","")))</f>
        <v>Rolling</v>
      </c>
      <c r="AH1" s="746" t="str">
        <f>IF(AH3='UW Model'!$O$14,"Reno Start",
IF(AND(AH3&gt;'UW Model'!$O$14,AH3&lt;'UW Model'!$O$15),"Rolling",
IF(AH3='UW Model'!$O$15,"Reno End","")))</f>
        <v>Rolling</v>
      </c>
      <c r="AI1" s="746" t="str">
        <f>IF(AI3='UW Model'!$O$14,"Reno Start",
IF(AND(AI3&gt;'UW Model'!$O$14,AI3&lt;'UW Model'!$O$15),"Rolling",
IF(AI3='UW Model'!$O$15,"Reno End","")))</f>
        <v>Reno End</v>
      </c>
      <c r="AJ1" s="746" t="str">
        <f>IF(AJ3='UW Model'!$O$14,"Reno Start",
IF(AND(AJ3&gt;'UW Model'!$O$14,AJ3&lt;'UW Model'!$O$15),"Rolling",
IF(AJ3='UW Model'!$O$15,"Reno End","")))</f>
        <v/>
      </c>
      <c r="AK1" s="746" t="str">
        <f>IF(AK3='UW Model'!$O$14,"Reno Start",
IF(AND(AK3&gt;'UW Model'!$O$14,AK3&lt;'UW Model'!$O$15),"Rolling",
IF(AK3='UW Model'!$O$15,"Reno End","")))</f>
        <v/>
      </c>
      <c r="AL1" s="746" t="str">
        <f>IF(AL3='UW Model'!$O$14,"Reno Start",
IF(AND(AL3&gt;'UW Model'!$O$14,AL3&lt;'UW Model'!$O$15),"Rolling",
IF(AL3='UW Model'!$O$15,"Reno End","")))</f>
        <v/>
      </c>
      <c r="AM1" s="746" t="str">
        <f>IF(AM3='UW Model'!$O$14,"Reno Start",
IF(AND(AM3&gt;'UW Model'!$O$14,AM3&lt;'UW Model'!$O$15),"Rolling",
IF(AM3='UW Model'!$O$15,"Reno End","")))</f>
        <v/>
      </c>
      <c r="AN1" s="746" t="str">
        <f>IF(AN3='UW Model'!$O$14,"Reno Start",
IF(AND(AN3&gt;'UW Model'!$O$14,AN3&lt;'UW Model'!$O$15),"Rolling",
IF(AN3='UW Model'!$O$15,"Reno End","")))</f>
        <v/>
      </c>
      <c r="AO1" s="746" t="str">
        <f>IF(AO3='UW Model'!$O$14,"Reno Start",
IF(AND(AO3&gt;'UW Model'!$O$14,AO3&lt;'UW Model'!$O$15),"Rolling",
IF(AO3='UW Model'!$O$15,"Reno End","")))</f>
        <v/>
      </c>
      <c r="AP1" s="746" t="str">
        <f>IF(AP3='UW Model'!$O$14,"Reno Start",
IF(AND(AP3&gt;'UW Model'!$O$14,AP3&lt;'UW Model'!$O$15),"Rolling",
IF(AP3='UW Model'!$O$15,"Reno End","")))</f>
        <v/>
      </c>
      <c r="AQ1" s="746" t="str">
        <f>IF(AQ3='UW Model'!$O$14,"Reno Start",
IF(AND(AQ3&gt;'UW Model'!$O$14,AQ3&lt;'UW Model'!$O$15),"Rolling",
IF(AQ3='UW Model'!$O$15,"Reno End","")))</f>
        <v/>
      </c>
      <c r="AR1" s="746" t="str">
        <f>IF(AR3='UW Model'!$O$14,"Reno Start",
IF(AND(AR3&gt;'UW Model'!$O$14,AR3&lt;'UW Model'!$O$15),"Rolling",
IF(AR3='UW Model'!$O$15,"Reno End","")))</f>
        <v/>
      </c>
      <c r="AS1" s="746" t="str">
        <f>IF(AS3='UW Model'!$O$14,"Reno Start",
IF(AND(AS3&gt;'UW Model'!$O$14,AS3&lt;'UW Model'!$O$15),"Rolling",
IF(AS3='UW Model'!$O$15,"Reno End","")))</f>
        <v/>
      </c>
      <c r="AT1" s="746" t="str">
        <f>IF(AT3='UW Model'!$O$14,"Reno Start",
IF(AND(AT3&gt;'UW Model'!$O$14,AT3&lt;'UW Model'!$O$15),"Rolling",
IF(AT3='UW Model'!$O$15,"Reno End","")))</f>
        <v/>
      </c>
      <c r="AU1" s="746" t="str">
        <f>IF(AU3='UW Model'!$O$14,"Reno Start",
IF(AND(AU3&gt;'UW Model'!$O$14,AU3&lt;'UW Model'!$O$15),"Rolling",
IF(AU3='UW Model'!$O$15,"Reno End","")))</f>
        <v/>
      </c>
      <c r="AV1" s="746" t="str">
        <f>IF(AV3='UW Model'!$O$14,"Reno Start",
IF(AND(AV3&gt;'UW Model'!$O$14,AV3&lt;'UW Model'!$O$15),"Rolling",
IF(AV3='UW Model'!$O$15,"Reno End","")))</f>
        <v/>
      </c>
      <c r="AW1" s="746" t="str">
        <f>IF(AW3='UW Model'!$O$14,"Reno Start",
IF(AND(AW3&gt;'UW Model'!$O$14,AW3&lt;'UW Model'!$O$15),"Rolling",
IF(AW3='UW Model'!$O$15,"Reno End","")))</f>
        <v/>
      </c>
      <c r="AX1" s="746" t="str">
        <f>IF(AX3='UW Model'!$O$14,"Reno Start",
IF(AND(AX3&gt;'UW Model'!$O$14,AX3&lt;'UW Model'!$O$15),"Rolling",
IF(AX3='UW Model'!$O$15,"Reno End","")))</f>
        <v/>
      </c>
      <c r="AY1" s="746" t="str">
        <f>IF(AY3='UW Model'!$O$14,"Reno Start",
IF(AND(AY3&gt;'UW Model'!$O$14,AY3&lt;'UW Model'!$O$15),"Rolling",
IF(AY3='UW Model'!$O$15,"Reno End","")))</f>
        <v/>
      </c>
      <c r="AZ1" s="746" t="str">
        <f>IF(AZ3='UW Model'!$O$14,"Reno Start",
IF(AND(AZ3&gt;'UW Model'!$O$14,AZ3&lt;'UW Model'!$O$15),"Rolling",
IF(AZ3='UW Model'!$O$15,"Reno End","")))</f>
        <v/>
      </c>
      <c r="BA1" s="746" t="str">
        <f>IF(BA3='UW Model'!$O$14,"Reno Start",
IF(AND(BA3&gt;'UW Model'!$O$14,BA3&lt;'UW Model'!$O$15),"Rolling",
IF(BA3='UW Model'!$O$15,"Reno End","")))</f>
        <v/>
      </c>
      <c r="BB1" s="746" t="str">
        <f>IF(BB3='UW Model'!$O$14,"Reno Start",
IF(AND(BB3&gt;'UW Model'!$O$14,BB3&lt;'UW Model'!$O$15),"Rolling",
IF(BB3='UW Model'!$O$15,"Reno End","")))</f>
        <v/>
      </c>
      <c r="BC1" s="746" t="str">
        <f>IF(BC3='UW Model'!$O$14,"Reno Start",
IF(AND(BC3&gt;'UW Model'!$O$14,BC3&lt;'UW Model'!$O$15),"Rolling",
IF(BC3='UW Model'!$O$15,"Reno End","")))</f>
        <v/>
      </c>
      <c r="BD1" s="746" t="str">
        <f>IF(BD3='UW Model'!$O$14,"Reno Start",
IF(AND(BD3&gt;'UW Model'!$O$14,BD3&lt;'UW Model'!$O$15),"Rolling",
IF(BD3='UW Model'!$O$15,"Reno End","")))</f>
        <v/>
      </c>
      <c r="BE1" s="746" t="str">
        <f>IF(BE3='UW Model'!$O$14,"Reno Start",
IF(AND(BE3&gt;'UW Model'!$O$14,BE3&lt;'UW Model'!$O$15),"Rolling",
IF(BE3='UW Model'!$O$15,"Reno End","")))</f>
        <v/>
      </c>
      <c r="BF1" s="746" t="str">
        <f>IF(BF3='UW Model'!$O$14,"Reno Start",
IF(AND(BF3&gt;'UW Model'!$O$14,BF3&lt;'UW Model'!$O$15),"Rolling",
IF(BF3='UW Model'!$O$15,"Reno End","")))</f>
        <v/>
      </c>
      <c r="BG1" s="746" t="str">
        <f>IF(BG3='UW Model'!$O$14,"Reno Start",
IF(AND(BG3&gt;'UW Model'!$O$14,BG3&lt;'UW Model'!$O$15),"Rolling",
IF(BG3='UW Model'!$O$15,"Reno End","")))</f>
        <v/>
      </c>
      <c r="BH1" s="746" t="str">
        <f>IF(BH3='UW Model'!$O$14,"Reno Start",
IF(AND(BH3&gt;'UW Model'!$O$14,BH3&lt;'UW Model'!$O$15),"Rolling",
IF(BH3='UW Model'!$O$15,"Reno End","")))</f>
        <v/>
      </c>
      <c r="BI1" s="746" t="str">
        <f>IF(BI3='UW Model'!$O$14,"Reno Start",
IF(AND(BI3&gt;'UW Model'!$O$14,BI3&lt;'UW Model'!$O$15),"Rolling",
IF(BI3='UW Model'!$O$15,"Reno End","")))</f>
        <v/>
      </c>
      <c r="BJ1" s="746" t="str">
        <f>IF(BJ3='UW Model'!$O$14,"Reno Start",
IF(AND(BJ3&gt;'UW Model'!$O$14,BJ3&lt;'UW Model'!$O$15),"Rolling",
IF(BJ3='UW Model'!$O$15,"Reno End","")))</f>
        <v/>
      </c>
      <c r="BK1" s="746" t="str">
        <f>IF(BK3='UW Model'!$O$14,"Reno Start",
IF(AND(BK3&gt;'UW Model'!$O$14,BK3&lt;'UW Model'!$O$15),"Rolling",
IF(BK3='UW Model'!$O$15,"Reno End","")))</f>
        <v/>
      </c>
      <c r="BL1" s="746" t="str">
        <f>IF(BL3='UW Model'!$O$14,"Reno Start",
IF(AND(BL3&gt;'UW Model'!$O$14,BL3&lt;'UW Model'!$O$15),"Rolling",
IF(BL3='UW Model'!$O$15,"Reno End","")))</f>
        <v/>
      </c>
      <c r="BM1" s="746" t="str">
        <f>IF(BM3='UW Model'!$O$14,"Reno Start",
IF(AND(BM3&gt;'UW Model'!$O$14,BM3&lt;'UW Model'!$O$15),"Rolling",
IF(BM3='UW Model'!$O$15,"Reno End","")))</f>
        <v/>
      </c>
      <c r="BN1" s="746" t="str">
        <f>IF(BN3='UW Model'!$O$14,"Reno Start",
IF(AND(BN3&gt;'UW Model'!$O$14,BN3&lt;'UW Model'!$O$15),"Rolling",
IF(BN3='UW Model'!$O$15,"Reno End","")))</f>
        <v/>
      </c>
      <c r="BO1" s="746" t="str">
        <f>IF(BO3='UW Model'!$O$14,"Reno Start",
IF(AND(BO3&gt;'UW Model'!$O$14,BO3&lt;'UW Model'!$O$15),"Rolling",
IF(BO3='UW Model'!$O$15,"Reno End","")))</f>
        <v/>
      </c>
      <c r="BP1" s="746" t="str">
        <f>IF(BP3='UW Model'!$O$14,"Reno Start",
IF(AND(BP3&gt;'UW Model'!$O$14,BP3&lt;'UW Model'!$O$15),"Rolling",
IF(BP3='UW Model'!$O$15,"Reno End","")))</f>
        <v/>
      </c>
      <c r="BQ1" s="746" t="str">
        <f>IF(BQ3='UW Model'!$O$14,"Reno Start",
IF(AND(BQ3&gt;'UW Model'!$O$14,BQ3&lt;'UW Model'!$O$15),"Rolling",
IF(BQ3='UW Model'!$O$15,"Reno End","")))</f>
        <v/>
      </c>
      <c r="BR1" s="746" t="str">
        <f>IF(BR3='UW Model'!$O$14,"Reno Start",
IF(AND(BR3&gt;'UW Model'!$O$14,BR3&lt;'UW Model'!$O$15),"Rolling",
IF(BR3='UW Model'!$O$15,"Reno End","")))</f>
        <v/>
      </c>
      <c r="BS1" s="746" t="str">
        <f>IF(BS3='UW Model'!$O$14,"Reno Start",
IF(AND(BS3&gt;'UW Model'!$O$14,BS3&lt;'UW Model'!$O$15),"Rolling",
IF(BS3='UW Model'!$O$15,"Reno End","")))</f>
        <v/>
      </c>
      <c r="BT1" s="746" t="str">
        <f>IF(BT3='UW Model'!$O$14,"Reno Start",
IF(AND(BT3&gt;'UW Model'!$O$14,BT3&lt;'UW Model'!$O$15),"Rolling",
IF(BT3='UW Model'!$O$15,"Reno End","")))</f>
        <v/>
      </c>
      <c r="BU1" s="746" t="str">
        <f>IF(BU3='UW Model'!$O$14,"Reno Start",
IF(AND(BU3&gt;'UW Model'!$O$14,BU3&lt;'UW Model'!$O$15),"Rolling",
IF(BU3='UW Model'!$O$15,"Reno End","")))</f>
        <v/>
      </c>
      <c r="BV1" s="746" t="str">
        <f>IF(BV3='UW Model'!$O$14,"Reno Start",
IF(AND(BV3&gt;'UW Model'!$O$14,BV3&lt;'UW Model'!$O$15),"Rolling",
IF(BV3='UW Model'!$O$15,"Reno End","")))</f>
        <v/>
      </c>
      <c r="BW1" s="746" t="str">
        <f>IF(BW3='UW Model'!$O$14,"Reno Start",
IF(AND(BW3&gt;'UW Model'!$O$14,BW3&lt;'UW Model'!$O$15),"Rolling",
IF(BW3='UW Model'!$O$15,"Reno End","")))</f>
        <v/>
      </c>
      <c r="BX1" s="746" t="str">
        <f>IF(BX3='UW Model'!$O$14,"Reno Start",
IF(AND(BX3&gt;'UW Model'!$O$14,BX3&lt;'UW Model'!$O$15),"Rolling",
IF(BX3='UW Model'!$O$15,"Reno End","")))</f>
        <v/>
      </c>
      <c r="BY1" s="746" t="str">
        <f>IF(BY3='UW Model'!$O$14,"Reno Start",
IF(AND(BY3&gt;'UW Model'!$O$14,BY3&lt;'UW Model'!$O$15),"Rolling",
IF(BY3='UW Model'!$O$15,"Reno End","")))</f>
        <v/>
      </c>
      <c r="BZ1" s="746" t="str">
        <f>IF(BZ3='UW Model'!$O$14,"Reno Start",
IF(AND(BZ3&gt;'UW Model'!$O$14,BZ3&lt;'UW Model'!$O$15),"Rolling",
IF(BZ3='UW Model'!$O$15,"Reno End","")))</f>
        <v/>
      </c>
      <c r="CA1" s="746" t="str">
        <f>IF(CA3='UW Model'!$O$14,"Reno Start",
IF(AND(CA3&gt;'UW Model'!$O$14,CA3&lt;'UW Model'!$O$15),"Rolling",
IF(CA3='UW Model'!$O$15,"Reno End","")))</f>
        <v/>
      </c>
      <c r="CB1" s="746" t="str">
        <f>IF(CB3='UW Model'!$O$14,"Reno Start",
IF(AND(CB3&gt;'UW Model'!$O$14,CB3&lt;'UW Model'!$O$15),"Rolling",
IF(CB3='UW Model'!$O$15,"Reno End","")))</f>
        <v/>
      </c>
      <c r="CC1" s="746" t="str">
        <f>IF(CC3='UW Model'!$O$14,"Reno Start",
IF(AND(CC3&gt;'UW Model'!$O$14,CC3&lt;'UW Model'!$O$15),"Rolling",
IF(CC3='UW Model'!$O$15,"Reno End","")))</f>
        <v/>
      </c>
      <c r="CD1" s="746" t="str">
        <f>IF(CD3='UW Model'!$O$14,"Reno Start",
IF(AND(CD3&gt;'UW Model'!$O$14,CD3&lt;'UW Model'!$O$15),"Rolling",
IF(CD3='UW Model'!$O$15,"Reno End","")))</f>
        <v/>
      </c>
      <c r="CE1" s="746" t="str">
        <f>IF(CE3='UW Model'!$O$14,"Reno Start",
IF(AND(CE3&gt;'UW Model'!$O$14,CE3&lt;'UW Model'!$O$15),"Rolling",
IF(CE3='UW Model'!$O$15,"Reno End","")))</f>
        <v/>
      </c>
    </row>
    <row r="2" spans="2:83" ht="14.5" customHeight="1" x14ac:dyDescent="0.35">
      <c r="B2" s="931" t="s">
        <v>271</v>
      </c>
      <c r="C2" s="931"/>
      <c r="D2" s="931"/>
      <c r="E2" s="931"/>
      <c r="F2" s="930" t="s">
        <v>286</v>
      </c>
      <c r="G2" s="930"/>
      <c r="H2" s="930"/>
      <c r="I2" s="930"/>
      <c r="J2" s="930"/>
      <c r="K2" s="930"/>
      <c r="L2" s="930"/>
      <c r="M2" s="930"/>
      <c r="N2" s="930"/>
      <c r="P2" s="713"/>
      <c r="Q2" s="783" t="s">
        <v>197</v>
      </c>
      <c r="R2" s="680">
        <v>1</v>
      </c>
      <c r="S2" s="680">
        <v>2</v>
      </c>
      <c r="T2" s="680">
        <v>3</v>
      </c>
      <c r="U2" s="680">
        <v>4</v>
      </c>
      <c r="V2" s="681">
        <v>5</v>
      </c>
      <c r="W2" s="679">
        <v>0</v>
      </c>
      <c r="X2" s="679">
        <v>1</v>
      </c>
      <c r="Y2" s="680">
        <v>1</v>
      </c>
      <c r="Z2" s="680">
        <v>1</v>
      </c>
      <c r="AA2" s="680">
        <v>1</v>
      </c>
      <c r="AB2" s="680">
        <v>1</v>
      </c>
      <c r="AC2" s="680">
        <v>1</v>
      </c>
      <c r="AD2" s="680">
        <v>1</v>
      </c>
      <c r="AE2" s="680">
        <v>1</v>
      </c>
      <c r="AF2" s="680">
        <v>1</v>
      </c>
      <c r="AG2" s="680">
        <v>1</v>
      </c>
      <c r="AH2" s="680">
        <v>1</v>
      </c>
      <c r="AI2" s="681">
        <v>1</v>
      </c>
      <c r="AJ2" s="679">
        <v>2</v>
      </c>
      <c r="AK2" s="680">
        <v>2</v>
      </c>
      <c r="AL2" s="680">
        <v>2</v>
      </c>
      <c r="AM2" s="680">
        <v>2</v>
      </c>
      <c r="AN2" s="680">
        <v>2</v>
      </c>
      <c r="AO2" s="680">
        <v>2</v>
      </c>
      <c r="AP2" s="680">
        <v>2</v>
      </c>
      <c r="AQ2" s="680">
        <v>2</v>
      </c>
      <c r="AR2" s="680">
        <v>2</v>
      </c>
      <c r="AS2" s="680">
        <v>2</v>
      </c>
      <c r="AT2" s="680">
        <v>2</v>
      </c>
      <c r="AU2" s="681">
        <v>2</v>
      </c>
      <c r="AV2" s="680">
        <v>3</v>
      </c>
      <c r="AW2" s="680">
        <v>3</v>
      </c>
      <c r="AX2" s="680">
        <v>3</v>
      </c>
      <c r="AY2" s="680">
        <v>3</v>
      </c>
      <c r="AZ2" s="680">
        <v>3</v>
      </c>
      <c r="BA2" s="680">
        <v>3</v>
      </c>
      <c r="BB2" s="680">
        <v>3</v>
      </c>
      <c r="BC2" s="680">
        <v>3</v>
      </c>
      <c r="BD2" s="680">
        <v>3</v>
      </c>
      <c r="BE2" s="680">
        <v>3</v>
      </c>
      <c r="BF2" s="680">
        <v>3</v>
      </c>
      <c r="BG2" s="681">
        <v>3</v>
      </c>
      <c r="BH2" s="680">
        <v>4</v>
      </c>
      <c r="BI2" s="680">
        <v>4</v>
      </c>
      <c r="BJ2" s="680">
        <v>4</v>
      </c>
      <c r="BK2" s="680">
        <v>4</v>
      </c>
      <c r="BL2" s="680">
        <v>4</v>
      </c>
      <c r="BM2" s="680">
        <v>4</v>
      </c>
      <c r="BN2" s="680">
        <v>4</v>
      </c>
      <c r="BO2" s="680">
        <v>4</v>
      </c>
      <c r="BP2" s="680">
        <v>4</v>
      </c>
      <c r="BQ2" s="680">
        <v>4</v>
      </c>
      <c r="BR2" s="680">
        <v>4</v>
      </c>
      <c r="BS2" s="681">
        <v>4</v>
      </c>
      <c r="BT2" s="680">
        <v>5</v>
      </c>
      <c r="BU2" s="680">
        <f>BT2</f>
        <v>5</v>
      </c>
      <c r="BV2" s="680">
        <f t="shared" ref="BV2:CE2" si="0">BU2</f>
        <v>5</v>
      </c>
      <c r="BW2" s="680">
        <f t="shared" si="0"/>
        <v>5</v>
      </c>
      <c r="BX2" s="680">
        <f t="shared" si="0"/>
        <v>5</v>
      </c>
      <c r="BY2" s="680">
        <f t="shared" si="0"/>
        <v>5</v>
      </c>
      <c r="BZ2" s="680">
        <f t="shared" si="0"/>
        <v>5</v>
      </c>
      <c r="CA2" s="680">
        <f t="shared" si="0"/>
        <v>5</v>
      </c>
      <c r="CB2" s="680">
        <f t="shared" si="0"/>
        <v>5</v>
      </c>
      <c r="CC2" s="680">
        <f t="shared" si="0"/>
        <v>5</v>
      </c>
      <c r="CD2" s="680">
        <f t="shared" si="0"/>
        <v>5</v>
      </c>
      <c r="CE2" s="682">
        <f t="shared" si="0"/>
        <v>5</v>
      </c>
    </row>
    <row r="3" spans="2:83" ht="15" customHeight="1" x14ac:dyDescent="0.35">
      <c r="B3" s="931"/>
      <c r="C3" s="931"/>
      <c r="D3" s="931"/>
      <c r="E3" s="931"/>
      <c r="F3" s="930"/>
      <c r="G3" s="930"/>
      <c r="H3" s="930"/>
      <c r="I3" s="930"/>
      <c r="J3" s="930"/>
      <c r="K3" s="930"/>
      <c r="L3" s="930"/>
      <c r="M3" s="930"/>
      <c r="N3" s="930"/>
      <c r="P3" s="772"/>
      <c r="Q3" s="784" t="s">
        <v>196</v>
      </c>
      <c r="R3" s="782" t="s">
        <v>254</v>
      </c>
      <c r="S3" s="782" t="s">
        <v>254</v>
      </c>
      <c r="T3" s="782" t="s">
        <v>254</v>
      </c>
      <c r="U3" s="782" t="s">
        <v>254</v>
      </c>
      <c r="V3" s="782" t="s">
        <v>254</v>
      </c>
      <c r="W3" s="773">
        <v>0</v>
      </c>
      <c r="X3" s="773">
        <v>1</v>
      </c>
      <c r="Y3" s="774">
        <v>2</v>
      </c>
      <c r="Z3" s="774">
        <v>3</v>
      </c>
      <c r="AA3" s="774">
        <v>4</v>
      </c>
      <c r="AB3" s="774">
        <v>5</v>
      </c>
      <c r="AC3" s="774">
        <v>6</v>
      </c>
      <c r="AD3" s="774">
        <v>7</v>
      </c>
      <c r="AE3" s="774">
        <v>8</v>
      </c>
      <c r="AF3" s="774">
        <v>9</v>
      </c>
      <c r="AG3" s="774">
        <v>10</v>
      </c>
      <c r="AH3" s="774">
        <v>11</v>
      </c>
      <c r="AI3" s="775">
        <v>12</v>
      </c>
      <c r="AJ3" s="773">
        <v>13</v>
      </c>
      <c r="AK3" s="774">
        <v>14</v>
      </c>
      <c r="AL3" s="774">
        <v>15</v>
      </c>
      <c r="AM3" s="774">
        <v>16</v>
      </c>
      <c r="AN3" s="774">
        <v>17</v>
      </c>
      <c r="AO3" s="774">
        <v>18</v>
      </c>
      <c r="AP3" s="774">
        <v>19</v>
      </c>
      <c r="AQ3" s="774">
        <v>20</v>
      </c>
      <c r="AR3" s="774">
        <v>21</v>
      </c>
      <c r="AS3" s="774">
        <v>22</v>
      </c>
      <c r="AT3" s="774">
        <v>23</v>
      </c>
      <c r="AU3" s="775">
        <v>24</v>
      </c>
      <c r="AV3" s="774">
        <v>25</v>
      </c>
      <c r="AW3" s="774">
        <v>26</v>
      </c>
      <c r="AX3" s="774">
        <v>27</v>
      </c>
      <c r="AY3" s="774">
        <v>28</v>
      </c>
      <c r="AZ3" s="774">
        <v>29</v>
      </c>
      <c r="BA3" s="774">
        <v>30</v>
      </c>
      <c r="BB3" s="774">
        <v>31</v>
      </c>
      <c r="BC3" s="774">
        <v>32</v>
      </c>
      <c r="BD3" s="774">
        <v>33</v>
      </c>
      <c r="BE3" s="774">
        <v>34</v>
      </c>
      <c r="BF3" s="774">
        <v>35</v>
      </c>
      <c r="BG3" s="775">
        <v>36</v>
      </c>
      <c r="BH3" s="774">
        <f t="shared" ref="BH3:BS3" si="1">BG3+1</f>
        <v>37</v>
      </c>
      <c r="BI3" s="774">
        <f t="shared" si="1"/>
        <v>38</v>
      </c>
      <c r="BJ3" s="774">
        <f t="shared" si="1"/>
        <v>39</v>
      </c>
      <c r="BK3" s="774">
        <f t="shared" si="1"/>
        <v>40</v>
      </c>
      <c r="BL3" s="774">
        <f t="shared" si="1"/>
        <v>41</v>
      </c>
      <c r="BM3" s="774">
        <f t="shared" si="1"/>
        <v>42</v>
      </c>
      <c r="BN3" s="774">
        <f t="shared" si="1"/>
        <v>43</v>
      </c>
      <c r="BO3" s="774">
        <f t="shared" si="1"/>
        <v>44</v>
      </c>
      <c r="BP3" s="774">
        <f t="shared" si="1"/>
        <v>45</v>
      </c>
      <c r="BQ3" s="774">
        <f t="shared" si="1"/>
        <v>46</v>
      </c>
      <c r="BR3" s="774">
        <f t="shared" si="1"/>
        <v>47</v>
      </c>
      <c r="BS3" s="775">
        <f t="shared" si="1"/>
        <v>48</v>
      </c>
      <c r="BT3" s="774">
        <f t="shared" ref="BT3" si="2">BS3+1</f>
        <v>49</v>
      </c>
      <c r="BU3" s="774">
        <f t="shared" ref="BU3" si="3">BT3+1</f>
        <v>50</v>
      </c>
      <c r="BV3" s="774">
        <f t="shared" ref="BV3" si="4">BU3+1</f>
        <v>51</v>
      </c>
      <c r="BW3" s="774">
        <f t="shared" ref="BW3" si="5">BV3+1</f>
        <v>52</v>
      </c>
      <c r="BX3" s="774">
        <f t="shared" ref="BX3" si="6">BW3+1</f>
        <v>53</v>
      </c>
      <c r="BY3" s="774">
        <f t="shared" ref="BY3" si="7">BX3+1</f>
        <v>54</v>
      </c>
      <c r="BZ3" s="774">
        <f t="shared" ref="BZ3" si="8">BY3+1</f>
        <v>55</v>
      </c>
      <c r="CA3" s="774">
        <f t="shared" ref="CA3" si="9">BZ3+1</f>
        <v>56</v>
      </c>
      <c r="CB3" s="774">
        <f t="shared" ref="CB3" si="10">CA3+1</f>
        <v>57</v>
      </c>
      <c r="CC3" s="774">
        <f t="shared" ref="CC3" si="11">CB3+1</f>
        <v>58</v>
      </c>
      <c r="CD3" s="774">
        <f t="shared" ref="CD3" si="12">CC3+1</f>
        <v>59</v>
      </c>
      <c r="CE3" s="776">
        <f t="shared" ref="CE3" si="13">CD3+1</f>
        <v>60</v>
      </c>
    </row>
    <row r="4" spans="2:83" ht="15" customHeight="1" thickBot="1" x14ac:dyDescent="0.4">
      <c r="B4" s="931"/>
      <c r="C4" s="931"/>
      <c r="D4" s="931"/>
      <c r="E4" s="931"/>
      <c r="F4" s="930"/>
      <c r="G4" s="930"/>
      <c r="H4" s="930"/>
      <c r="I4" s="930"/>
      <c r="J4" s="930"/>
      <c r="K4" s="930"/>
      <c r="L4" s="930"/>
      <c r="M4" s="930"/>
      <c r="N4" s="930"/>
      <c r="P4" s="714"/>
      <c r="Q4" s="785" t="s">
        <v>233</v>
      </c>
      <c r="R4" s="778">
        <f t="shared" ref="R4:U4" ca="1" si="14">_xlfn.MAXIFS($X4:$BS4,$X$2:$BS$2,R$2)</f>
        <v>45529</v>
      </c>
      <c r="S4" s="779">
        <f t="shared" ca="1" si="14"/>
        <v>45894</v>
      </c>
      <c r="T4" s="779">
        <f t="shared" ca="1" si="14"/>
        <v>46259</v>
      </c>
      <c r="U4" s="779">
        <f t="shared" ca="1" si="14"/>
        <v>46624</v>
      </c>
      <c r="V4" s="779">
        <f t="shared" ref="V4:V6" ca="1" si="15">_xlfn.MAXIFS($X4:$CE4,$X$2:$CE$2,V$2)</f>
        <v>46990</v>
      </c>
      <c r="W4" s="778">
        <f ca="1">'UW Model'!G13</f>
        <v>45163</v>
      </c>
      <c r="X4" s="778">
        <f ca="1">EDATE(W4,1)</f>
        <v>45194</v>
      </c>
      <c r="Y4" s="779">
        <f t="shared" ref="Y4:CE4" ca="1" si="16">EDATE(X4,1)</f>
        <v>45224</v>
      </c>
      <c r="Z4" s="779">
        <f t="shared" ca="1" si="16"/>
        <v>45255</v>
      </c>
      <c r="AA4" s="779">
        <f t="shared" ca="1" si="16"/>
        <v>45285</v>
      </c>
      <c r="AB4" s="779">
        <f t="shared" ca="1" si="16"/>
        <v>45316</v>
      </c>
      <c r="AC4" s="779">
        <f t="shared" ca="1" si="16"/>
        <v>45347</v>
      </c>
      <c r="AD4" s="779">
        <f t="shared" ca="1" si="16"/>
        <v>45376</v>
      </c>
      <c r="AE4" s="779">
        <f t="shared" ca="1" si="16"/>
        <v>45407</v>
      </c>
      <c r="AF4" s="779">
        <f t="shared" ca="1" si="16"/>
        <v>45437</v>
      </c>
      <c r="AG4" s="779">
        <f t="shared" ca="1" si="16"/>
        <v>45468</v>
      </c>
      <c r="AH4" s="779">
        <f t="shared" ca="1" si="16"/>
        <v>45498</v>
      </c>
      <c r="AI4" s="780">
        <f t="shared" ca="1" si="16"/>
        <v>45529</v>
      </c>
      <c r="AJ4" s="778">
        <f t="shared" ca="1" si="16"/>
        <v>45560</v>
      </c>
      <c r="AK4" s="779">
        <f t="shared" ca="1" si="16"/>
        <v>45590</v>
      </c>
      <c r="AL4" s="779">
        <f t="shared" ca="1" si="16"/>
        <v>45621</v>
      </c>
      <c r="AM4" s="779">
        <f t="shared" ca="1" si="16"/>
        <v>45651</v>
      </c>
      <c r="AN4" s="779">
        <f t="shared" ca="1" si="16"/>
        <v>45682</v>
      </c>
      <c r="AO4" s="779">
        <f t="shared" ca="1" si="16"/>
        <v>45713</v>
      </c>
      <c r="AP4" s="779">
        <f t="shared" ca="1" si="16"/>
        <v>45741</v>
      </c>
      <c r="AQ4" s="779">
        <f t="shared" ca="1" si="16"/>
        <v>45772</v>
      </c>
      <c r="AR4" s="779">
        <f t="shared" ca="1" si="16"/>
        <v>45802</v>
      </c>
      <c r="AS4" s="779">
        <f t="shared" ca="1" si="16"/>
        <v>45833</v>
      </c>
      <c r="AT4" s="779">
        <f t="shared" ca="1" si="16"/>
        <v>45863</v>
      </c>
      <c r="AU4" s="780">
        <f t="shared" ca="1" si="16"/>
        <v>45894</v>
      </c>
      <c r="AV4" s="779">
        <f t="shared" ca="1" si="16"/>
        <v>45925</v>
      </c>
      <c r="AW4" s="779">
        <f t="shared" ca="1" si="16"/>
        <v>45955</v>
      </c>
      <c r="AX4" s="779">
        <f t="shared" ca="1" si="16"/>
        <v>45986</v>
      </c>
      <c r="AY4" s="779">
        <f t="shared" ca="1" si="16"/>
        <v>46016</v>
      </c>
      <c r="AZ4" s="779">
        <f t="shared" ca="1" si="16"/>
        <v>46047</v>
      </c>
      <c r="BA4" s="779">
        <f t="shared" ca="1" si="16"/>
        <v>46078</v>
      </c>
      <c r="BB4" s="779">
        <f t="shared" ca="1" si="16"/>
        <v>46106</v>
      </c>
      <c r="BC4" s="779">
        <f t="shared" ca="1" si="16"/>
        <v>46137</v>
      </c>
      <c r="BD4" s="779">
        <f t="shared" ca="1" si="16"/>
        <v>46167</v>
      </c>
      <c r="BE4" s="779">
        <f t="shared" ca="1" si="16"/>
        <v>46198</v>
      </c>
      <c r="BF4" s="779">
        <f t="shared" ca="1" si="16"/>
        <v>46228</v>
      </c>
      <c r="BG4" s="780">
        <f t="shared" ca="1" si="16"/>
        <v>46259</v>
      </c>
      <c r="BH4" s="779">
        <f t="shared" ca="1" si="16"/>
        <v>46290</v>
      </c>
      <c r="BI4" s="779">
        <f t="shared" ca="1" si="16"/>
        <v>46320</v>
      </c>
      <c r="BJ4" s="779">
        <f t="shared" ca="1" si="16"/>
        <v>46351</v>
      </c>
      <c r="BK4" s="779">
        <f t="shared" ca="1" si="16"/>
        <v>46381</v>
      </c>
      <c r="BL4" s="779">
        <f t="shared" ca="1" si="16"/>
        <v>46412</v>
      </c>
      <c r="BM4" s="779">
        <f t="shared" ca="1" si="16"/>
        <v>46443</v>
      </c>
      <c r="BN4" s="779">
        <f t="shared" ca="1" si="16"/>
        <v>46471</v>
      </c>
      <c r="BO4" s="779">
        <f t="shared" ca="1" si="16"/>
        <v>46502</v>
      </c>
      <c r="BP4" s="779">
        <f t="shared" ca="1" si="16"/>
        <v>46532</v>
      </c>
      <c r="BQ4" s="779">
        <f t="shared" ca="1" si="16"/>
        <v>46563</v>
      </c>
      <c r="BR4" s="779">
        <f t="shared" ca="1" si="16"/>
        <v>46593</v>
      </c>
      <c r="BS4" s="780">
        <f t="shared" ca="1" si="16"/>
        <v>46624</v>
      </c>
      <c r="BT4" s="779">
        <f t="shared" ca="1" si="16"/>
        <v>46655</v>
      </c>
      <c r="BU4" s="779">
        <f t="shared" ca="1" si="16"/>
        <v>46685</v>
      </c>
      <c r="BV4" s="779">
        <f t="shared" ca="1" si="16"/>
        <v>46716</v>
      </c>
      <c r="BW4" s="779">
        <f t="shared" ca="1" si="16"/>
        <v>46746</v>
      </c>
      <c r="BX4" s="779">
        <f t="shared" ca="1" si="16"/>
        <v>46777</v>
      </c>
      <c r="BY4" s="779">
        <f t="shared" ca="1" si="16"/>
        <v>46808</v>
      </c>
      <c r="BZ4" s="779">
        <f t="shared" ca="1" si="16"/>
        <v>46837</v>
      </c>
      <c r="CA4" s="779">
        <f t="shared" ca="1" si="16"/>
        <v>46868</v>
      </c>
      <c r="CB4" s="779">
        <f t="shared" ca="1" si="16"/>
        <v>46898</v>
      </c>
      <c r="CC4" s="779">
        <f t="shared" ca="1" si="16"/>
        <v>46929</v>
      </c>
      <c r="CD4" s="779">
        <f t="shared" ca="1" si="16"/>
        <v>46959</v>
      </c>
      <c r="CE4" s="781">
        <f t="shared" ca="1" si="16"/>
        <v>46990</v>
      </c>
    </row>
    <row r="5" spans="2:83" ht="14.5" customHeight="1" x14ac:dyDescent="0.35">
      <c r="P5" s="932" t="s">
        <v>273</v>
      </c>
      <c r="Q5" s="749" t="s">
        <v>261</v>
      </c>
      <c r="R5" s="202">
        <f t="shared" ref="R5:T5" si="17">SUM(R6:R20)</f>
        <v>0</v>
      </c>
      <c r="S5" s="202">
        <f t="shared" si="17"/>
        <v>0</v>
      </c>
      <c r="T5" s="202">
        <f t="shared" si="17"/>
        <v>0</v>
      </c>
      <c r="U5" s="202">
        <f>SUM(U6:U20)</f>
        <v>0</v>
      </c>
      <c r="V5" s="203">
        <f>SUM(V6:V20)</f>
        <v>0</v>
      </c>
      <c r="W5" s="206">
        <f t="shared" ref="W5" si="18">SUM(W6:W20)</f>
        <v>0</v>
      </c>
      <c r="X5" s="206">
        <f t="shared" ref="X5:Y5" si="19">SUM(X6:X20)</f>
        <v>0</v>
      </c>
      <c r="Y5" s="204">
        <f t="shared" si="19"/>
        <v>0</v>
      </c>
      <c r="Z5" s="204">
        <f>SUM(Z6:Z20)</f>
        <v>0</v>
      </c>
      <c r="AA5" s="204">
        <f t="shared" ref="AA5:BS5" si="20">SUM(AA6:AA20)</f>
        <v>0</v>
      </c>
      <c r="AB5" s="204">
        <f>SUM(AB6:AB20)</f>
        <v>0</v>
      </c>
      <c r="AC5" s="204">
        <f t="shared" si="20"/>
        <v>0</v>
      </c>
      <c r="AD5" s="204">
        <f t="shared" si="20"/>
        <v>0</v>
      </c>
      <c r="AE5" s="204">
        <f t="shared" si="20"/>
        <v>0</v>
      </c>
      <c r="AF5" s="204">
        <f t="shared" si="20"/>
        <v>0</v>
      </c>
      <c r="AG5" s="204">
        <f t="shared" si="20"/>
        <v>0</v>
      </c>
      <c r="AH5" s="204">
        <f t="shared" si="20"/>
        <v>0</v>
      </c>
      <c r="AI5" s="205">
        <f t="shared" si="20"/>
        <v>0</v>
      </c>
      <c r="AJ5" s="206">
        <f t="shared" si="20"/>
        <v>0</v>
      </c>
      <c r="AK5" s="204">
        <f t="shared" si="20"/>
        <v>0</v>
      </c>
      <c r="AL5" s="204">
        <f t="shared" si="20"/>
        <v>0</v>
      </c>
      <c r="AM5" s="204">
        <f t="shared" si="20"/>
        <v>0</v>
      </c>
      <c r="AN5" s="204">
        <f t="shared" si="20"/>
        <v>0</v>
      </c>
      <c r="AO5" s="204">
        <f t="shared" si="20"/>
        <v>0</v>
      </c>
      <c r="AP5" s="204">
        <f t="shared" si="20"/>
        <v>0</v>
      </c>
      <c r="AQ5" s="204">
        <f t="shared" si="20"/>
        <v>0</v>
      </c>
      <c r="AR5" s="204">
        <f t="shared" si="20"/>
        <v>0</v>
      </c>
      <c r="AS5" s="204">
        <f t="shared" si="20"/>
        <v>0</v>
      </c>
      <c r="AT5" s="204">
        <f t="shared" si="20"/>
        <v>0</v>
      </c>
      <c r="AU5" s="205">
        <f t="shared" si="20"/>
        <v>0</v>
      </c>
      <c r="AV5" s="204">
        <f t="shared" si="20"/>
        <v>0</v>
      </c>
      <c r="AW5" s="204">
        <f t="shared" si="20"/>
        <v>0</v>
      </c>
      <c r="AX5" s="204">
        <f t="shared" si="20"/>
        <v>0</v>
      </c>
      <c r="AY5" s="204">
        <f t="shared" si="20"/>
        <v>0</v>
      </c>
      <c r="AZ5" s="204">
        <f t="shared" si="20"/>
        <v>0</v>
      </c>
      <c r="BA5" s="204">
        <f t="shared" si="20"/>
        <v>0</v>
      </c>
      <c r="BB5" s="204">
        <f t="shared" si="20"/>
        <v>0</v>
      </c>
      <c r="BC5" s="204">
        <f t="shared" si="20"/>
        <v>0</v>
      </c>
      <c r="BD5" s="204">
        <f t="shared" si="20"/>
        <v>0</v>
      </c>
      <c r="BE5" s="204">
        <f t="shared" si="20"/>
        <v>0</v>
      </c>
      <c r="BF5" s="204">
        <f t="shared" si="20"/>
        <v>0</v>
      </c>
      <c r="BG5" s="205">
        <f t="shared" si="20"/>
        <v>0</v>
      </c>
      <c r="BH5" s="204">
        <f t="shared" si="20"/>
        <v>0</v>
      </c>
      <c r="BI5" s="204">
        <f t="shared" si="20"/>
        <v>0</v>
      </c>
      <c r="BJ5" s="204">
        <f t="shared" si="20"/>
        <v>0</v>
      </c>
      <c r="BK5" s="204">
        <f t="shared" si="20"/>
        <v>0</v>
      </c>
      <c r="BL5" s="204">
        <f t="shared" si="20"/>
        <v>0</v>
      </c>
      <c r="BM5" s="204">
        <f t="shared" si="20"/>
        <v>0</v>
      </c>
      <c r="BN5" s="204">
        <f t="shared" si="20"/>
        <v>0</v>
      </c>
      <c r="BO5" s="204">
        <f t="shared" si="20"/>
        <v>0</v>
      </c>
      <c r="BP5" s="204">
        <f t="shared" si="20"/>
        <v>0</v>
      </c>
      <c r="BQ5" s="204">
        <f t="shared" si="20"/>
        <v>0</v>
      </c>
      <c r="BR5" s="204">
        <f t="shared" si="20"/>
        <v>0</v>
      </c>
      <c r="BS5" s="205">
        <f t="shared" si="20"/>
        <v>0</v>
      </c>
      <c r="BT5" s="204">
        <f t="shared" ref="BT5:CE5" si="21">SUM(BT6:BT20)</f>
        <v>0</v>
      </c>
      <c r="BU5" s="204">
        <f t="shared" si="21"/>
        <v>0</v>
      </c>
      <c r="BV5" s="204">
        <f t="shared" si="21"/>
        <v>0</v>
      </c>
      <c r="BW5" s="204">
        <f t="shared" si="21"/>
        <v>0</v>
      </c>
      <c r="BX5" s="204">
        <f t="shared" si="21"/>
        <v>0</v>
      </c>
      <c r="BY5" s="204">
        <f t="shared" si="21"/>
        <v>0</v>
      </c>
      <c r="BZ5" s="204">
        <f t="shared" si="21"/>
        <v>0</v>
      </c>
      <c r="CA5" s="204">
        <f t="shared" si="21"/>
        <v>0</v>
      </c>
      <c r="CB5" s="204">
        <f t="shared" si="21"/>
        <v>0</v>
      </c>
      <c r="CC5" s="204">
        <f t="shared" si="21"/>
        <v>0</v>
      </c>
      <c r="CD5" s="204">
        <f t="shared" si="21"/>
        <v>0</v>
      </c>
      <c r="CE5" s="207">
        <f t="shared" si="21"/>
        <v>0</v>
      </c>
    </row>
    <row r="6" spans="2:83" x14ac:dyDescent="0.35">
      <c r="P6" s="933"/>
      <c r="Q6" s="196" t="str">
        <f>IF('UW Model'!C28="","",'UW Model'!C28)</f>
        <v/>
      </c>
      <c r="R6" s="197">
        <f t="shared" ref="R6:V20" si="22">_xlfn.MAXIFS($X6:$CE6,$X$2:$CE$2,R$2)</f>
        <v>0</v>
      </c>
      <c r="S6" s="191">
        <f t="shared" si="22"/>
        <v>0</v>
      </c>
      <c r="T6" s="191">
        <f t="shared" si="22"/>
        <v>0</v>
      </c>
      <c r="U6" s="191">
        <f t="shared" si="22"/>
        <v>0</v>
      </c>
      <c r="V6" s="198">
        <f t="shared" si="15"/>
        <v>0</v>
      </c>
      <c r="W6" s="193">
        <v>0</v>
      </c>
      <c r="X6" s="193">
        <f>IF(AND(X$3&gt;'UW Model'!$O$14+1,X$3&lt;='UW Model'!$O$15),'UW Model'!$O28/('UW Model'!$O$15-'UW Model'!$O$14-1)+W6,0)</f>
        <v>0</v>
      </c>
      <c r="Y6" s="190">
        <f>IF(AND(Y$3&gt;'UW Model'!$O$14+1,Y$3&lt;='UW Model'!$O$15),'UW Model'!$O28/('UW Model'!$O$15-'UW Model'!$O$14-1)+X6,X6)</f>
        <v>0</v>
      </c>
      <c r="Z6" s="190">
        <f>IF(AND(Z$3&gt;'UW Model'!$O$14+1,Z$3&lt;='UW Model'!$O$15),'UW Model'!$O28/('UW Model'!$O$15-'UW Model'!$O$14-1)+Y6,Y6)</f>
        <v>0</v>
      </c>
      <c r="AA6" s="190">
        <f>IF(AND(AA$3&gt;'UW Model'!$O$14+1,AA$3&lt;='UW Model'!$O$15),'UW Model'!$O28/('UW Model'!$O$15-'UW Model'!$O$14-1)+Z6,Z6)</f>
        <v>0</v>
      </c>
      <c r="AB6" s="190">
        <f>IF(AND(AB$3&gt;'UW Model'!$O$14+1,AB$3&lt;='UW Model'!$O$15),'UW Model'!$O28/('UW Model'!$O$15-'UW Model'!$O$14-1)+AA6,AA6)</f>
        <v>0</v>
      </c>
      <c r="AC6" s="190">
        <f>IF(AND(AC$3&gt;'UW Model'!$O$14+1,AC$3&lt;='UW Model'!$O$15),'UW Model'!$O28/('UW Model'!$O$15-'UW Model'!$O$14-1)+AB6,AB6)</f>
        <v>0</v>
      </c>
      <c r="AD6" s="190">
        <f>IF(AND(AD$3&gt;'UW Model'!$O$14+1,AD$3&lt;='UW Model'!$O$15),'UW Model'!$O28/('UW Model'!$O$15-'UW Model'!$O$14-1)+AC6,AC6)</f>
        <v>0</v>
      </c>
      <c r="AE6" s="190">
        <f>IF(AND(AE$3&gt;'UW Model'!$O$14+1,AE$3&lt;='UW Model'!$O$15),'UW Model'!$O28/('UW Model'!$O$15-'UW Model'!$O$14-1)+AD6,AD6)</f>
        <v>0</v>
      </c>
      <c r="AF6" s="190">
        <f>IF(AND(AF$3&gt;'UW Model'!$O$14+1,AF$3&lt;='UW Model'!$O$15),'UW Model'!$O28/('UW Model'!$O$15-'UW Model'!$O$14-1)+AE6,AE6)</f>
        <v>0</v>
      </c>
      <c r="AG6" s="190">
        <f>IF(AND(AG$3&gt;'UW Model'!$O$14+1,AG$3&lt;='UW Model'!$O$15),'UW Model'!$O28/('UW Model'!$O$15-'UW Model'!$O$14-1)+AF6,AF6)</f>
        <v>0</v>
      </c>
      <c r="AH6" s="190">
        <f>IF(AND(AH$3&gt;'UW Model'!$O$14+1,AH$3&lt;='UW Model'!$O$15),'UW Model'!$O28/('UW Model'!$O$15-'UW Model'!$O$14-1)+AG6,AG6)</f>
        <v>0</v>
      </c>
      <c r="AI6" s="192">
        <f>IF(AND(AI$3&gt;'UW Model'!$O$14+1,AI$3&lt;='UW Model'!$O$15),'UW Model'!$O28/('UW Model'!$O$15-'UW Model'!$O$14-1)+AH6,AH6)</f>
        <v>0</v>
      </c>
      <c r="AJ6" s="193">
        <f>IF(AND(AJ$3&gt;'UW Model'!$O$14+1,AJ$3&lt;='UW Model'!$O$15),'UW Model'!$O28/('UW Model'!$O$15-'UW Model'!$O$14-1)+AI6,AI6)</f>
        <v>0</v>
      </c>
      <c r="AK6" s="190">
        <f>IF(AND(AK$3&gt;'UW Model'!$O$14+1,AK$3&lt;='UW Model'!$O$15),'UW Model'!$O28/('UW Model'!$O$15-'UW Model'!$O$14-1)+AJ6,AJ6)</f>
        <v>0</v>
      </c>
      <c r="AL6" s="190">
        <f>IF(AND(AL$3&gt;'UW Model'!$O$14+1,AL$3&lt;='UW Model'!$O$15),'UW Model'!$O28/('UW Model'!$O$15-'UW Model'!$O$14-1)+AK6,AK6)</f>
        <v>0</v>
      </c>
      <c r="AM6" s="190">
        <f>IF(AND(AM$3&gt;'UW Model'!$O$14+1,AM$3&lt;='UW Model'!$O$15),'UW Model'!$O28/('UW Model'!$O$15-'UW Model'!$O$14-1)+AL6,AL6)</f>
        <v>0</v>
      </c>
      <c r="AN6" s="190">
        <f>IF(AND(AN$3&gt;'UW Model'!$O$14+1,AN$3&lt;='UW Model'!$O$15),'UW Model'!$O28/('UW Model'!$O$15-'UW Model'!$O$14-1)+AM6,AM6)</f>
        <v>0</v>
      </c>
      <c r="AO6" s="190">
        <f>IF(AND(AO$3&gt;'UW Model'!$O$14+1,AO$3&lt;='UW Model'!$O$15),'UW Model'!$O28/('UW Model'!$O$15-'UW Model'!$O$14-1)+AN6,AN6)</f>
        <v>0</v>
      </c>
      <c r="AP6" s="190">
        <f>IF(AND(AP$3&gt;'UW Model'!$O$14+1,AP$3&lt;='UW Model'!$O$15),'UW Model'!$O28/('UW Model'!$O$15-'UW Model'!$O$14-1)+AO6,AO6)</f>
        <v>0</v>
      </c>
      <c r="AQ6" s="190">
        <f>IF(AND(AQ$3&gt;'UW Model'!$O$14+1,AQ$3&lt;='UW Model'!$O$15),'UW Model'!$O28/('UW Model'!$O$15-'UW Model'!$O$14-1)+AP6,AP6)</f>
        <v>0</v>
      </c>
      <c r="AR6" s="190">
        <f>IF(AND(AR$3&gt;'UW Model'!$O$14+1,AR$3&lt;='UW Model'!$O$15),'UW Model'!$O28/('UW Model'!$O$15-'UW Model'!$O$14-1)+AQ6,AQ6)</f>
        <v>0</v>
      </c>
      <c r="AS6" s="190">
        <f>IF(AND(AS$3&gt;'UW Model'!$O$14+1,AS$3&lt;='UW Model'!$O$15),'UW Model'!$O28/('UW Model'!$O$15-'UW Model'!$O$14-1)+AR6,AR6)</f>
        <v>0</v>
      </c>
      <c r="AT6" s="190">
        <f>IF(AND(AT$3&gt;'UW Model'!$O$14+1,AT$3&lt;='UW Model'!$O$15),'UW Model'!$O28/('UW Model'!$O$15-'UW Model'!$O$14-1)+AS6,AS6)</f>
        <v>0</v>
      </c>
      <c r="AU6" s="192">
        <f>IF(AND(AU$3&gt;'UW Model'!$O$14+1,AU$3&lt;='UW Model'!$O$15),'UW Model'!$O28/('UW Model'!$O$15-'UW Model'!$O$14-1)+AT6,AT6)</f>
        <v>0</v>
      </c>
      <c r="AV6" s="190">
        <f>IF(AND(AV$3&gt;'UW Model'!$O$14+1,AV$3&lt;='UW Model'!$O$15),'UW Model'!$O28/('UW Model'!$O$15-'UW Model'!$O$14-1)+AU6,AU6)</f>
        <v>0</v>
      </c>
      <c r="AW6" s="190">
        <f>IF(AND(AW$3&gt;'UW Model'!$O$14+1,AW$3&lt;='UW Model'!$O$15),'UW Model'!$O28/('UW Model'!$O$15-'UW Model'!$O$14-1)+AV6,AV6)</f>
        <v>0</v>
      </c>
      <c r="AX6" s="190">
        <f>IF(AND(AX$3&gt;'UW Model'!$O$14+1,AX$3&lt;='UW Model'!$O$15),'UW Model'!$O28/('UW Model'!$O$15-'UW Model'!$O$14-1)+AW6,AW6)</f>
        <v>0</v>
      </c>
      <c r="AY6" s="190">
        <f>IF(AND(AY$3&gt;'UW Model'!$O$14+1,AY$3&lt;='UW Model'!$O$15),'UW Model'!$O28/('UW Model'!$O$15-'UW Model'!$O$14-1)+AX6,AX6)</f>
        <v>0</v>
      </c>
      <c r="AZ6" s="190">
        <f>IF(AND(AZ$3&gt;'UW Model'!$O$14+1,AZ$3&lt;='UW Model'!$O$15),'UW Model'!$O28/('UW Model'!$O$15-'UW Model'!$O$14-1)+AY6,AY6)</f>
        <v>0</v>
      </c>
      <c r="BA6" s="190">
        <f>IF(AND(BA$3&gt;'UW Model'!$O$14+1,BA$3&lt;='UW Model'!$O$15),'UW Model'!$O28/('UW Model'!$O$15-'UW Model'!$O$14-1)+AZ6,AZ6)</f>
        <v>0</v>
      </c>
      <c r="BB6" s="190">
        <f>IF(AND(BB$3&gt;'UW Model'!$O$14+1,BB$3&lt;='UW Model'!$O$15),'UW Model'!$O28/('UW Model'!$O$15-'UW Model'!$O$14-1)+BA6,BA6)</f>
        <v>0</v>
      </c>
      <c r="BC6" s="190">
        <f>IF(AND(BC$3&gt;'UW Model'!$O$14+1,BC$3&lt;='UW Model'!$O$15),'UW Model'!$O28/('UW Model'!$O$15-'UW Model'!$O$14-1)+BB6,BB6)</f>
        <v>0</v>
      </c>
      <c r="BD6" s="190">
        <f>IF(AND(BD$3&gt;'UW Model'!$O$14+1,BD$3&lt;='UW Model'!$O$15),'UW Model'!$O28/('UW Model'!$O$15-'UW Model'!$O$14-1)+BC6,BC6)</f>
        <v>0</v>
      </c>
      <c r="BE6" s="190">
        <f>IF(AND(BE$3&gt;'UW Model'!$O$14+1,BE$3&lt;='UW Model'!$O$15),'UW Model'!$O28/('UW Model'!$O$15-'UW Model'!$O$14-1)+BD6,BD6)</f>
        <v>0</v>
      </c>
      <c r="BF6" s="190">
        <f>IF(AND(BF$3&gt;'UW Model'!$O$14+1,BF$3&lt;='UW Model'!$O$15),'UW Model'!$O28/('UW Model'!$O$15-'UW Model'!$O$14-1)+BE6,BE6)</f>
        <v>0</v>
      </c>
      <c r="BG6" s="192">
        <f>IF(AND(BG$3&gt;'UW Model'!$O$14+1,BG$3&lt;='UW Model'!$O$15),'UW Model'!$O28/('UW Model'!$O$15-'UW Model'!$O$14-1)+BF6,BF6)</f>
        <v>0</v>
      </c>
      <c r="BH6" s="190">
        <f>IF(AND(BH$3&gt;'UW Model'!$O$14+1,BH$3&lt;='UW Model'!$O$15),'UW Model'!$O28/('UW Model'!$O$15-'UW Model'!$O$14-1)+BG6,BG6)</f>
        <v>0</v>
      </c>
      <c r="BI6" s="190">
        <f>IF(AND(BI$3&gt;'UW Model'!$O$14+1,BI$3&lt;='UW Model'!$O$15),'UW Model'!$O28/('UW Model'!$O$15-'UW Model'!$O$14-1)+BH6,BH6)</f>
        <v>0</v>
      </c>
      <c r="BJ6" s="190">
        <f>IF(AND(BJ$3&gt;'UW Model'!$O$14+1,BJ$3&lt;='UW Model'!$O$15),'UW Model'!$O28/('UW Model'!$O$15-'UW Model'!$O$14-1)+BI6,BI6)</f>
        <v>0</v>
      </c>
      <c r="BK6" s="190">
        <f>IF(AND(BK$3&gt;'UW Model'!$O$14+1,BK$3&lt;='UW Model'!$O$15),'UW Model'!$O28/('UW Model'!$O$15-'UW Model'!$O$14-1)+BJ6,BJ6)</f>
        <v>0</v>
      </c>
      <c r="BL6" s="190">
        <f>IF(AND(BL$3&gt;'UW Model'!$O$14+1,BL$3&lt;='UW Model'!$O$15),'UW Model'!$O28/('UW Model'!$O$15-'UW Model'!$O$14-1)+BK6,BK6)</f>
        <v>0</v>
      </c>
      <c r="BM6" s="190">
        <f>IF(AND(BM$3&gt;'UW Model'!$O$14+1,BM$3&lt;='UW Model'!$O$15),'UW Model'!$O28/('UW Model'!$O$15-'UW Model'!$O$14-1)+BL6,BL6)</f>
        <v>0</v>
      </c>
      <c r="BN6" s="190">
        <f>IF(AND(BN$3&gt;'UW Model'!$O$14+1,BN$3&lt;='UW Model'!$O$15),'UW Model'!$O28/('UW Model'!$O$15-'UW Model'!$O$14-1)+BM6,BM6)</f>
        <v>0</v>
      </c>
      <c r="BO6" s="190">
        <f>IF(AND(BO$3&gt;'UW Model'!$O$14+1,BO$3&lt;='UW Model'!$O$15),'UW Model'!$O28/('UW Model'!$O$15-'UW Model'!$O$14-1)+BN6,BN6)</f>
        <v>0</v>
      </c>
      <c r="BP6" s="190">
        <f>IF(AND(BP$3&gt;'UW Model'!$O$14+1,BP$3&lt;='UW Model'!$O$15),'UW Model'!$O28/('UW Model'!$O$15-'UW Model'!$O$14-1)+BO6,BO6)</f>
        <v>0</v>
      </c>
      <c r="BQ6" s="190">
        <f>IF(AND(BQ$3&gt;'UW Model'!$O$14+1,BQ$3&lt;='UW Model'!$O$15),'UW Model'!$O28/('UW Model'!$O$15-'UW Model'!$O$14-1)+BP6,BP6)</f>
        <v>0</v>
      </c>
      <c r="BR6" s="190">
        <f>IF(AND(BR$3&gt;'UW Model'!$O$14+1,BR$3&lt;='UW Model'!$O$15),'UW Model'!$O28/('UW Model'!$O$15-'UW Model'!$O$14-1)+BQ6,BQ6)</f>
        <v>0</v>
      </c>
      <c r="BS6" s="192">
        <f>IF(AND(BS$3&gt;'UW Model'!$O$14+1,BS$3&lt;='UW Model'!$O$15),'UW Model'!$O28/('UW Model'!$O$15-'UW Model'!$O$14-1)+BR6,BR6)</f>
        <v>0</v>
      </c>
      <c r="BT6" s="190">
        <f>IF(AND(BT$3&gt;'UW Model'!$O$14+1,BT$3&lt;='UW Model'!$O$15),'UW Model'!$O28/('UW Model'!$O$15-'UW Model'!$O$14-1)+BS6,BS6)</f>
        <v>0</v>
      </c>
      <c r="BU6" s="190">
        <f>IF(AND(BU$3&gt;'UW Model'!$O$14+1,BU$3&lt;='UW Model'!$O$15),'UW Model'!$O28/('UW Model'!$O$15-'UW Model'!$O$14-1)+BT6,BT6)</f>
        <v>0</v>
      </c>
      <c r="BV6" s="190">
        <f>IF(AND(BV$3&gt;'UW Model'!$O$14+1,BV$3&lt;='UW Model'!$O$15),'UW Model'!$O28/('UW Model'!$O$15-'UW Model'!$O$14-1)+BU6,BU6)</f>
        <v>0</v>
      </c>
      <c r="BW6" s="190">
        <f>IF(AND(BW$3&gt;'UW Model'!$O$14+1,BW$3&lt;='UW Model'!$O$15),'UW Model'!$O28/('UW Model'!$O$15-'UW Model'!$O$14-1)+BV6,BV6)</f>
        <v>0</v>
      </c>
      <c r="BX6" s="190">
        <f>IF(AND(BX$3&gt;'UW Model'!$O$14+1,BX$3&lt;='UW Model'!$O$15),'UW Model'!$O28/('UW Model'!$O$15-'UW Model'!$O$14-1)+BW6,BW6)</f>
        <v>0</v>
      </c>
      <c r="BY6" s="190">
        <f>IF(AND(BY$3&gt;'UW Model'!$O$14+1,BY$3&lt;='UW Model'!$O$15),'UW Model'!$O28/('UW Model'!$O$15-'UW Model'!$O$14-1)+BX6,BX6)</f>
        <v>0</v>
      </c>
      <c r="BZ6" s="190">
        <f>IF(AND(BZ$3&gt;'UW Model'!$O$14+1,BZ$3&lt;='UW Model'!$O$15),'UW Model'!$O28/('UW Model'!$O$15-'UW Model'!$O$14-1)+BY6,BY6)</f>
        <v>0</v>
      </c>
      <c r="CA6" s="190">
        <f>IF(AND(CA$3&gt;'UW Model'!$O$14+1,CA$3&lt;='UW Model'!$O$15),'UW Model'!$O28/('UW Model'!$O$15-'UW Model'!$O$14-1)+BZ6,BZ6)</f>
        <v>0</v>
      </c>
      <c r="CB6" s="190">
        <f>IF(AND(CB$3&gt;'UW Model'!$O$14+1,CB$3&lt;='UW Model'!$O$15),'UW Model'!$O28/('UW Model'!$O$15-'UW Model'!$O$14-1)+CA6,CA6)</f>
        <v>0</v>
      </c>
      <c r="CC6" s="190">
        <f>IF(AND(CC$3&gt;'UW Model'!$O$14+1,CC$3&lt;='UW Model'!$O$15),'UW Model'!$O28/('UW Model'!$O$15-'UW Model'!$O$14-1)+CB6,CB6)</f>
        <v>0</v>
      </c>
      <c r="CD6" s="190">
        <f>IF(AND(CD$3&gt;'UW Model'!$O$14+1,CD$3&lt;='UW Model'!$O$15),'UW Model'!$O28/('UW Model'!$O$15-'UW Model'!$O$14-1)+CC6,CC6)</f>
        <v>0</v>
      </c>
      <c r="CE6" s="195">
        <f>IF(AND(CE$3&gt;'UW Model'!$O$14+1,CE$3&lt;='UW Model'!$O$15),'UW Model'!$O28/('UW Model'!$O$15-'UW Model'!$O$14-1)+CD6,CD6)</f>
        <v>0</v>
      </c>
    </row>
    <row r="7" spans="2:83" x14ac:dyDescent="0.35">
      <c r="P7" s="933"/>
      <c r="Q7" s="196" t="str">
        <f>IF('UW Model'!C29="","",'UW Model'!C29)</f>
        <v/>
      </c>
      <c r="R7" s="197">
        <f t="shared" si="22"/>
        <v>0</v>
      </c>
      <c r="S7" s="191">
        <f t="shared" si="22"/>
        <v>0</v>
      </c>
      <c r="T7" s="191">
        <f t="shared" si="22"/>
        <v>0</v>
      </c>
      <c r="U7" s="191">
        <f t="shared" si="22"/>
        <v>0</v>
      </c>
      <c r="V7" s="198">
        <f t="shared" si="22"/>
        <v>0</v>
      </c>
      <c r="W7" s="193">
        <v>0</v>
      </c>
      <c r="X7" s="193">
        <f>IF(AND(X$3&gt;'UW Model'!$O$14+1,X$3&lt;='UW Model'!$O$15),'UW Model'!$O29/('UW Model'!$O$15-'UW Model'!$O$14-1)+W7,0)</f>
        <v>0</v>
      </c>
      <c r="Y7" s="190">
        <f>IF(AND(Y$3&gt;'UW Model'!$O$14+1,Y$3&lt;='UW Model'!$O$15),'UW Model'!$O29/('UW Model'!$O$15-'UW Model'!$O$14-1)+X7,X7)</f>
        <v>0</v>
      </c>
      <c r="Z7" s="190">
        <f>IF(AND(Z$3&gt;'UW Model'!$O$14+1,Z$3&lt;='UW Model'!$O$15),'UW Model'!$O29/('UW Model'!$O$15-'UW Model'!$O$14-1)+Y7,Y7)</f>
        <v>0</v>
      </c>
      <c r="AA7" s="190">
        <f>IF(AND(AA$3&gt;'UW Model'!$O$14+1,AA$3&lt;='UW Model'!$O$15),'UW Model'!$O29/('UW Model'!$O$15-'UW Model'!$O$14-1)+Z7,Z7)</f>
        <v>0</v>
      </c>
      <c r="AB7" s="190">
        <f>IF(AND(AB$3&gt;'UW Model'!$O$14+1,AB$3&lt;='UW Model'!$O$15),'UW Model'!$O29/('UW Model'!$O$15-'UW Model'!$O$14-1)+AA7,AA7)</f>
        <v>0</v>
      </c>
      <c r="AC7" s="190">
        <f>IF(AND(AC$3&gt;'UW Model'!$O$14+1,AC$3&lt;='UW Model'!$O$15),'UW Model'!$O29/('UW Model'!$O$15-'UW Model'!$O$14-1)+AB7,AB7)</f>
        <v>0</v>
      </c>
      <c r="AD7" s="190">
        <f>IF(AND(AD$3&gt;'UW Model'!$O$14+1,AD$3&lt;='UW Model'!$O$15),'UW Model'!$O29/('UW Model'!$O$15-'UW Model'!$O$14-1)+AC7,AC7)</f>
        <v>0</v>
      </c>
      <c r="AE7" s="190">
        <f>IF(AND(AE$3&gt;'UW Model'!$O$14+1,AE$3&lt;='UW Model'!$O$15),'UW Model'!$O29/('UW Model'!$O$15-'UW Model'!$O$14-1)+AD7,AD7)</f>
        <v>0</v>
      </c>
      <c r="AF7" s="190">
        <f>IF(AND(AF$3&gt;'UW Model'!$O$14+1,AF$3&lt;='UW Model'!$O$15),'UW Model'!$O29/('UW Model'!$O$15-'UW Model'!$O$14-1)+AE7,AE7)</f>
        <v>0</v>
      </c>
      <c r="AG7" s="190">
        <f>IF(AND(AG$3&gt;'UW Model'!$O$14+1,AG$3&lt;='UW Model'!$O$15),'UW Model'!$O29/('UW Model'!$O$15-'UW Model'!$O$14-1)+AF7,AF7)</f>
        <v>0</v>
      </c>
      <c r="AH7" s="190">
        <f>IF(AND(AH$3&gt;'UW Model'!$O$14+1,AH$3&lt;='UW Model'!$O$15),'UW Model'!$O29/('UW Model'!$O$15-'UW Model'!$O$14-1)+AG7,AG7)</f>
        <v>0</v>
      </c>
      <c r="AI7" s="192">
        <f>IF(AND(AI$3&gt;'UW Model'!$O$14+1,AI$3&lt;='UW Model'!$O$15),'UW Model'!$O29/('UW Model'!$O$15-'UW Model'!$O$14-1)+AH7,AH7)</f>
        <v>0</v>
      </c>
      <c r="AJ7" s="193">
        <f>IF(AND(AJ$3&gt;'UW Model'!$O$14+1,AJ$3&lt;='UW Model'!$O$15),'UW Model'!$O29/('UW Model'!$O$15-'UW Model'!$O$14-1)+AI7,AI7)</f>
        <v>0</v>
      </c>
      <c r="AK7" s="190">
        <f>IF(AND(AK$3&gt;'UW Model'!$O$14+1,AK$3&lt;='UW Model'!$O$15),'UW Model'!$O29/('UW Model'!$O$15-'UW Model'!$O$14-1)+AJ7,AJ7)</f>
        <v>0</v>
      </c>
      <c r="AL7" s="190">
        <f>IF(AND(AL$3&gt;'UW Model'!$O$14+1,AL$3&lt;='UW Model'!$O$15),'UW Model'!$O29/('UW Model'!$O$15-'UW Model'!$O$14-1)+AK7,AK7)</f>
        <v>0</v>
      </c>
      <c r="AM7" s="190">
        <f>IF(AND(AM$3&gt;'UW Model'!$O$14+1,AM$3&lt;='UW Model'!$O$15),'UW Model'!$O29/('UW Model'!$O$15-'UW Model'!$O$14-1)+AL7,AL7)</f>
        <v>0</v>
      </c>
      <c r="AN7" s="190">
        <f>IF(AND(AN$3&gt;'UW Model'!$O$14+1,AN$3&lt;='UW Model'!$O$15),'UW Model'!$O29/('UW Model'!$O$15-'UW Model'!$O$14-1)+AM7,AM7)</f>
        <v>0</v>
      </c>
      <c r="AO7" s="190">
        <f>IF(AND(AO$3&gt;'UW Model'!$O$14+1,AO$3&lt;='UW Model'!$O$15),'UW Model'!$O29/('UW Model'!$O$15-'UW Model'!$O$14-1)+AN7,AN7)</f>
        <v>0</v>
      </c>
      <c r="AP7" s="190">
        <f>IF(AND(AP$3&gt;'UW Model'!$O$14+1,AP$3&lt;='UW Model'!$O$15),'UW Model'!$O29/('UW Model'!$O$15-'UW Model'!$O$14-1)+AO7,AO7)</f>
        <v>0</v>
      </c>
      <c r="AQ7" s="190">
        <f>IF(AND(AQ$3&gt;'UW Model'!$O$14+1,AQ$3&lt;='UW Model'!$O$15),'UW Model'!$O29/('UW Model'!$O$15-'UW Model'!$O$14-1)+AP7,AP7)</f>
        <v>0</v>
      </c>
      <c r="AR7" s="190">
        <f>IF(AND(AR$3&gt;'UW Model'!$O$14+1,AR$3&lt;='UW Model'!$O$15),'UW Model'!$O29/('UW Model'!$O$15-'UW Model'!$O$14-1)+AQ7,AQ7)</f>
        <v>0</v>
      </c>
      <c r="AS7" s="190">
        <f>IF(AND(AS$3&gt;'UW Model'!$O$14+1,AS$3&lt;='UW Model'!$O$15),'UW Model'!$O29/('UW Model'!$O$15-'UW Model'!$O$14-1)+AR7,AR7)</f>
        <v>0</v>
      </c>
      <c r="AT7" s="190">
        <f>IF(AND(AT$3&gt;'UW Model'!$O$14+1,AT$3&lt;='UW Model'!$O$15),'UW Model'!$O29/('UW Model'!$O$15-'UW Model'!$O$14-1)+AS7,AS7)</f>
        <v>0</v>
      </c>
      <c r="AU7" s="192">
        <f>IF(AND(AU$3&gt;'UW Model'!$O$14+1,AU$3&lt;='UW Model'!$O$15),'UW Model'!$O29/('UW Model'!$O$15-'UW Model'!$O$14-1)+AT7,AT7)</f>
        <v>0</v>
      </c>
      <c r="AV7" s="190">
        <f>IF(AND(AV$3&gt;'UW Model'!$O$14+1,AV$3&lt;='UW Model'!$O$15),'UW Model'!$O29/('UW Model'!$O$15-'UW Model'!$O$14-1)+AU7,AU7)</f>
        <v>0</v>
      </c>
      <c r="AW7" s="190">
        <f>IF(AND(AW$3&gt;'UW Model'!$O$14+1,AW$3&lt;='UW Model'!$O$15),'UW Model'!$O29/('UW Model'!$O$15-'UW Model'!$O$14-1)+AV7,AV7)</f>
        <v>0</v>
      </c>
      <c r="AX7" s="190">
        <f>IF(AND(AX$3&gt;'UW Model'!$O$14+1,AX$3&lt;='UW Model'!$O$15),'UW Model'!$O29/('UW Model'!$O$15-'UW Model'!$O$14-1)+AW7,AW7)</f>
        <v>0</v>
      </c>
      <c r="AY7" s="190">
        <f>IF(AND(AY$3&gt;'UW Model'!$O$14+1,AY$3&lt;='UW Model'!$O$15),'UW Model'!$O29/('UW Model'!$O$15-'UW Model'!$O$14-1)+AX7,AX7)</f>
        <v>0</v>
      </c>
      <c r="AZ7" s="190">
        <f>IF(AND(AZ$3&gt;'UW Model'!$O$14+1,AZ$3&lt;='UW Model'!$O$15),'UW Model'!$O29/('UW Model'!$O$15-'UW Model'!$O$14-1)+AY7,AY7)</f>
        <v>0</v>
      </c>
      <c r="BA7" s="190">
        <f>IF(AND(BA$3&gt;'UW Model'!$O$14+1,BA$3&lt;='UW Model'!$O$15),'UW Model'!$O29/('UW Model'!$O$15-'UW Model'!$O$14-1)+AZ7,AZ7)</f>
        <v>0</v>
      </c>
      <c r="BB7" s="190">
        <f>IF(AND(BB$3&gt;'UW Model'!$O$14+1,BB$3&lt;='UW Model'!$O$15),'UW Model'!$O29/('UW Model'!$O$15-'UW Model'!$O$14-1)+BA7,BA7)</f>
        <v>0</v>
      </c>
      <c r="BC7" s="190">
        <f>IF(AND(BC$3&gt;'UW Model'!$O$14+1,BC$3&lt;='UW Model'!$O$15),'UW Model'!$O29/('UW Model'!$O$15-'UW Model'!$O$14-1)+BB7,BB7)</f>
        <v>0</v>
      </c>
      <c r="BD7" s="190">
        <f>IF(AND(BD$3&gt;'UW Model'!$O$14+1,BD$3&lt;='UW Model'!$O$15),'UW Model'!$O29/('UW Model'!$O$15-'UW Model'!$O$14-1)+BC7,BC7)</f>
        <v>0</v>
      </c>
      <c r="BE7" s="190">
        <f>IF(AND(BE$3&gt;'UW Model'!$O$14+1,BE$3&lt;='UW Model'!$O$15),'UW Model'!$O29/('UW Model'!$O$15-'UW Model'!$O$14-1)+BD7,BD7)</f>
        <v>0</v>
      </c>
      <c r="BF7" s="190">
        <f>IF(AND(BF$3&gt;'UW Model'!$O$14+1,BF$3&lt;='UW Model'!$O$15),'UW Model'!$O29/('UW Model'!$O$15-'UW Model'!$O$14-1)+BE7,BE7)</f>
        <v>0</v>
      </c>
      <c r="BG7" s="192">
        <f>IF(AND(BG$3&gt;'UW Model'!$O$14+1,BG$3&lt;='UW Model'!$O$15),'UW Model'!$O29/('UW Model'!$O$15-'UW Model'!$O$14-1)+BF7,BF7)</f>
        <v>0</v>
      </c>
      <c r="BH7" s="190">
        <f>IF(AND(BH$3&gt;'UW Model'!$O$14+1,BH$3&lt;='UW Model'!$O$15),'UW Model'!$O29/('UW Model'!$O$15-'UW Model'!$O$14-1)+BG7,BG7)</f>
        <v>0</v>
      </c>
      <c r="BI7" s="190">
        <f>IF(AND(BI$3&gt;'UW Model'!$O$14+1,BI$3&lt;='UW Model'!$O$15),'UW Model'!$O29/('UW Model'!$O$15-'UW Model'!$O$14-1)+BH7,BH7)</f>
        <v>0</v>
      </c>
      <c r="BJ7" s="190">
        <f>IF(AND(BJ$3&gt;'UW Model'!$O$14+1,BJ$3&lt;='UW Model'!$O$15),'UW Model'!$O29/('UW Model'!$O$15-'UW Model'!$O$14-1)+BI7,BI7)</f>
        <v>0</v>
      </c>
      <c r="BK7" s="190">
        <f>IF(AND(BK$3&gt;'UW Model'!$O$14+1,BK$3&lt;='UW Model'!$O$15),'UW Model'!$O29/('UW Model'!$O$15-'UW Model'!$O$14-1)+BJ7,BJ7)</f>
        <v>0</v>
      </c>
      <c r="BL7" s="190">
        <f>IF(AND(BL$3&gt;'UW Model'!$O$14+1,BL$3&lt;='UW Model'!$O$15),'UW Model'!$O29/('UW Model'!$O$15-'UW Model'!$O$14-1)+BK7,BK7)</f>
        <v>0</v>
      </c>
      <c r="BM7" s="190">
        <f>IF(AND(BM$3&gt;'UW Model'!$O$14+1,BM$3&lt;='UW Model'!$O$15),'UW Model'!$O29/('UW Model'!$O$15-'UW Model'!$O$14-1)+BL7,BL7)</f>
        <v>0</v>
      </c>
      <c r="BN7" s="190">
        <f>IF(AND(BN$3&gt;'UW Model'!$O$14+1,BN$3&lt;='UW Model'!$O$15),'UW Model'!$O29/('UW Model'!$O$15-'UW Model'!$O$14-1)+BM7,BM7)</f>
        <v>0</v>
      </c>
      <c r="BO7" s="190">
        <f>IF(AND(BO$3&gt;'UW Model'!$O$14+1,BO$3&lt;='UW Model'!$O$15),'UW Model'!$O29/('UW Model'!$O$15-'UW Model'!$O$14-1)+BN7,BN7)</f>
        <v>0</v>
      </c>
      <c r="BP7" s="190">
        <f>IF(AND(BP$3&gt;'UW Model'!$O$14+1,BP$3&lt;='UW Model'!$O$15),'UW Model'!$O29/('UW Model'!$O$15-'UW Model'!$O$14-1)+BO7,BO7)</f>
        <v>0</v>
      </c>
      <c r="BQ7" s="190">
        <f>IF(AND(BQ$3&gt;'UW Model'!$O$14+1,BQ$3&lt;='UW Model'!$O$15),'UW Model'!$O29/('UW Model'!$O$15-'UW Model'!$O$14-1)+BP7,BP7)</f>
        <v>0</v>
      </c>
      <c r="BR7" s="190">
        <f>IF(AND(BR$3&gt;'UW Model'!$O$14+1,BR$3&lt;='UW Model'!$O$15),'UW Model'!$O29/('UW Model'!$O$15-'UW Model'!$O$14-1)+BQ7,BQ7)</f>
        <v>0</v>
      </c>
      <c r="BS7" s="192">
        <f>IF(AND(BS$3&gt;'UW Model'!$O$14+1,BS$3&lt;='UW Model'!$O$15),'UW Model'!$O29/('UW Model'!$O$15-'UW Model'!$O$14-1)+BR7,BR7)</f>
        <v>0</v>
      </c>
      <c r="BT7" s="190">
        <f>IF(AND(BT$3&gt;'UW Model'!$O$14+1,BT$3&lt;='UW Model'!$O$15),'UW Model'!$O29/('UW Model'!$O$15-'UW Model'!$O$14-1)+BS7,BS7)</f>
        <v>0</v>
      </c>
      <c r="BU7" s="190">
        <f>IF(AND(BU$3&gt;'UW Model'!$O$14+1,BU$3&lt;='UW Model'!$O$15),'UW Model'!$O29/('UW Model'!$O$15-'UW Model'!$O$14-1)+BT7,BT7)</f>
        <v>0</v>
      </c>
      <c r="BV7" s="190">
        <f>IF(AND(BV$3&gt;'UW Model'!$O$14+1,BV$3&lt;='UW Model'!$O$15),'UW Model'!$O29/('UW Model'!$O$15-'UW Model'!$O$14-1)+BU7,BU7)</f>
        <v>0</v>
      </c>
      <c r="BW7" s="190">
        <f>IF(AND(BW$3&gt;'UW Model'!$O$14+1,BW$3&lt;='UW Model'!$O$15),'UW Model'!$O29/('UW Model'!$O$15-'UW Model'!$O$14-1)+BV7,BV7)</f>
        <v>0</v>
      </c>
      <c r="BX7" s="190">
        <f>IF(AND(BX$3&gt;'UW Model'!$O$14+1,BX$3&lt;='UW Model'!$O$15),'UW Model'!$O29/('UW Model'!$O$15-'UW Model'!$O$14-1)+BW7,BW7)</f>
        <v>0</v>
      </c>
      <c r="BY7" s="190">
        <f>IF(AND(BY$3&gt;'UW Model'!$O$14+1,BY$3&lt;='UW Model'!$O$15),'UW Model'!$O29/('UW Model'!$O$15-'UW Model'!$O$14-1)+BX7,BX7)</f>
        <v>0</v>
      </c>
      <c r="BZ7" s="190">
        <f>IF(AND(BZ$3&gt;'UW Model'!$O$14+1,BZ$3&lt;='UW Model'!$O$15),'UW Model'!$O29/('UW Model'!$O$15-'UW Model'!$O$14-1)+BY7,BY7)</f>
        <v>0</v>
      </c>
      <c r="CA7" s="190">
        <f>IF(AND(CA$3&gt;'UW Model'!$O$14+1,CA$3&lt;='UW Model'!$O$15),'UW Model'!$O29/('UW Model'!$O$15-'UW Model'!$O$14-1)+BZ7,BZ7)</f>
        <v>0</v>
      </c>
      <c r="CB7" s="190">
        <f>IF(AND(CB$3&gt;'UW Model'!$O$14+1,CB$3&lt;='UW Model'!$O$15),'UW Model'!$O29/('UW Model'!$O$15-'UW Model'!$O$14-1)+CA7,CA7)</f>
        <v>0</v>
      </c>
      <c r="CC7" s="190">
        <f>IF(AND(CC$3&gt;'UW Model'!$O$14+1,CC$3&lt;='UW Model'!$O$15),'UW Model'!$O29/('UW Model'!$O$15-'UW Model'!$O$14-1)+CB7,CB7)</f>
        <v>0</v>
      </c>
      <c r="CD7" s="190">
        <f>IF(AND(CD$3&gt;'UW Model'!$O$14+1,CD$3&lt;='UW Model'!$O$15),'UW Model'!$O29/('UW Model'!$O$15-'UW Model'!$O$14-1)+CC7,CC7)</f>
        <v>0</v>
      </c>
      <c r="CE7" s="195">
        <f>IF(AND(CE$3&gt;'UW Model'!$O$14+1,CE$3&lt;='UW Model'!$O$15),'UW Model'!$O29/('UW Model'!$O$15-'UW Model'!$O$14-1)+CD7,CD7)</f>
        <v>0</v>
      </c>
    </row>
    <row r="8" spans="2:83" x14ac:dyDescent="0.35">
      <c r="P8" s="933"/>
      <c r="Q8" s="196" t="str">
        <f>IF('UW Model'!C30="","",'UW Model'!C30)</f>
        <v/>
      </c>
      <c r="R8" s="197">
        <f t="shared" si="22"/>
        <v>0</v>
      </c>
      <c r="S8" s="191">
        <f t="shared" si="22"/>
        <v>0</v>
      </c>
      <c r="T8" s="191">
        <f t="shared" si="22"/>
        <v>0</v>
      </c>
      <c r="U8" s="191">
        <f t="shared" si="22"/>
        <v>0</v>
      </c>
      <c r="V8" s="198">
        <f t="shared" si="22"/>
        <v>0</v>
      </c>
      <c r="W8" s="193">
        <v>0</v>
      </c>
      <c r="X8" s="193">
        <f>IF(AND(X$3&gt;'UW Model'!$O$14+1,X$3&lt;='UW Model'!$O$15),'UW Model'!$O30/('UW Model'!$O$15-'UW Model'!$O$14-1)+W8,0)</f>
        <v>0</v>
      </c>
      <c r="Y8" s="190">
        <f>IF(AND(Y$3&gt;'UW Model'!$O$14+1,Y$3&lt;='UW Model'!$O$15),'UW Model'!$O30/('UW Model'!$O$15-'UW Model'!$O$14-1)+X8,X8)</f>
        <v>0</v>
      </c>
      <c r="Z8" s="190">
        <f>IF(AND(Z$3&gt;'UW Model'!$O$14+1,Z$3&lt;='UW Model'!$O$15),'UW Model'!$O30/('UW Model'!$O$15-'UW Model'!$O$14-1)+Y8,Y8)</f>
        <v>0</v>
      </c>
      <c r="AA8" s="190">
        <f>IF(AND(AA$3&gt;'UW Model'!$O$14+1,AA$3&lt;='UW Model'!$O$15),'UW Model'!$O30/('UW Model'!$O$15-'UW Model'!$O$14-1)+Z8,Z8)</f>
        <v>0</v>
      </c>
      <c r="AB8" s="190">
        <f>IF(AND(AB$3&gt;'UW Model'!$O$14+1,AB$3&lt;='UW Model'!$O$15),'UW Model'!$O30/('UW Model'!$O$15-'UW Model'!$O$14-1)+AA8,AA8)</f>
        <v>0</v>
      </c>
      <c r="AC8" s="190">
        <f>IF(AND(AC$3&gt;'UW Model'!$O$14+1,AC$3&lt;='UW Model'!$O$15),'UW Model'!$O30/('UW Model'!$O$15-'UW Model'!$O$14-1)+AB8,AB8)</f>
        <v>0</v>
      </c>
      <c r="AD8" s="190">
        <f>IF(AND(AD$3&gt;'UW Model'!$O$14+1,AD$3&lt;='UW Model'!$O$15),'UW Model'!$O30/('UW Model'!$O$15-'UW Model'!$O$14-1)+AC8,AC8)</f>
        <v>0</v>
      </c>
      <c r="AE8" s="190">
        <f>IF(AND(AE$3&gt;'UW Model'!$O$14+1,AE$3&lt;='UW Model'!$O$15),'UW Model'!$O30/('UW Model'!$O$15-'UW Model'!$O$14-1)+AD8,AD8)</f>
        <v>0</v>
      </c>
      <c r="AF8" s="190">
        <f>IF(AND(AF$3&gt;'UW Model'!$O$14+1,AF$3&lt;='UW Model'!$O$15),'UW Model'!$O30/('UW Model'!$O$15-'UW Model'!$O$14-1)+AE8,AE8)</f>
        <v>0</v>
      </c>
      <c r="AG8" s="190">
        <f>IF(AND(AG$3&gt;'UW Model'!$O$14+1,AG$3&lt;='UW Model'!$O$15),'UW Model'!$O30/('UW Model'!$O$15-'UW Model'!$O$14-1)+AF8,AF8)</f>
        <v>0</v>
      </c>
      <c r="AH8" s="190">
        <f>IF(AND(AH$3&gt;'UW Model'!$O$14+1,AH$3&lt;='UW Model'!$O$15),'UW Model'!$O30/('UW Model'!$O$15-'UW Model'!$O$14-1)+AG8,AG8)</f>
        <v>0</v>
      </c>
      <c r="AI8" s="192">
        <f>IF(AND(AI$3&gt;'UW Model'!$O$14+1,AI$3&lt;='UW Model'!$O$15),'UW Model'!$O30/('UW Model'!$O$15-'UW Model'!$O$14-1)+AH8,AH8)</f>
        <v>0</v>
      </c>
      <c r="AJ8" s="193">
        <f>IF(AND(AJ$3&gt;'UW Model'!$O$14+1,AJ$3&lt;='UW Model'!$O$15),'UW Model'!$O30/('UW Model'!$O$15-'UW Model'!$O$14-1)+AI8,AI8)</f>
        <v>0</v>
      </c>
      <c r="AK8" s="190">
        <f>IF(AND(AK$3&gt;'UW Model'!$O$14+1,AK$3&lt;='UW Model'!$O$15),'UW Model'!$O30/('UW Model'!$O$15-'UW Model'!$O$14-1)+AJ8,AJ8)</f>
        <v>0</v>
      </c>
      <c r="AL8" s="190">
        <f>IF(AND(AL$3&gt;'UW Model'!$O$14+1,AL$3&lt;='UW Model'!$O$15),'UW Model'!$O30/('UW Model'!$O$15-'UW Model'!$O$14-1)+AK8,AK8)</f>
        <v>0</v>
      </c>
      <c r="AM8" s="190">
        <f>IF(AND(AM$3&gt;'UW Model'!$O$14+1,AM$3&lt;='UW Model'!$O$15),'UW Model'!$O30/('UW Model'!$O$15-'UW Model'!$O$14-1)+AL8,AL8)</f>
        <v>0</v>
      </c>
      <c r="AN8" s="190">
        <f>IF(AND(AN$3&gt;'UW Model'!$O$14+1,AN$3&lt;='UW Model'!$O$15),'UW Model'!$O30/('UW Model'!$O$15-'UW Model'!$O$14-1)+AM8,AM8)</f>
        <v>0</v>
      </c>
      <c r="AO8" s="190">
        <f>IF(AND(AO$3&gt;'UW Model'!$O$14+1,AO$3&lt;='UW Model'!$O$15),'UW Model'!$O30/('UW Model'!$O$15-'UW Model'!$O$14-1)+AN8,AN8)</f>
        <v>0</v>
      </c>
      <c r="AP8" s="190">
        <f>IF(AND(AP$3&gt;'UW Model'!$O$14+1,AP$3&lt;='UW Model'!$O$15),'UW Model'!$O30/('UW Model'!$O$15-'UW Model'!$O$14-1)+AO8,AO8)</f>
        <v>0</v>
      </c>
      <c r="AQ8" s="190">
        <f>IF(AND(AQ$3&gt;'UW Model'!$O$14+1,AQ$3&lt;='UW Model'!$O$15),'UW Model'!$O30/('UW Model'!$O$15-'UW Model'!$O$14-1)+AP8,AP8)</f>
        <v>0</v>
      </c>
      <c r="AR8" s="190">
        <f>IF(AND(AR$3&gt;'UW Model'!$O$14+1,AR$3&lt;='UW Model'!$O$15),'UW Model'!$O30/('UW Model'!$O$15-'UW Model'!$O$14-1)+AQ8,AQ8)</f>
        <v>0</v>
      </c>
      <c r="AS8" s="190">
        <f>IF(AND(AS$3&gt;'UW Model'!$O$14+1,AS$3&lt;='UW Model'!$O$15),'UW Model'!$O30/('UW Model'!$O$15-'UW Model'!$O$14-1)+AR8,AR8)</f>
        <v>0</v>
      </c>
      <c r="AT8" s="190">
        <f>IF(AND(AT$3&gt;'UW Model'!$O$14+1,AT$3&lt;='UW Model'!$O$15),'UW Model'!$O30/('UW Model'!$O$15-'UW Model'!$O$14-1)+AS8,AS8)</f>
        <v>0</v>
      </c>
      <c r="AU8" s="192">
        <f>IF(AND(AU$3&gt;'UW Model'!$O$14+1,AU$3&lt;='UW Model'!$O$15),'UW Model'!$O30/('UW Model'!$O$15-'UW Model'!$O$14-1)+AT8,AT8)</f>
        <v>0</v>
      </c>
      <c r="AV8" s="190">
        <f>IF(AND(AV$3&gt;'UW Model'!$O$14+1,AV$3&lt;='UW Model'!$O$15),'UW Model'!$O30/('UW Model'!$O$15-'UW Model'!$O$14-1)+AU8,AU8)</f>
        <v>0</v>
      </c>
      <c r="AW8" s="190">
        <f>IF(AND(AW$3&gt;'UW Model'!$O$14+1,AW$3&lt;='UW Model'!$O$15),'UW Model'!$O30/('UW Model'!$O$15-'UW Model'!$O$14-1)+AV8,AV8)</f>
        <v>0</v>
      </c>
      <c r="AX8" s="190">
        <f>IF(AND(AX$3&gt;'UW Model'!$O$14+1,AX$3&lt;='UW Model'!$O$15),'UW Model'!$O30/('UW Model'!$O$15-'UW Model'!$O$14-1)+AW8,AW8)</f>
        <v>0</v>
      </c>
      <c r="AY8" s="190">
        <f>IF(AND(AY$3&gt;'UW Model'!$O$14+1,AY$3&lt;='UW Model'!$O$15),'UW Model'!$O30/('UW Model'!$O$15-'UW Model'!$O$14-1)+AX8,AX8)</f>
        <v>0</v>
      </c>
      <c r="AZ8" s="190">
        <f>IF(AND(AZ$3&gt;'UW Model'!$O$14+1,AZ$3&lt;='UW Model'!$O$15),'UW Model'!$O30/('UW Model'!$O$15-'UW Model'!$O$14-1)+AY8,AY8)</f>
        <v>0</v>
      </c>
      <c r="BA8" s="190">
        <f>IF(AND(BA$3&gt;'UW Model'!$O$14+1,BA$3&lt;='UW Model'!$O$15),'UW Model'!$O30/('UW Model'!$O$15-'UW Model'!$O$14-1)+AZ8,AZ8)</f>
        <v>0</v>
      </c>
      <c r="BB8" s="190">
        <f>IF(AND(BB$3&gt;'UW Model'!$O$14+1,BB$3&lt;='UW Model'!$O$15),'UW Model'!$O30/('UW Model'!$O$15-'UW Model'!$O$14-1)+BA8,BA8)</f>
        <v>0</v>
      </c>
      <c r="BC8" s="190">
        <f>IF(AND(BC$3&gt;'UW Model'!$O$14+1,BC$3&lt;='UW Model'!$O$15),'UW Model'!$O30/('UW Model'!$O$15-'UW Model'!$O$14-1)+BB8,BB8)</f>
        <v>0</v>
      </c>
      <c r="BD8" s="190">
        <f>IF(AND(BD$3&gt;'UW Model'!$O$14+1,BD$3&lt;='UW Model'!$O$15),'UW Model'!$O30/('UW Model'!$O$15-'UW Model'!$O$14-1)+BC8,BC8)</f>
        <v>0</v>
      </c>
      <c r="BE8" s="190">
        <f>IF(AND(BE$3&gt;'UW Model'!$O$14+1,BE$3&lt;='UW Model'!$O$15),'UW Model'!$O30/('UW Model'!$O$15-'UW Model'!$O$14-1)+BD8,BD8)</f>
        <v>0</v>
      </c>
      <c r="BF8" s="190">
        <f>IF(AND(BF$3&gt;'UW Model'!$O$14+1,BF$3&lt;='UW Model'!$O$15),'UW Model'!$O30/('UW Model'!$O$15-'UW Model'!$O$14-1)+BE8,BE8)</f>
        <v>0</v>
      </c>
      <c r="BG8" s="192">
        <f>IF(AND(BG$3&gt;'UW Model'!$O$14+1,BG$3&lt;='UW Model'!$O$15),'UW Model'!$O30/('UW Model'!$O$15-'UW Model'!$O$14-1)+BF8,BF8)</f>
        <v>0</v>
      </c>
      <c r="BH8" s="190">
        <f>IF(AND(BH$3&gt;'UW Model'!$O$14+1,BH$3&lt;='UW Model'!$O$15),'UW Model'!$O30/('UW Model'!$O$15-'UW Model'!$O$14-1)+BG8,BG8)</f>
        <v>0</v>
      </c>
      <c r="BI8" s="190">
        <f>IF(AND(BI$3&gt;'UW Model'!$O$14+1,BI$3&lt;='UW Model'!$O$15),'UW Model'!$O30/('UW Model'!$O$15-'UW Model'!$O$14-1)+BH8,BH8)</f>
        <v>0</v>
      </c>
      <c r="BJ8" s="190">
        <f>IF(AND(BJ$3&gt;'UW Model'!$O$14+1,BJ$3&lt;='UW Model'!$O$15),'UW Model'!$O30/('UW Model'!$O$15-'UW Model'!$O$14-1)+BI8,BI8)</f>
        <v>0</v>
      </c>
      <c r="BK8" s="190">
        <f>IF(AND(BK$3&gt;'UW Model'!$O$14+1,BK$3&lt;='UW Model'!$O$15),'UW Model'!$O30/('UW Model'!$O$15-'UW Model'!$O$14-1)+BJ8,BJ8)</f>
        <v>0</v>
      </c>
      <c r="BL8" s="190">
        <f>IF(AND(BL$3&gt;'UW Model'!$O$14+1,BL$3&lt;='UW Model'!$O$15),'UW Model'!$O30/('UW Model'!$O$15-'UW Model'!$O$14-1)+BK8,BK8)</f>
        <v>0</v>
      </c>
      <c r="BM8" s="190">
        <f>IF(AND(BM$3&gt;'UW Model'!$O$14+1,BM$3&lt;='UW Model'!$O$15),'UW Model'!$O30/('UW Model'!$O$15-'UW Model'!$O$14-1)+BL8,BL8)</f>
        <v>0</v>
      </c>
      <c r="BN8" s="190">
        <f>IF(AND(BN$3&gt;'UW Model'!$O$14+1,BN$3&lt;='UW Model'!$O$15),'UW Model'!$O30/('UW Model'!$O$15-'UW Model'!$O$14-1)+BM8,BM8)</f>
        <v>0</v>
      </c>
      <c r="BO8" s="190">
        <f>IF(AND(BO$3&gt;'UW Model'!$O$14+1,BO$3&lt;='UW Model'!$O$15),'UW Model'!$O30/('UW Model'!$O$15-'UW Model'!$O$14-1)+BN8,BN8)</f>
        <v>0</v>
      </c>
      <c r="BP8" s="190">
        <f>IF(AND(BP$3&gt;'UW Model'!$O$14+1,BP$3&lt;='UW Model'!$O$15),'UW Model'!$O30/('UW Model'!$O$15-'UW Model'!$O$14-1)+BO8,BO8)</f>
        <v>0</v>
      </c>
      <c r="BQ8" s="190">
        <f>IF(AND(BQ$3&gt;'UW Model'!$O$14+1,BQ$3&lt;='UW Model'!$O$15),'UW Model'!$O30/('UW Model'!$O$15-'UW Model'!$O$14-1)+BP8,BP8)</f>
        <v>0</v>
      </c>
      <c r="BR8" s="190">
        <f>IF(AND(BR$3&gt;'UW Model'!$O$14+1,BR$3&lt;='UW Model'!$O$15),'UW Model'!$O30/('UW Model'!$O$15-'UW Model'!$O$14-1)+BQ8,BQ8)</f>
        <v>0</v>
      </c>
      <c r="BS8" s="192">
        <f>IF(AND(BS$3&gt;'UW Model'!$O$14+1,BS$3&lt;='UW Model'!$O$15),'UW Model'!$O30/('UW Model'!$O$15-'UW Model'!$O$14-1)+BR8,BR8)</f>
        <v>0</v>
      </c>
      <c r="BT8" s="190">
        <f>IF(AND(BT$3&gt;'UW Model'!$O$14+1,BT$3&lt;='UW Model'!$O$15),'UW Model'!$O30/('UW Model'!$O$15-'UW Model'!$O$14-1)+BS8,BS8)</f>
        <v>0</v>
      </c>
      <c r="BU8" s="190">
        <f>IF(AND(BU$3&gt;'UW Model'!$O$14+1,BU$3&lt;='UW Model'!$O$15),'UW Model'!$O30/('UW Model'!$O$15-'UW Model'!$O$14-1)+BT8,BT8)</f>
        <v>0</v>
      </c>
      <c r="BV8" s="190">
        <f>IF(AND(BV$3&gt;'UW Model'!$O$14+1,BV$3&lt;='UW Model'!$O$15),'UW Model'!$O30/('UW Model'!$O$15-'UW Model'!$O$14-1)+BU8,BU8)</f>
        <v>0</v>
      </c>
      <c r="BW8" s="190">
        <f>IF(AND(BW$3&gt;'UW Model'!$O$14+1,BW$3&lt;='UW Model'!$O$15),'UW Model'!$O30/('UW Model'!$O$15-'UW Model'!$O$14-1)+BV8,BV8)</f>
        <v>0</v>
      </c>
      <c r="BX8" s="190">
        <f>IF(AND(BX$3&gt;'UW Model'!$O$14+1,BX$3&lt;='UW Model'!$O$15),'UW Model'!$O30/('UW Model'!$O$15-'UW Model'!$O$14-1)+BW8,BW8)</f>
        <v>0</v>
      </c>
      <c r="BY8" s="190">
        <f>IF(AND(BY$3&gt;'UW Model'!$O$14+1,BY$3&lt;='UW Model'!$O$15),'UW Model'!$O30/('UW Model'!$O$15-'UW Model'!$O$14-1)+BX8,BX8)</f>
        <v>0</v>
      </c>
      <c r="BZ8" s="190">
        <f>IF(AND(BZ$3&gt;'UW Model'!$O$14+1,BZ$3&lt;='UW Model'!$O$15),'UW Model'!$O30/('UW Model'!$O$15-'UW Model'!$O$14-1)+BY8,BY8)</f>
        <v>0</v>
      </c>
      <c r="CA8" s="190">
        <f>IF(AND(CA$3&gt;'UW Model'!$O$14+1,CA$3&lt;='UW Model'!$O$15),'UW Model'!$O30/('UW Model'!$O$15-'UW Model'!$O$14-1)+BZ8,BZ8)</f>
        <v>0</v>
      </c>
      <c r="CB8" s="190">
        <f>IF(AND(CB$3&gt;'UW Model'!$O$14+1,CB$3&lt;='UW Model'!$O$15),'UW Model'!$O30/('UW Model'!$O$15-'UW Model'!$O$14-1)+CA8,CA8)</f>
        <v>0</v>
      </c>
      <c r="CC8" s="190">
        <f>IF(AND(CC$3&gt;'UW Model'!$O$14+1,CC$3&lt;='UW Model'!$O$15),'UW Model'!$O30/('UW Model'!$O$15-'UW Model'!$O$14-1)+CB8,CB8)</f>
        <v>0</v>
      </c>
      <c r="CD8" s="190">
        <f>IF(AND(CD$3&gt;'UW Model'!$O$14+1,CD$3&lt;='UW Model'!$O$15),'UW Model'!$O30/('UW Model'!$O$15-'UW Model'!$O$14-1)+CC8,CC8)</f>
        <v>0</v>
      </c>
      <c r="CE8" s="195">
        <f>IF(AND(CE$3&gt;'UW Model'!$O$14+1,CE$3&lt;='UW Model'!$O$15),'UW Model'!$O30/('UW Model'!$O$15-'UW Model'!$O$14-1)+CD8,CD8)</f>
        <v>0</v>
      </c>
    </row>
    <row r="9" spans="2:83" x14ac:dyDescent="0.35">
      <c r="P9" s="933"/>
      <c r="Q9" s="196" t="str">
        <f>IF('UW Model'!C31="","",'UW Model'!C31)</f>
        <v/>
      </c>
      <c r="R9" s="197">
        <f t="shared" si="22"/>
        <v>0</v>
      </c>
      <c r="S9" s="191">
        <f t="shared" si="22"/>
        <v>0</v>
      </c>
      <c r="T9" s="191">
        <f t="shared" si="22"/>
        <v>0</v>
      </c>
      <c r="U9" s="191">
        <f t="shared" si="22"/>
        <v>0</v>
      </c>
      <c r="V9" s="198">
        <f t="shared" si="22"/>
        <v>0</v>
      </c>
      <c r="W9" s="193">
        <v>0</v>
      </c>
      <c r="X9" s="193">
        <f>IF(AND(X$3&gt;'UW Model'!$O$14+1,X$3&lt;='UW Model'!$O$15),'UW Model'!$O31/('UW Model'!$O$15-'UW Model'!$O$14-1)+W9,0)</f>
        <v>0</v>
      </c>
      <c r="Y9" s="190">
        <f>IF(AND(Y$3&gt;'UW Model'!$O$14+1,Y$3&lt;='UW Model'!$O$15),'UW Model'!$O31/('UW Model'!$O$15-'UW Model'!$O$14-1)+X9,X9)</f>
        <v>0</v>
      </c>
      <c r="Z9" s="190">
        <f>IF(AND(Z$3&gt;'UW Model'!$O$14+1,Z$3&lt;='UW Model'!$O$15),'UW Model'!$O31/('UW Model'!$O$15-'UW Model'!$O$14-1)+Y9,Y9)</f>
        <v>0</v>
      </c>
      <c r="AA9" s="190">
        <f>IF(AND(AA$3&gt;'UW Model'!$O$14+1,AA$3&lt;='UW Model'!$O$15),'UW Model'!$O31/('UW Model'!$O$15-'UW Model'!$O$14-1)+Z9,Z9)</f>
        <v>0</v>
      </c>
      <c r="AB9" s="190">
        <f>IF(AND(AB$3&gt;'UW Model'!$O$14+1,AB$3&lt;='UW Model'!$O$15),'UW Model'!$O31/('UW Model'!$O$15-'UW Model'!$O$14-1)+AA9,AA9)</f>
        <v>0</v>
      </c>
      <c r="AC9" s="190">
        <f>IF(AND(AC$3&gt;'UW Model'!$O$14+1,AC$3&lt;='UW Model'!$O$15),'UW Model'!$O31/('UW Model'!$O$15-'UW Model'!$O$14-1)+AB9,AB9)</f>
        <v>0</v>
      </c>
      <c r="AD9" s="190">
        <f>IF(AND(AD$3&gt;'UW Model'!$O$14+1,AD$3&lt;='UW Model'!$O$15),'UW Model'!$O31/('UW Model'!$O$15-'UW Model'!$O$14-1)+AC9,AC9)</f>
        <v>0</v>
      </c>
      <c r="AE9" s="190">
        <f>IF(AND(AE$3&gt;'UW Model'!$O$14+1,AE$3&lt;='UW Model'!$O$15),'UW Model'!$O31/('UW Model'!$O$15-'UW Model'!$O$14-1)+AD9,AD9)</f>
        <v>0</v>
      </c>
      <c r="AF9" s="190">
        <f>IF(AND(AF$3&gt;'UW Model'!$O$14+1,AF$3&lt;='UW Model'!$O$15),'UW Model'!$O31/('UW Model'!$O$15-'UW Model'!$O$14-1)+AE9,AE9)</f>
        <v>0</v>
      </c>
      <c r="AG9" s="190">
        <f>IF(AND(AG$3&gt;'UW Model'!$O$14+1,AG$3&lt;='UW Model'!$O$15),'UW Model'!$O31/('UW Model'!$O$15-'UW Model'!$O$14-1)+AF9,AF9)</f>
        <v>0</v>
      </c>
      <c r="AH9" s="190">
        <f>IF(AND(AH$3&gt;'UW Model'!$O$14+1,AH$3&lt;='UW Model'!$O$15),'UW Model'!$O31/('UW Model'!$O$15-'UW Model'!$O$14-1)+AG9,AG9)</f>
        <v>0</v>
      </c>
      <c r="AI9" s="192">
        <f>IF(AND(AI$3&gt;'UW Model'!$O$14+1,AI$3&lt;='UW Model'!$O$15),'UW Model'!$O31/('UW Model'!$O$15-'UW Model'!$O$14-1)+AH9,AH9)</f>
        <v>0</v>
      </c>
      <c r="AJ9" s="193">
        <f>IF(AND(AJ$3&gt;'UW Model'!$O$14+1,AJ$3&lt;='UW Model'!$O$15),'UW Model'!$O31/('UW Model'!$O$15-'UW Model'!$O$14-1)+AI9,AI9)</f>
        <v>0</v>
      </c>
      <c r="AK9" s="190">
        <f>IF(AND(AK$3&gt;'UW Model'!$O$14+1,AK$3&lt;='UW Model'!$O$15),'UW Model'!$O31/('UW Model'!$O$15-'UW Model'!$O$14-1)+AJ9,AJ9)</f>
        <v>0</v>
      </c>
      <c r="AL9" s="190">
        <f>IF(AND(AL$3&gt;'UW Model'!$O$14+1,AL$3&lt;='UW Model'!$O$15),'UW Model'!$O31/('UW Model'!$O$15-'UW Model'!$O$14-1)+AK9,AK9)</f>
        <v>0</v>
      </c>
      <c r="AM9" s="190">
        <f>IF(AND(AM$3&gt;'UW Model'!$O$14+1,AM$3&lt;='UW Model'!$O$15),'UW Model'!$O31/('UW Model'!$O$15-'UW Model'!$O$14-1)+AL9,AL9)</f>
        <v>0</v>
      </c>
      <c r="AN9" s="190">
        <f>IF(AND(AN$3&gt;'UW Model'!$O$14+1,AN$3&lt;='UW Model'!$O$15),'UW Model'!$O31/('UW Model'!$O$15-'UW Model'!$O$14-1)+AM9,AM9)</f>
        <v>0</v>
      </c>
      <c r="AO9" s="190">
        <f>IF(AND(AO$3&gt;'UW Model'!$O$14+1,AO$3&lt;='UW Model'!$O$15),'UW Model'!$O31/('UW Model'!$O$15-'UW Model'!$O$14-1)+AN9,AN9)</f>
        <v>0</v>
      </c>
      <c r="AP9" s="190">
        <f>IF(AND(AP$3&gt;'UW Model'!$O$14+1,AP$3&lt;='UW Model'!$O$15),'UW Model'!$O31/('UW Model'!$O$15-'UW Model'!$O$14-1)+AO9,AO9)</f>
        <v>0</v>
      </c>
      <c r="AQ9" s="190">
        <f>IF(AND(AQ$3&gt;'UW Model'!$O$14+1,AQ$3&lt;='UW Model'!$O$15),'UW Model'!$O31/('UW Model'!$O$15-'UW Model'!$O$14-1)+AP9,AP9)</f>
        <v>0</v>
      </c>
      <c r="AR9" s="190">
        <f>IF(AND(AR$3&gt;'UW Model'!$O$14+1,AR$3&lt;='UW Model'!$O$15),'UW Model'!$O31/('UW Model'!$O$15-'UW Model'!$O$14-1)+AQ9,AQ9)</f>
        <v>0</v>
      </c>
      <c r="AS9" s="190">
        <f>IF(AND(AS$3&gt;'UW Model'!$O$14+1,AS$3&lt;='UW Model'!$O$15),'UW Model'!$O31/('UW Model'!$O$15-'UW Model'!$O$14-1)+AR9,AR9)</f>
        <v>0</v>
      </c>
      <c r="AT9" s="190">
        <f>IF(AND(AT$3&gt;'UW Model'!$O$14+1,AT$3&lt;='UW Model'!$O$15),'UW Model'!$O31/('UW Model'!$O$15-'UW Model'!$O$14-1)+AS9,AS9)</f>
        <v>0</v>
      </c>
      <c r="AU9" s="192">
        <f>IF(AND(AU$3&gt;'UW Model'!$O$14+1,AU$3&lt;='UW Model'!$O$15),'UW Model'!$O31/('UW Model'!$O$15-'UW Model'!$O$14-1)+AT9,AT9)</f>
        <v>0</v>
      </c>
      <c r="AV9" s="190">
        <f>IF(AND(AV$3&gt;'UW Model'!$O$14+1,AV$3&lt;='UW Model'!$O$15),'UW Model'!$O31/('UW Model'!$O$15-'UW Model'!$O$14-1)+AU9,AU9)</f>
        <v>0</v>
      </c>
      <c r="AW9" s="190">
        <f>IF(AND(AW$3&gt;'UW Model'!$O$14+1,AW$3&lt;='UW Model'!$O$15),'UW Model'!$O31/('UW Model'!$O$15-'UW Model'!$O$14-1)+AV9,AV9)</f>
        <v>0</v>
      </c>
      <c r="AX9" s="190">
        <f>IF(AND(AX$3&gt;'UW Model'!$O$14+1,AX$3&lt;='UW Model'!$O$15),'UW Model'!$O31/('UW Model'!$O$15-'UW Model'!$O$14-1)+AW9,AW9)</f>
        <v>0</v>
      </c>
      <c r="AY9" s="190">
        <f>IF(AND(AY$3&gt;'UW Model'!$O$14+1,AY$3&lt;='UW Model'!$O$15),'UW Model'!$O31/('UW Model'!$O$15-'UW Model'!$O$14-1)+AX9,AX9)</f>
        <v>0</v>
      </c>
      <c r="AZ9" s="190">
        <f>IF(AND(AZ$3&gt;'UW Model'!$O$14+1,AZ$3&lt;='UW Model'!$O$15),'UW Model'!$O31/('UW Model'!$O$15-'UW Model'!$O$14-1)+AY9,AY9)</f>
        <v>0</v>
      </c>
      <c r="BA9" s="190">
        <f>IF(AND(BA$3&gt;'UW Model'!$O$14+1,BA$3&lt;='UW Model'!$O$15),'UW Model'!$O31/('UW Model'!$O$15-'UW Model'!$O$14-1)+AZ9,AZ9)</f>
        <v>0</v>
      </c>
      <c r="BB9" s="190">
        <f>IF(AND(BB$3&gt;'UW Model'!$O$14+1,BB$3&lt;='UW Model'!$O$15),'UW Model'!$O31/('UW Model'!$O$15-'UW Model'!$O$14-1)+BA9,BA9)</f>
        <v>0</v>
      </c>
      <c r="BC9" s="190">
        <f>IF(AND(BC$3&gt;'UW Model'!$O$14+1,BC$3&lt;='UW Model'!$O$15),'UW Model'!$O31/('UW Model'!$O$15-'UW Model'!$O$14-1)+BB9,BB9)</f>
        <v>0</v>
      </c>
      <c r="BD9" s="190">
        <f>IF(AND(BD$3&gt;'UW Model'!$O$14+1,BD$3&lt;='UW Model'!$O$15),'UW Model'!$O31/('UW Model'!$O$15-'UW Model'!$O$14-1)+BC9,BC9)</f>
        <v>0</v>
      </c>
      <c r="BE9" s="190">
        <f>IF(AND(BE$3&gt;'UW Model'!$O$14+1,BE$3&lt;='UW Model'!$O$15),'UW Model'!$O31/('UW Model'!$O$15-'UW Model'!$O$14-1)+BD9,BD9)</f>
        <v>0</v>
      </c>
      <c r="BF9" s="190">
        <f>IF(AND(BF$3&gt;'UW Model'!$O$14+1,BF$3&lt;='UW Model'!$O$15),'UW Model'!$O31/('UW Model'!$O$15-'UW Model'!$O$14-1)+BE9,BE9)</f>
        <v>0</v>
      </c>
      <c r="BG9" s="192">
        <f>IF(AND(BG$3&gt;'UW Model'!$O$14+1,BG$3&lt;='UW Model'!$O$15),'UW Model'!$O31/('UW Model'!$O$15-'UW Model'!$O$14-1)+BF9,BF9)</f>
        <v>0</v>
      </c>
      <c r="BH9" s="190">
        <f>IF(AND(BH$3&gt;'UW Model'!$O$14+1,BH$3&lt;='UW Model'!$O$15),'UW Model'!$O31/('UW Model'!$O$15-'UW Model'!$O$14-1)+BG9,BG9)</f>
        <v>0</v>
      </c>
      <c r="BI9" s="190">
        <f>IF(AND(BI$3&gt;'UW Model'!$O$14+1,BI$3&lt;='UW Model'!$O$15),'UW Model'!$O31/('UW Model'!$O$15-'UW Model'!$O$14-1)+BH9,BH9)</f>
        <v>0</v>
      </c>
      <c r="BJ9" s="190">
        <f>IF(AND(BJ$3&gt;'UW Model'!$O$14+1,BJ$3&lt;='UW Model'!$O$15),'UW Model'!$O31/('UW Model'!$O$15-'UW Model'!$O$14-1)+BI9,BI9)</f>
        <v>0</v>
      </c>
      <c r="BK9" s="190">
        <f>IF(AND(BK$3&gt;'UW Model'!$O$14+1,BK$3&lt;='UW Model'!$O$15),'UW Model'!$O31/('UW Model'!$O$15-'UW Model'!$O$14-1)+BJ9,BJ9)</f>
        <v>0</v>
      </c>
      <c r="BL9" s="190">
        <f>IF(AND(BL$3&gt;'UW Model'!$O$14+1,BL$3&lt;='UW Model'!$O$15),'UW Model'!$O31/('UW Model'!$O$15-'UW Model'!$O$14-1)+BK9,BK9)</f>
        <v>0</v>
      </c>
      <c r="BM9" s="190">
        <f>IF(AND(BM$3&gt;'UW Model'!$O$14+1,BM$3&lt;='UW Model'!$O$15),'UW Model'!$O31/('UW Model'!$O$15-'UW Model'!$O$14-1)+BL9,BL9)</f>
        <v>0</v>
      </c>
      <c r="BN9" s="190">
        <f>IF(AND(BN$3&gt;'UW Model'!$O$14+1,BN$3&lt;='UW Model'!$O$15),'UW Model'!$O31/('UW Model'!$O$15-'UW Model'!$O$14-1)+BM9,BM9)</f>
        <v>0</v>
      </c>
      <c r="BO9" s="190">
        <f>IF(AND(BO$3&gt;'UW Model'!$O$14+1,BO$3&lt;='UW Model'!$O$15),'UW Model'!$O31/('UW Model'!$O$15-'UW Model'!$O$14-1)+BN9,BN9)</f>
        <v>0</v>
      </c>
      <c r="BP9" s="190">
        <f>IF(AND(BP$3&gt;'UW Model'!$O$14+1,BP$3&lt;='UW Model'!$O$15),'UW Model'!$O31/('UW Model'!$O$15-'UW Model'!$O$14-1)+BO9,BO9)</f>
        <v>0</v>
      </c>
      <c r="BQ9" s="190">
        <f>IF(AND(BQ$3&gt;'UW Model'!$O$14+1,BQ$3&lt;='UW Model'!$O$15),'UW Model'!$O31/('UW Model'!$O$15-'UW Model'!$O$14-1)+BP9,BP9)</f>
        <v>0</v>
      </c>
      <c r="BR9" s="190">
        <f>IF(AND(BR$3&gt;'UW Model'!$O$14+1,BR$3&lt;='UW Model'!$O$15),'UW Model'!$O31/('UW Model'!$O$15-'UW Model'!$O$14-1)+BQ9,BQ9)</f>
        <v>0</v>
      </c>
      <c r="BS9" s="192">
        <f>IF(AND(BS$3&gt;'UW Model'!$O$14+1,BS$3&lt;='UW Model'!$O$15),'UW Model'!$O31/('UW Model'!$O$15-'UW Model'!$O$14-1)+BR9,BR9)</f>
        <v>0</v>
      </c>
      <c r="BT9" s="190">
        <f>IF(AND(BT$3&gt;'UW Model'!$O$14+1,BT$3&lt;='UW Model'!$O$15),'UW Model'!$O31/('UW Model'!$O$15-'UW Model'!$O$14-1)+BS9,BS9)</f>
        <v>0</v>
      </c>
      <c r="BU9" s="190">
        <f>IF(AND(BU$3&gt;'UW Model'!$O$14+1,BU$3&lt;='UW Model'!$O$15),'UW Model'!$O31/('UW Model'!$O$15-'UW Model'!$O$14-1)+BT9,BT9)</f>
        <v>0</v>
      </c>
      <c r="BV9" s="190">
        <f>IF(AND(BV$3&gt;'UW Model'!$O$14+1,BV$3&lt;='UW Model'!$O$15),'UW Model'!$O31/('UW Model'!$O$15-'UW Model'!$O$14-1)+BU9,BU9)</f>
        <v>0</v>
      </c>
      <c r="BW9" s="190">
        <f>IF(AND(BW$3&gt;'UW Model'!$O$14+1,BW$3&lt;='UW Model'!$O$15),'UW Model'!$O31/('UW Model'!$O$15-'UW Model'!$O$14-1)+BV9,BV9)</f>
        <v>0</v>
      </c>
      <c r="BX9" s="190">
        <f>IF(AND(BX$3&gt;'UW Model'!$O$14+1,BX$3&lt;='UW Model'!$O$15),'UW Model'!$O31/('UW Model'!$O$15-'UW Model'!$O$14-1)+BW9,BW9)</f>
        <v>0</v>
      </c>
      <c r="BY9" s="190">
        <f>IF(AND(BY$3&gt;'UW Model'!$O$14+1,BY$3&lt;='UW Model'!$O$15),'UW Model'!$O31/('UW Model'!$O$15-'UW Model'!$O$14-1)+BX9,BX9)</f>
        <v>0</v>
      </c>
      <c r="BZ9" s="190">
        <f>IF(AND(BZ$3&gt;'UW Model'!$O$14+1,BZ$3&lt;='UW Model'!$O$15),'UW Model'!$O31/('UW Model'!$O$15-'UW Model'!$O$14-1)+BY9,BY9)</f>
        <v>0</v>
      </c>
      <c r="CA9" s="190">
        <f>IF(AND(CA$3&gt;'UW Model'!$O$14+1,CA$3&lt;='UW Model'!$O$15),'UW Model'!$O31/('UW Model'!$O$15-'UW Model'!$O$14-1)+BZ9,BZ9)</f>
        <v>0</v>
      </c>
      <c r="CB9" s="190">
        <f>IF(AND(CB$3&gt;'UW Model'!$O$14+1,CB$3&lt;='UW Model'!$O$15),'UW Model'!$O31/('UW Model'!$O$15-'UW Model'!$O$14-1)+CA9,CA9)</f>
        <v>0</v>
      </c>
      <c r="CC9" s="190">
        <f>IF(AND(CC$3&gt;'UW Model'!$O$14+1,CC$3&lt;='UW Model'!$O$15),'UW Model'!$O31/('UW Model'!$O$15-'UW Model'!$O$14-1)+CB9,CB9)</f>
        <v>0</v>
      </c>
      <c r="CD9" s="190">
        <f>IF(AND(CD$3&gt;'UW Model'!$O$14+1,CD$3&lt;='UW Model'!$O$15),'UW Model'!$O31/('UW Model'!$O$15-'UW Model'!$O$14-1)+CC9,CC9)</f>
        <v>0</v>
      </c>
      <c r="CE9" s="195">
        <f>IF(AND(CE$3&gt;'UW Model'!$O$14+1,CE$3&lt;='UW Model'!$O$15),'UW Model'!$O31/('UW Model'!$O$15-'UW Model'!$O$14-1)+CD9,CD9)</f>
        <v>0</v>
      </c>
    </row>
    <row r="10" spans="2:83" x14ac:dyDescent="0.35">
      <c r="P10" s="933"/>
      <c r="Q10" s="196" t="str">
        <f>IF('UW Model'!C32="","",'UW Model'!C32)</f>
        <v/>
      </c>
      <c r="R10" s="197">
        <f t="shared" si="22"/>
        <v>0</v>
      </c>
      <c r="S10" s="191">
        <f t="shared" si="22"/>
        <v>0</v>
      </c>
      <c r="T10" s="191">
        <f t="shared" si="22"/>
        <v>0</v>
      </c>
      <c r="U10" s="191">
        <f t="shared" si="22"/>
        <v>0</v>
      </c>
      <c r="V10" s="198">
        <f t="shared" si="22"/>
        <v>0</v>
      </c>
      <c r="W10" s="193">
        <v>0</v>
      </c>
      <c r="X10" s="193">
        <f>IF(AND(X$3&gt;'UW Model'!$O$14+1,X$3&lt;='UW Model'!$O$15),'UW Model'!$O32/('UW Model'!$O$15-'UW Model'!$O$14-1)+W10,0)</f>
        <v>0</v>
      </c>
      <c r="Y10" s="190">
        <f>IF(AND(Y$3&gt;'UW Model'!$O$14+1,Y$3&lt;='UW Model'!$O$15),'UW Model'!$O32/('UW Model'!$O$15-'UW Model'!$O$14-1)+X10,X10)</f>
        <v>0</v>
      </c>
      <c r="Z10" s="190">
        <f>IF(AND(Z$3&gt;'UW Model'!$O$14+1,Z$3&lt;='UW Model'!$O$15),'UW Model'!$O32/('UW Model'!$O$15-'UW Model'!$O$14-1)+Y10,Y10)</f>
        <v>0</v>
      </c>
      <c r="AA10" s="190">
        <f>IF(AND(AA$3&gt;'UW Model'!$O$14+1,AA$3&lt;='UW Model'!$O$15),'UW Model'!$O32/('UW Model'!$O$15-'UW Model'!$O$14-1)+Z10,Z10)</f>
        <v>0</v>
      </c>
      <c r="AB10" s="190">
        <f>IF(AND(AB$3&gt;'UW Model'!$O$14+1,AB$3&lt;='UW Model'!$O$15),'UW Model'!$O32/('UW Model'!$O$15-'UW Model'!$O$14-1)+AA10,AA10)</f>
        <v>0</v>
      </c>
      <c r="AC10" s="190">
        <f>IF(AND(AC$3&gt;'UW Model'!$O$14+1,AC$3&lt;='UW Model'!$O$15),'UW Model'!$O32/('UW Model'!$O$15-'UW Model'!$O$14-1)+AB10,AB10)</f>
        <v>0</v>
      </c>
      <c r="AD10" s="190">
        <f>IF(AND(AD$3&gt;'UW Model'!$O$14+1,AD$3&lt;='UW Model'!$O$15),'UW Model'!$O32/('UW Model'!$O$15-'UW Model'!$O$14-1)+AC10,AC10)</f>
        <v>0</v>
      </c>
      <c r="AE10" s="190">
        <f>IF(AND(AE$3&gt;'UW Model'!$O$14+1,AE$3&lt;='UW Model'!$O$15),'UW Model'!$O32/('UW Model'!$O$15-'UW Model'!$O$14-1)+AD10,AD10)</f>
        <v>0</v>
      </c>
      <c r="AF10" s="190">
        <f>IF(AND(AF$3&gt;'UW Model'!$O$14+1,AF$3&lt;='UW Model'!$O$15),'UW Model'!$O32/('UW Model'!$O$15-'UW Model'!$O$14-1)+AE10,AE10)</f>
        <v>0</v>
      </c>
      <c r="AG10" s="190">
        <f>IF(AND(AG$3&gt;'UW Model'!$O$14+1,AG$3&lt;='UW Model'!$O$15),'UW Model'!$O32/('UW Model'!$O$15-'UW Model'!$O$14-1)+AF10,AF10)</f>
        <v>0</v>
      </c>
      <c r="AH10" s="190">
        <f>IF(AND(AH$3&gt;'UW Model'!$O$14+1,AH$3&lt;='UW Model'!$O$15),'UW Model'!$O32/('UW Model'!$O$15-'UW Model'!$O$14-1)+AG10,AG10)</f>
        <v>0</v>
      </c>
      <c r="AI10" s="192">
        <f>IF(AND(AI$3&gt;'UW Model'!$O$14+1,AI$3&lt;='UW Model'!$O$15),'UW Model'!$O32/('UW Model'!$O$15-'UW Model'!$O$14-1)+AH10,AH10)</f>
        <v>0</v>
      </c>
      <c r="AJ10" s="193">
        <f>IF(AND(AJ$3&gt;'UW Model'!$O$14+1,AJ$3&lt;='UW Model'!$O$15),'UW Model'!$O32/('UW Model'!$O$15-'UW Model'!$O$14-1)+AI10,AI10)</f>
        <v>0</v>
      </c>
      <c r="AK10" s="190">
        <f>IF(AND(AK$3&gt;'UW Model'!$O$14+1,AK$3&lt;='UW Model'!$O$15),'UW Model'!$O32/('UW Model'!$O$15-'UW Model'!$O$14-1)+AJ10,AJ10)</f>
        <v>0</v>
      </c>
      <c r="AL10" s="190">
        <f>IF(AND(AL$3&gt;'UW Model'!$O$14+1,AL$3&lt;='UW Model'!$O$15),'UW Model'!$O32/('UW Model'!$O$15-'UW Model'!$O$14-1)+AK10,AK10)</f>
        <v>0</v>
      </c>
      <c r="AM10" s="190">
        <f>IF(AND(AM$3&gt;'UW Model'!$O$14+1,AM$3&lt;='UW Model'!$O$15),'UW Model'!$O32/('UW Model'!$O$15-'UW Model'!$O$14-1)+AL10,AL10)</f>
        <v>0</v>
      </c>
      <c r="AN10" s="190">
        <f>IF(AND(AN$3&gt;'UW Model'!$O$14+1,AN$3&lt;='UW Model'!$O$15),'UW Model'!$O32/('UW Model'!$O$15-'UW Model'!$O$14-1)+AM10,AM10)</f>
        <v>0</v>
      </c>
      <c r="AO10" s="190">
        <f>IF(AND(AO$3&gt;'UW Model'!$O$14+1,AO$3&lt;='UW Model'!$O$15),'UW Model'!$O32/('UW Model'!$O$15-'UW Model'!$O$14-1)+AN10,AN10)</f>
        <v>0</v>
      </c>
      <c r="AP10" s="190">
        <f>IF(AND(AP$3&gt;'UW Model'!$O$14+1,AP$3&lt;='UW Model'!$O$15),'UW Model'!$O32/('UW Model'!$O$15-'UW Model'!$O$14-1)+AO10,AO10)</f>
        <v>0</v>
      </c>
      <c r="AQ10" s="190">
        <f>IF(AND(AQ$3&gt;'UW Model'!$O$14+1,AQ$3&lt;='UW Model'!$O$15),'UW Model'!$O32/('UW Model'!$O$15-'UW Model'!$O$14-1)+AP10,AP10)</f>
        <v>0</v>
      </c>
      <c r="AR10" s="190">
        <f>IF(AND(AR$3&gt;'UW Model'!$O$14+1,AR$3&lt;='UW Model'!$O$15),'UW Model'!$O32/('UW Model'!$O$15-'UW Model'!$O$14-1)+AQ10,AQ10)</f>
        <v>0</v>
      </c>
      <c r="AS10" s="190">
        <f>IF(AND(AS$3&gt;'UW Model'!$O$14+1,AS$3&lt;='UW Model'!$O$15),'UW Model'!$O32/('UW Model'!$O$15-'UW Model'!$O$14-1)+AR10,AR10)</f>
        <v>0</v>
      </c>
      <c r="AT10" s="190">
        <f>IF(AND(AT$3&gt;'UW Model'!$O$14+1,AT$3&lt;='UW Model'!$O$15),'UW Model'!$O32/('UW Model'!$O$15-'UW Model'!$O$14-1)+AS10,AS10)</f>
        <v>0</v>
      </c>
      <c r="AU10" s="192">
        <f>IF(AND(AU$3&gt;'UW Model'!$O$14+1,AU$3&lt;='UW Model'!$O$15),'UW Model'!$O32/('UW Model'!$O$15-'UW Model'!$O$14-1)+AT10,AT10)</f>
        <v>0</v>
      </c>
      <c r="AV10" s="190">
        <f>IF(AND(AV$3&gt;'UW Model'!$O$14+1,AV$3&lt;='UW Model'!$O$15),'UW Model'!$O32/('UW Model'!$O$15-'UW Model'!$O$14-1)+AU10,AU10)</f>
        <v>0</v>
      </c>
      <c r="AW10" s="190">
        <f>IF(AND(AW$3&gt;'UW Model'!$O$14+1,AW$3&lt;='UW Model'!$O$15),'UW Model'!$O32/('UW Model'!$O$15-'UW Model'!$O$14-1)+AV10,AV10)</f>
        <v>0</v>
      </c>
      <c r="AX10" s="190">
        <f>IF(AND(AX$3&gt;'UW Model'!$O$14+1,AX$3&lt;='UW Model'!$O$15),'UW Model'!$O32/('UW Model'!$O$15-'UW Model'!$O$14-1)+AW10,AW10)</f>
        <v>0</v>
      </c>
      <c r="AY10" s="190">
        <f>IF(AND(AY$3&gt;'UW Model'!$O$14+1,AY$3&lt;='UW Model'!$O$15),'UW Model'!$O32/('UW Model'!$O$15-'UW Model'!$O$14-1)+AX10,AX10)</f>
        <v>0</v>
      </c>
      <c r="AZ10" s="190">
        <f>IF(AND(AZ$3&gt;'UW Model'!$O$14+1,AZ$3&lt;='UW Model'!$O$15),'UW Model'!$O32/('UW Model'!$O$15-'UW Model'!$O$14-1)+AY10,AY10)</f>
        <v>0</v>
      </c>
      <c r="BA10" s="190">
        <f>IF(AND(BA$3&gt;'UW Model'!$O$14+1,BA$3&lt;='UW Model'!$O$15),'UW Model'!$O32/('UW Model'!$O$15-'UW Model'!$O$14-1)+AZ10,AZ10)</f>
        <v>0</v>
      </c>
      <c r="BB10" s="190">
        <f>IF(AND(BB$3&gt;'UW Model'!$O$14+1,BB$3&lt;='UW Model'!$O$15),'UW Model'!$O32/('UW Model'!$O$15-'UW Model'!$O$14-1)+BA10,BA10)</f>
        <v>0</v>
      </c>
      <c r="BC10" s="190">
        <f>IF(AND(BC$3&gt;'UW Model'!$O$14+1,BC$3&lt;='UW Model'!$O$15),'UW Model'!$O32/('UW Model'!$O$15-'UW Model'!$O$14-1)+BB10,BB10)</f>
        <v>0</v>
      </c>
      <c r="BD10" s="190">
        <f>IF(AND(BD$3&gt;'UW Model'!$O$14+1,BD$3&lt;='UW Model'!$O$15),'UW Model'!$O32/('UW Model'!$O$15-'UW Model'!$O$14-1)+BC10,BC10)</f>
        <v>0</v>
      </c>
      <c r="BE10" s="190">
        <f>IF(AND(BE$3&gt;'UW Model'!$O$14+1,BE$3&lt;='UW Model'!$O$15),'UW Model'!$O32/('UW Model'!$O$15-'UW Model'!$O$14-1)+BD10,BD10)</f>
        <v>0</v>
      </c>
      <c r="BF10" s="190">
        <f>IF(AND(BF$3&gt;'UW Model'!$O$14+1,BF$3&lt;='UW Model'!$O$15),'UW Model'!$O32/('UW Model'!$O$15-'UW Model'!$O$14-1)+BE10,BE10)</f>
        <v>0</v>
      </c>
      <c r="BG10" s="192">
        <f>IF(AND(BG$3&gt;'UW Model'!$O$14+1,BG$3&lt;='UW Model'!$O$15),'UW Model'!$O32/('UW Model'!$O$15-'UW Model'!$O$14-1)+BF10,BF10)</f>
        <v>0</v>
      </c>
      <c r="BH10" s="190">
        <f>IF(AND(BH$3&gt;'UW Model'!$O$14+1,BH$3&lt;='UW Model'!$O$15),'UW Model'!$O32/('UW Model'!$O$15-'UW Model'!$O$14-1)+BG10,BG10)</f>
        <v>0</v>
      </c>
      <c r="BI10" s="190">
        <f>IF(AND(BI$3&gt;'UW Model'!$O$14+1,BI$3&lt;='UW Model'!$O$15),'UW Model'!$O32/('UW Model'!$O$15-'UW Model'!$O$14-1)+BH10,BH10)</f>
        <v>0</v>
      </c>
      <c r="BJ10" s="190">
        <f>IF(AND(BJ$3&gt;'UW Model'!$O$14+1,BJ$3&lt;='UW Model'!$O$15),'UW Model'!$O32/('UW Model'!$O$15-'UW Model'!$O$14-1)+BI10,BI10)</f>
        <v>0</v>
      </c>
      <c r="BK10" s="190">
        <f>IF(AND(BK$3&gt;'UW Model'!$O$14+1,BK$3&lt;='UW Model'!$O$15),'UW Model'!$O32/('UW Model'!$O$15-'UW Model'!$O$14-1)+BJ10,BJ10)</f>
        <v>0</v>
      </c>
      <c r="BL10" s="190">
        <f>IF(AND(BL$3&gt;'UW Model'!$O$14+1,BL$3&lt;='UW Model'!$O$15),'UW Model'!$O32/('UW Model'!$O$15-'UW Model'!$O$14-1)+BK10,BK10)</f>
        <v>0</v>
      </c>
      <c r="BM10" s="190">
        <f>IF(AND(BM$3&gt;'UW Model'!$O$14+1,BM$3&lt;='UW Model'!$O$15),'UW Model'!$O32/('UW Model'!$O$15-'UW Model'!$O$14-1)+BL10,BL10)</f>
        <v>0</v>
      </c>
      <c r="BN10" s="190">
        <f>IF(AND(BN$3&gt;'UW Model'!$O$14+1,BN$3&lt;='UW Model'!$O$15),'UW Model'!$O32/('UW Model'!$O$15-'UW Model'!$O$14-1)+BM10,BM10)</f>
        <v>0</v>
      </c>
      <c r="BO10" s="190">
        <f>IF(AND(BO$3&gt;'UW Model'!$O$14+1,BO$3&lt;='UW Model'!$O$15),'UW Model'!$O32/('UW Model'!$O$15-'UW Model'!$O$14-1)+BN10,BN10)</f>
        <v>0</v>
      </c>
      <c r="BP10" s="190">
        <f>IF(AND(BP$3&gt;'UW Model'!$O$14+1,BP$3&lt;='UW Model'!$O$15),'UW Model'!$O32/('UW Model'!$O$15-'UW Model'!$O$14-1)+BO10,BO10)</f>
        <v>0</v>
      </c>
      <c r="BQ10" s="190">
        <f>IF(AND(BQ$3&gt;'UW Model'!$O$14+1,BQ$3&lt;='UW Model'!$O$15),'UW Model'!$O32/('UW Model'!$O$15-'UW Model'!$O$14-1)+BP10,BP10)</f>
        <v>0</v>
      </c>
      <c r="BR10" s="190">
        <f>IF(AND(BR$3&gt;'UW Model'!$O$14+1,BR$3&lt;='UW Model'!$O$15),'UW Model'!$O32/('UW Model'!$O$15-'UW Model'!$O$14-1)+BQ10,BQ10)</f>
        <v>0</v>
      </c>
      <c r="BS10" s="192">
        <f>IF(AND(BS$3&gt;'UW Model'!$O$14+1,BS$3&lt;='UW Model'!$O$15),'UW Model'!$O32/('UW Model'!$O$15-'UW Model'!$O$14-1)+BR10,BR10)</f>
        <v>0</v>
      </c>
      <c r="BT10" s="190">
        <f>IF(AND(BT$3&gt;'UW Model'!$O$14+1,BT$3&lt;='UW Model'!$O$15),'UW Model'!$O32/('UW Model'!$O$15-'UW Model'!$O$14-1)+BS10,BS10)</f>
        <v>0</v>
      </c>
      <c r="BU10" s="190">
        <f>IF(AND(BU$3&gt;'UW Model'!$O$14+1,BU$3&lt;='UW Model'!$O$15),'UW Model'!$O32/('UW Model'!$O$15-'UW Model'!$O$14-1)+BT10,BT10)</f>
        <v>0</v>
      </c>
      <c r="BV10" s="190">
        <f>IF(AND(BV$3&gt;'UW Model'!$O$14+1,BV$3&lt;='UW Model'!$O$15),'UW Model'!$O32/('UW Model'!$O$15-'UW Model'!$O$14-1)+BU10,BU10)</f>
        <v>0</v>
      </c>
      <c r="BW10" s="190">
        <f>IF(AND(BW$3&gt;'UW Model'!$O$14+1,BW$3&lt;='UW Model'!$O$15),'UW Model'!$O32/('UW Model'!$O$15-'UW Model'!$O$14-1)+BV10,BV10)</f>
        <v>0</v>
      </c>
      <c r="BX10" s="190">
        <f>IF(AND(BX$3&gt;'UW Model'!$O$14+1,BX$3&lt;='UW Model'!$O$15),'UW Model'!$O32/('UW Model'!$O$15-'UW Model'!$O$14-1)+BW10,BW10)</f>
        <v>0</v>
      </c>
      <c r="BY10" s="190">
        <f>IF(AND(BY$3&gt;'UW Model'!$O$14+1,BY$3&lt;='UW Model'!$O$15),'UW Model'!$O32/('UW Model'!$O$15-'UW Model'!$O$14-1)+BX10,BX10)</f>
        <v>0</v>
      </c>
      <c r="BZ10" s="190">
        <f>IF(AND(BZ$3&gt;'UW Model'!$O$14+1,BZ$3&lt;='UW Model'!$O$15),'UW Model'!$O32/('UW Model'!$O$15-'UW Model'!$O$14-1)+BY10,BY10)</f>
        <v>0</v>
      </c>
      <c r="CA10" s="190">
        <f>IF(AND(CA$3&gt;'UW Model'!$O$14+1,CA$3&lt;='UW Model'!$O$15),'UW Model'!$O32/('UW Model'!$O$15-'UW Model'!$O$14-1)+BZ10,BZ10)</f>
        <v>0</v>
      </c>
      <c r="CB10" s="190">
        <f>IF(AND(CB$3&gt;'UW Model'!$O$14+1,CB$3&lt;='UW Model'!$O$15),'UW Model'!$O32/('UW Model'!$O$15-'UW Model'!$O$14-1)+CA10,CA10)</f>
        <v>0</v>
      </c>
      <c r="CC10" s="190">
        <f>IF(AND(CC$3&gt;'UW Model'!$O$14+1,CC$3&lt;='UW Model'!$O$15),'UW Model'!$O32/('UW Model'!$O$15-'UW Model'!$O$14-1)+CB10,CB10)</f>
        <v>0</v>
      </c>
      <c r="CD10" s="190">
        <f>IF(AND(CD$3&gt;'UW Model'!$O$14+1,CD$3&lt;='UW Model'!$O$15),'UW Model'!$O32/('UW Model'!$O$15-'UW Model'!$O$14-1)+CC10,CC10)</f>
        <v>0</v>
      </c>
      <c r="CE10" s="195">
        <f>IF(AND(CE$3&gt;'UW Model'!$O$14+1,CE$3&lt;='UW Model'!$O$15),'UW Model'!$O32/('UW Model'!$O$15-'UW Model'!$O$14-1)+CD10,CD10)</f>
        <v>0</v>
      </c>
    </row>
    <row r="11" spans="2:83" x14ac:dyDescent="0.35">
      <c r="P11" s="933"/>
      <c r="Q11" s="196" t="str">
        <f>IF('UW Model'!C33="","",'UW Model'!C33)</f>
        <v/>
      </c>
      <c r="R11" s="197">
        <f t="shared" si="22"/>
        <v>0</v>
      </c>
      <c r="S11" s="191">
        <f t="shared" si="22"/>
        <v>0</v>
      </c>
      <c r="T11" s="191">
        <f t="shared" si="22"/>
        <v>0</v>
      </c>
      <c r="U11" s="191">
        <f t="shared" si="22"/>
        <v>0</v>
      </c>
      <c r="V11" s="198">
        <f t="shared" si="22"/>
        <v>0</v>
      </c>
      <c r="W11" s="193">
        <v>0</v>
      </c>
      <c r="X11" s="193">
        <f>IF(AND(X$3&gt;'UW Model'!$O$14+1,X$3&lt;='UW Model'!$O$15),'UW Model'!$O33/('UW Model'!$O$15-'UW Model'!$O$14-1)+W11,0)</f>
        <v>0</v>
      </c>
      <c r="Y11" s="190">
        <f>IF(AND(Y$3&gt;'UW Model'!$O$14+1,Y$3&lt;='UW Model'!$O$15),'UW Model'!$O33/('UW Model'!$O$15-'UW Model'!$O$14-1)+X11,X11)</f>
        <v>0</v>
      </c>
      <c r="Z11" s="190">
        <f>IF(AND(Z$3&gt;'UW Model'!$O$14+1,Z$3&lt;='UW Model'!$O$15),'UW Model'!$O33/('UW Model'!$O$15-'UW Model'!$O$14-1)+Y11,Y11)</f>
        <v>0</v>
      </c>
      <c r="AA11" s="190">
        <f>IF(AND(AA$3&gt;'UW Model'!$O$14+1,AA$3&lt;='UW Model'!$O$15),'UW Model'!$O33/('UW Model'!$O$15-'UW Model'!$O$14-1)+Z11,Z11)</f>
        <v>0</v>
      </c>
      <c r="AB11" s="190">
        <f>IF(AND(AB$3&gt;'UW Model'!$O$14+1,AB$3&lt;='UW Model'!$O$15),'UW Model'!$O33/('UW Model'!$O$15-'UW Model'!$O$14-1)+AA11,AA11)</f>
        <v>0</v>
      </c>
      <c r="AC11" s="190">
        <f>IF(AND(AC$3&gt;'UW Model'!$O$14+1,AC$3&lt;='UW Model'!$O$15),'UW Model'!$O33/('UW Model'!$O$15-'UW Model'!$O$14-1)+AB11,AB11)</f>
        <v>0</v>
      </c>
      <c r="AD11" s="190">
        <f>IF(AND(AD$3&gt;'UW Model'!$O$14+1,AD$3&lt;='UW Model'!$O$15),'UW Model'!$O33/('UW Model'!$O$15-'UW Model'!$O$14-1)+AC11,AC11)</f>
        <v>0</v>
      </c>
      <c r="AE11" s="190">
        <f>IF(AND(AE$3&gt;'UW Model'!$O$14+1,AE$3&lt;='UW Model'!$O$15),'UW Model'!$O33/('UW Model'!$O$15-'UW Model'!$O$14-1)+AD11,AD11)</f>
        <v>0</v>
      </c>
      <c r="AF11" s="190">
        <f>IF(AND(AF$3&gt;'UW Model'!$O$14+1,AF$3&lt;='UW Model'!$O$15),'UW Model'!$O33/('UW Model'!$O$15-'UW Model'!$O$14-1)+AE11,AE11)</f>
        <v>0</v>
      </c>
      <c r="AG11" s="190">
        <f>IF(AND(AG$3&gt;'UW Model'!$O$14+1,AG$3&lt;='UW Model'!$O$15),'UW Model'!$O33/('UW Model'!$O$15-'UW Model'!$O$14-1)+AF11,AF11)</f>
        <v>0</v>
      </c>
      <c r="AH11" s="190">
        <f>IF(AND(AH$3&gt;'UW Model'!$O$14+1,AH$3&lt;='UW Model'!$O$15),'UW Model'!$O33/('UW Model'!$O$15-'UW Model'!$O$14-1)+AG11,AG11)</f>
        <v>0</v>
      </c>
      <c r="AI11" s="192">
        <f>IF(AND(AI$3&gt;'UW Model'!$O$14+1,AI$3&lt;='UW Model'!$O$15),'UW Model'!$O33/('UW Model'!$O$15-'UW Model'!$O$14-1)+AH11,AH11)</f>
        <v>0</v>
      </c>
      <c r="AJ11" s="193">
        <f>IF(AND(AJ$3&gt;'UW Model'!$O$14+1,AJ$3&lt;='UW Model'!$O$15),'UW Model'!$O33/('UW Model'!$O$15-'UW Model'!$O$14-1)+AI11,AI11)</f>
        <v>0</v>
      </c>
      <c r="AK11" s="190">
        <f>IF(AND(AK$3&gt;'UW Model'!$O$14+1,AK$3&lt;='UW Model'!$O$15),'UW Model'!$O33/('UW Model'!$O$15-'UW Model'!$O$14-1)+AJ11,AJ11)</f>
        <v>0</v>
      </c>
      <c r="AL11" s="190">
        <f>IF(AND(AL$3&gt;'UW Model'!$O$14+1,AL$3&lt;='UW Model'!$O$15),'UW Model'!$O33/('UW Model'!$O$15-'UW Model'!$O$14-1)+AK11,AK11)</f>
        <v>0</v>
      </c>
      <c r="AM11" s="190">
        <f>IF(AND(AM$3&gt;'UW Model'!$O$14+1,AM$3&lt;='UW Model'!$O$15),'UW Model'!$O33/('UW Model'!$O$15-'UW Model'!$O$14-1)+AL11,AL11)</f>
        <v>0</v>
      </c>
      <c r="AN11" s="190">
        <f>IF(AND(AN$3&gt;'UW Model'!$O$14+1,AN$3&lt;='UW Model'!$O$15),'UW Model'!$O33/('UW Model'!$O$15-'UW Model'!$O$14-1)+AM11,AM11)</f>
        <v>0</v>
      </c>
      <c r="AO11" s="190">
        <f>IF(AND(AO$3&gt;'UW Model'!$O$14+1,AO$3&lt;='UW Model'!$O$15),'UW Model'!$O33/('UW Model'!$O$15-'UW Model'!$O$14-1)+AN11,AN11)</f>
        <v>0</v>
      </c>
      <c r="AP11" s="190">
        <f>IF(AND(AP$3&gt;'UW Model'!$O$14+1,AP$3&lt;='UW Model'!$O$15),'UW Model'!$O33/('UW Model'!$O$15-'UW Model'!$O$14-1)+AO11,AO11)</f>
        <v>0</v>
      </c>
      <c r="AQ11" s="190">
        <f>IF(AND(AQ$3&gt;'UW Model'!$O$14+1,AQ$3&lt;='UW Model'!$O$15),'UW Model'!$O33/('UW Model'!$O$15-'UW Model'!$O$14-1)+AP11,AP11)</f>
        <v>0</v>
      </c>
      <c r="AR11" s="190">
        <f>IF(AND(AR$3&gt;'UW Model'!$O$14+1,AR$3&lt;='UW Model'!$O$15),'UW Model'!$O33/('UW Model'!$O$15-'UW Model'!$O$14-1)+AQ11,AQ11)</f>
        <v>0</v>
      </c>
      <c r="AS11" s="190">
        <f>IF(AND(AS$3&gt;'UW Model'!$O$14+1,AS$3&lt;='UW Model'!$O$15),'UW Model'!$O33/('UW Model'!$O$15-'UW Model'!$O$14-1)+AR11,AR11)</f>
        <v>0</v>
      </c>
      <c r="AT11" s="190">
        <f>IF(AND(AT$3&gt;'UW Model'!$O$14+1,AT$3&lt;='UW Model'!$O$15),'UW Model'!$O33/('UW Model'!$O$15-'UW Model'!$O$14-1)+AS11,AS11)</f>
        <v>0</v>
      </c>
      <c r="AU11" s="192">
        <f>IF(AND(AU$3&gt;'UW Model'!$O$14+1,AU$3&lt;='UW Model'!$O$15),'UW Model'!$O33/('UW Model'!$O$15-'UW Model'!$O$14-1)+AT11,AT11)</f>
        <v>0</v>
      </c>
      <c r="AV11" s="190">
        <f>IF(AND(AV$3&gt;'UW Model'!$O$14+1,AV$3&lt;='UW Model'!$O$15),'UW Model'!$O33/('UW Model'!$O$15-'UW Model'!$O$14-1)+AU11,AU11)</f>
        <v>0</v>
      </c>
      <c r="AW11" s="190">
        <f>IF(AND(AW$3&gt;'UW Model'!$O$14+1,AW$3&lt;='UW Model'!$O$15),'UW Model'!$O33/('UW Model'!$O$15-'UW Model'!$O$14-1)+AV11,AV11)</f>
        <v>0</v>
      </c>
      <c r="AX11" s="190">
        <f>IF(AND(AX$3&gt;'UW Model'!$O$14+1,AX$3&lt;='UW Model'!$O$15),'UW Model'!$O33/('UW Model'!$O$15-'UW Model'!$O$14-1)+AW11,AW11)</f>
        <v>0</v>
      </c>
      <c r="AY11" s="190">
        <f>IF(AND(AY$3&gt;'UW Model'!$O$14+1,AY$3&lt;='UW Model'!$O$15),'UW Model'!$O33/('UW Model'!$O$15-'UW Model'!$O$14-1)+AX11,AX11)</f>
        <v>0</v>
      </c>
      <c r="AZ11" s="190">
        <f>IF(AND(AZ$3&gt;'UW Model'!$O$14+1,AZ$3&lt;='UW Model'!$O$15),'UW Model'!$O33/('UW Model'!$O$15-'UW Model'!$O$14-1)+AY11,AY11)</f>
        <v>0</v>
      </c>
      <c r="BA11" s="190">
        <f>IF(AND(BA$3&gt;'UW Model'!$O$14+1,BA$3&lt;='UW Model'!$O$15),'UW Model'!$O33/('UW Model'!$O$15-'UW Model'!$O$14-1)+AZ11,AZ11)</f>
        <v>0</v>
      </c>
      <c r="BB11" s="190">
        <f>IF(AND(BB$3&gt;'UW Model'!$O$14+1,BB$3&lt;='UW Model'!$O$15),'UW Model'!$O33/('UW Model'!$O$15-'UW Model'!$O$14-1)+BA11,BA11)</f>
        <v>0</v>
      </c>
      <c r="BC11" s="190">
        <f>IF(AND(BC$3&gt;'UW Model'!$O$14+1,BC$3&lt;='UW Model'!$O$15),'UW Model'!$O33/('UW Model'!$O$15-'UW Model'!$O$14-1)+BB11,BB11)</f>
        <v>0</v>
      </c>
      <c r="BD11" s="190">
        <f>IF(AND(BD$3&gt;'UW Model'!$O$14+1,BD$3&lt;='UW Model'!$O$15),'UW Model'!$O33/('UW Model'!$O$15-'UW Model'!$O$14-1)+BC11,BC11)</f>
        <v>0</v>
      </c>
      <c r="BE11" s="190">
        <f>IF(AND(BE$3&gt;'UW Model'!$O$14+1,BE$3&lt;='UW Model'!$O$15),'UW Model'!$O33/('UW Model'!$O$15-'UW Model'!$O$14-1)+BD11,BD11)</f>
        <v>0</v>
      </c>
      <c r="BF11" s="190">
        <f>IF(AND(BF$3&gt;'UW Model'!$O$14+1,BF$3&lt;='UW Model'!$O$15),'UW Model'!$O33/('UW Model'!$O$15-'UW Model'!$O$14-1)+BE11,BE11)</f>
        <v>0</v>
      </c>
      <c r="BG11" s="192">
        <f>IF(AND(BG$3&gt;'UW Model'!$O$14+1,BG$3&lt;='UW Model'!$O$15),'UW Model'!$O33/('UW Model'!$O$15-'UW Model'!$O$14-1)+BF11,BF11)</f>
        <v>0</v>
      </c>
      <c r="BH11" s="190">
        <f>IF(AND(BH$3&gt;'UW Model'!$O$14+1,BH$3&lt;='UW Model'!$O$15),'UW Model'!$O33/('UW Model'!$O$15-'UW Model'!$O$14-1)+BG11,BG11)</f>
        <v>0</v>
      </c>
      <c r="BI11" s="190">
        <f>IF(AND(BI$3&gt;'UW Model'!$O$14+1,BI$3&lt;='UW Model'!$O$15),'UW Model'!$O33/('UW Model'!$O$15-'UW Model'!$O$14-1)+BH11,BH11)</f>
        <v>0</v>
      </c>
      <c r="BJ11" s="190">
        <f>IF(AND(BJ$3&gt;'UW Model'!$O$14+1,BJ$3&lt;='UW Model'!$O$15),'UW Model'!$O33/('UW Model'!$O$15-'UW Model'!$O$14-1)+BI11,BI11)</f>
        <v>0</v>
      </c>
      <c r="BK11" s="190">
        <f>IF(AND(BK$3&gt;'UW Model'!$O$14+1,BK$3&lt;='UW Model'!$O$15),'UW Model'!$O33/('UW Model'!$O$15-'UW Model'!$O$14-1)+BJ11,BJ11)</f>
        <v>0</v>
      </c>
      <c r="BL11" s="190">
        <f>IF(AND(BL$3&gt;'UW Model'!$O$14+1,BL$3&lt;='UW Model'!$O$15),'UW Model'!$O33/('UW Model'!$O$15-'UW Model'!$O$14-1)+BK11,BK11)</f>
        <v>0</v>
      </c>
      <c r="BM11" s="190">
        <f>IF(AND(BM$3&gt;'UW Model'!$O$14+1,BM$3&lt;='UW Model'!$O$15),'UW Model'!$O33/('UW Model'!$O$15-'UW Model'!$O$14-1)+BL11,BL11)</f>
        <v>0</v>
      </c>
      <c r="BN11" s="190">
        <f>IF(AND(BN$3&gt;'UW Model'!$O$14+1,BN$3&lt;='UW Model'!$O$15),'UW Model'!$O33/('UW Model'!$O$15-'UW Model'!$O$14-1)+BM11,BM11)</f>
        <v>0</v>
      </c>
      <c r="BO11" s="190">
        <f>IF(AND(BO$3&gt;'UW Model'!$O$14+1,BO$3&lt;='UW Model'!$O$15),'UW Model'!$O33/('UW Model'!$O$15-'UW Model'!$O$14-1)+BN11,BN11)</f>
        <v>0</v>
      </c>
      <c r="BP11" s="190">
        <f>IF(AND(BP$3&gt;'UW Model'!$O$14+1,BP$3&lt;='UW Model'!$O$15),'UW Model'!$O33/('UW Model'!$O$15-'UW Model'!$O$14-1)+BO11,BO11)</f>
        <v>0</v>
      </c>
      <c r="BQ11" s="190">
        <f>IF(AND(BQ$3&gt;'UW Model'!$O$14+1,BQ$3&lt;='UW Model'!$O$15),'UW Model'!$O33/('UW Model'!$O$15-'UW Model'!$O$14-1)+BP11,BP11)</f>
        <v>0</v>
      </c>
      <c r="BR11" s="190">
        <f>IF(AND(BR$3&gt;'UW Model'!$O$14+1,BR$3&lt;='UW Model'!$O$15),'UW Model'!$O33/('UW Model'!$O$15-'UW Model'!$O$14-1)+BQ11,BQ11)</f>
        <v>0</v>
      </c>
      <c r="BS11" s="192">
        <f>IF(AND(BS$3&gt;'UW Model'!$O$14+1,BS$3&lt;='UW Model'!$O$15),'UW Model'!$O33/('UW Model'!$O$15-'UW Model'!$O$14-1)+BR11,BR11)</f>
        <v>0</v>
      </c>
      <c r="BT11" s="190">
        <f>IF(AND(BT$3&gt;'UW Model'!$O$14+1,BT$3&lt;='UW Model'!$O$15),'UW Model'!$O33/('UW Model'!$O$15-'UW Model'!$O$14-1)+BS11,BS11)</f>
        <v>0</v>
      </c>
      <c r="BU11" s="190">
        <f>IF(AND(BU$3&gt;'UW Model'!$O$14+1,BU$3&lt;='UW Model'!$O$15),'UW Model'!$O33/('UW Model'!$O$15-'UW Model'!$O$14-1)+BT11,BT11)</f>
        <v>0</v>
      </c>
      <c r="BV11" s="190">
        <f>IF(AND(BV$3&gt;'UW Model'!$O$14+1,BV$3&lt;='UW Model'!$O$15),'UW Model'!$O33/('UW Model'!$O$15-'UW Model'!$O$14-1)+BU11,BU11)</f>
        <v>0</v>
      </c>
      <c r="BW11" s="190">
        <f>IF(AND(BW$3&gt;'UW Model'!$O$14+1,BW$3&lt;='UW Model'!$O$15),'UW Model'!$O33/('UW Model'!$O$15-'UW Model'!$O$14-1)+BV11,BV11)</f>
        <v>0</v>
      </c>
      <c r="BX11" s="190">
        <f>IF(AND(BX$3&gt;'UW Model'!$O$14+1,BX$3&lt;='UW Model'!$O$15),'UW Model'!$O33/('UW Model'!$O$15-'UW Model'!$O$14-1)+BW11,BW11)</f>
        <v>0</v>
      </c>
      <c r="BY11" s="190">
        <f>IF(AND(BY$3&gt;'UW Model'!$O$14+1,BY$3&lt;='UW Model'!$O$15),'UW Model'!$O33/('UW Model'!$O$15-'UW Model'!$O$14-1)+BX11,BX11)</f>
        <v>0</v>
      </c>
      <c r="BZ11" s="190">
        <f>IF(AND(BZ$3&gt;'UW Model'!$O$14+1,BZ$3&lt;='UW Model'!$O$15),'UW Model'!$O33/('UW Model'!$O$15-'UW Model'!$O$14-1)+BY11,BY11)</f>
        <v>0</v>
      </c>
      <c r="CA11" s="190">
        <f>IF(AND(CA$3&gt;'UW Model'!$O$14+1,CA$3&lt;='UW Model'!$O$15),'UW Model'!$O33/('UW Model'!$O$15-'UW Model'!$O$14-1)+BZ11,BZ11)</f>
        <v>0</v>
      </c>
      <c r="CB11" s="190">
        <f>IF(AND(CB$3&gt;'UW Model'!$O$14+1,CB$3&lt;='UW Model'!$O$15),'UW Model'!$O33/('UW Model'!$O$15-'UW Model'!$O$14-1)+CA11,CA11)</f>
        <v>0</v>
      </c>
      <c r="CC11" s="190">
        <f>IF(AND(CC$3&gt;'UW Model'!$O$14+1,CC$3&lt;='UW Model'!$O$15),'UW Model'!$O33/('UW Model'!$O$15-'UW Model'!$O$14-1)+CB11,CB11)</f>
        <v>0</v>
      </c>
      <c r="CD11" s="190">
        <f>IF(AND(CD$3&gt;'UW Model'!$O$14+1,CD$3&lt;='UW Model'!$O$15),'UW Model'!$O33/('UW Model'!$O$15-'UW Model'!$O$14-1)+CC11,CC11)</f>
        <v>0</v>
      </c>
      <c r="CE11" s="195">
        <f>IF(AND(CE$3&gt;'UW Model'!$O$14+1,CE$3&lt;='UW Model'!$O$15),'UW Model'!$O33/('UW Model'!$O$15-'UW Model'!$O$14-1)+CD11,CD11)</f>
        <v>0</v>
      </c>
    </row>
    <row r="12" spans="2:83" x14ac:dyDescent="0.35">
      <c r="P12" s="933"/>
      <c r="Q12" s="196" t="str">
        <f>IF('UW Model'!C34="","",'UW Model'!C34)</f>
        <v/>
      </c>
      <c r="R12" s="197">
        <f t="shared" si="22"/>
        <v>0</v>
      </c>
      <c r="S12" s="191">
        <f t="shared" si="22"/>
        <v>0</v>
      </c>
      <c r="T12" s="191">
        <f t="shared" si="22"/>
        <v>0</v>
      </c>
      <c r="U12" s="191">
        <f t="shared" si="22"/>
        <v>0</v>
      </c>
      <c r="V12" s="198">
        <f t="shared" si="22"/>
        <v>0</v>
      </c>
      <c r="W12" s="193">
        <v>0</v>
      </c>
      <c r="X12" s="193">
        <f>IF(AND(X$3&gt;'UW Model'!$O$14+1,X$3&lt;='UW Model'!$O$15),'UW Model'!$O34/('UW Model'!$O$15-'UW Model'!$O$14-1)+W12,0)</f>
        <v>0</v>
      </c>
      <c r="Y12" s="190">
        <f>IF(AND(Y$3&gt;'UW Model'!$O$14+1,Y$3&lt;='UW Model'!$O$15),'UW Model'!$O34/('UW Model'!$O$15-'UW Model'!$O$14-1)+X12,X12)</f>
        <v>0</v>
      </c>
      <c r="Z12" s="190">
        <f>IF(AND(Z$3&gt;'UW Model'!$O$14+1,Z$3&lt;='UW Model'!$O$15),'UW Model'!$O34/('UW Model'!$O$15-'UW Model'!$O$14-1)+Y12,Y12)</f>
        <v>0</v>
      </c>
      <c r="AA12" s="190">
        <f>IF(AND(AA$3&gt;'UW Model'!$O$14+1,AA$3&lt;='UW Model'!$O$15),'UW Model'!$O34/('UW Model'!$O$15-'UW Model'!$O$14-1)+Z12,Z12)</f>
        <v>0</v>
      </c>
      <c r="AB12" s="190">
        <f>IF(AND(AB$3&gt;'UW Model'!$O$14+1,AB$3&lt;='UW Model'!$O$15),'UW Model'!$O34/('UW Model'!$O$15-'UW Model'!$O$14-1)+AA12,AA12)</f>
        <v>0</v>
      </c>
      <c r="AC12" s="190">
        <f>IF(AND(AC$3&gt;'UW Model'!$O$14+1,AC$3&lt;='UW Model'!$O$15),'UW Model'!$O34/('UW Model'!$O$15-'UW Model'!$O$14-1)+AB12,AB12)</f>
        <v>0</v>
      </c>
      <c r="AD12" s="190">
        <f>IF(AND(AD$3&gt;'UW Model'!$O$14+1,AD$3&lt;='UW Model'!$O$15),'UW Model'!$O34/('UW Model'!$O$15-'UW Model'!$O$14-1)+AC12,AC12)</f>
        <v>0</v>
      </c>
      <c r="AE12" s="190">
        <f>IF(AND(AE$3&gt;'UW Model'!$O$14+1,AE$3&lt;='UW Model'!$O$15),'UW Model'!$O34/('UW Model'!$O$15-'UW Model'!$O$14-1)+AD12,AD12)</f>
        <v>0</v>
      </c>
      <c r="AF12" s="190">
        <f>IF(AND(AF$3&gt;'UW Model'!$O$14+1,AF$3&lt;='UW Model'!$O$15),'UW Model'!$O34/('UW Model'!$O$15-'UW Model'!$O$14-1)+AE12,AE12)</f>
        <v>0</v>
      </c>
      <c r="AG12" s="190">
        <f>IF(AND(AG$3&gt;'UW Model'!$O$14+1,AG$3&lt;='UW Model'!$O$15),'UW Model'!$O34/('UW Model'!$O$15-'UW Model'!$O$14-1)+AF12,AF12)</f>
        <v>0</v>
      </c>
      <c r="AH12" s="190">
        <f>IF(AND(AH$3&gt;'UW Model'!$O$14+1,AH$3&lt;='UW Model'!$O$15),'UW Model'!$O34/('UW Model'!$O$15-'UW Model'!$O$14-1)+AG12,AG12)</f>
        <v>0</v>
      </c>
      <c r="AI12" s="192">
        <f>IF(AND(AI$3&gt;'UW Model'!$O$14+1,AI$3&lt;='UW Model'!$O$15),'UW Model'!$O34/('UW Model'!$O$15-'UW Model'!$O$14-1)+AH12,AH12)</f>
        <v>0</v>
      </c>
      <c r="AJ12" s="193">
        <f>IF(AND(AJ$3&gt;'UW Model'!$O$14+1,AJ$3&lt;='UW Model'!$O$15),'UW Model'!$O34/('UW Model'!$O$15-'UW Model'!$O$14-1)+AI12,AI12)</f>
        <v>0</v>
      </c>
      <c r="AK12" s="190">
        <f>IF(AND(AK$3&gt;'UW Model'!$O$14+1,AK$3&lt;='UW Model'!$O$15),'UW Model'!$O34/('UW Model'!$O$15-'UW Model'!$O$14-1)+AJ12,AJ12)</f>
        <v>0</v>
      </c>
      <c r="AL12" s="190">
        <f>IF(AND(AL$3&gt;'UW Model'!$O$14+1,AL$3&lt;='UW Model'!$O$15),'UW Model'!$O34/('UW Model'!$O$15-'UW Model'!$O$14-1)+AK12,AK12)</f>
        <v>0</v>
      </c>
      <c r="AM12" s="190">
        <f>IF(AND(AM$3&gt;'UW Model'!$O$14+1,AM$3&lt;='UW Model'!$O$15),'UW Model'!$O34/('UW Model'!$O$15-'UW Model'!$O$14-1)+AL12,AL12)</f>
        <v>0</v>
      </c>
      <c r="AN12" s="190">
        <f>IF(AND(AN$3&gt;'UW Model'!$O$14+1,AN$3&lt;='UW Model'!$O$15),'UW Model'!$O34/('UW Model'!$O$15-'UW Model'!$O$14-1)+AM12,AM12)</f>
        <v>0</v>
      </c>
      <c r="AO12" s="190">
        <f>IF(AND(AO$3&gt;'UW Model'!$O$14+1,AO$3&lt;='UW Model'!$O$15),'UW Model'!$O34/('UW Model'!$O$15-'UW Model'!$O$14-1)+AN12,AN12)</f>
        <v>0</v>
      </c>
      <c r="AP12" s="190">
        <f>IF(AND(AP$3&gt;'UW Model'!$O$14+1,AP$3&lt;='UW Model'!$O$15),'UW Model'!$O34/('UW Model'!$O$15-'UW Model'!$O$14-1)+AO12,AO12)</f>
        <v>0</v>
      </c>
      <c r="AQ12" s="190">
        <f>IF(AND(AQ$3&gt;'UW Model'!$O$14+1,AQ$3&lt;='UW Model'!$O$15),'UW Model'!$O34/('UW Model'!$O$15-'UW Model'!$O$14-1)+AP12,AP12)</f>
        <v>0</v>
      </c>
      <c r="AR12" s="190">
        <f>IF(AND(AR$3&gt;'UW Model'!$O$14+1,AR$3&lt;='UW Model'!$O$15),'UW Model'!$O34/('UW Model'!$O$15-'UW Model'!$O$14-1)+AQ12,AQ12)</f>
        <v>0</v>
      </c>
      <c r="AS12" s="190">
        <f>IF(AND(AS$3&gt;'UW Model'!$O$14+1,AS$3&lt;='UW Model'!$O$15),'UW Model'!$O34/('UW Model'!$O$15-'UW Model'!$O$14-1)+AR12,AR12)</f>
        <v>0</v>
      </c>
      <c r="AT12" s="190">
        <f>IF(AND(AT$3&gt;'UW Model'!$O$14+1,AT$3&lt;='UW Model'!$O$15),'UW Model'!$O34/('UW Model'!$O$15-'UW Model'!$O$14-1)+AS12,AS12)</f>
        <v>0</v>
      </c>
      <c r="AU12" s="192">
        <f>IF(AND(AU$3&gt;'UW Model'!$O$14+1,AU$3&lt;='UW Model'!$O$15),'UW Model'!$O34/('UW Model'!$O$15-'UW Model'!$O$14-1)+AT12,AT12)</f>
        <v>0</v>
      </c>
      <c r="AV12" s="190">
        <f>IF(AND(AV$3&gt;'UW Model'!$O$14+1,AV$3&lt;='UW Model'!$O$15),'UW Model'!$O34/('UW Model'!$O$15-'UW Model'!$O$14-1)+AU12,AU12)</f>
        <v>0</v>
      </c>
      <c r="AW12" s="190">
        <f>IF(AND(AW$3&gt;'UW Model'!$O$14+1,AW$3&lt;='UW Model'!$O$15),'UW Model'!$O34/('UW Model'!$O$15-'UW Model'!$O$14-1)+AV12,AV12)</f>
        <v>0</v>
      </c>
      <c r="AX12" s="190">
        <f>IF(AND(AX$3&gt;'UW Model'!$O$14+1,AX$3&lt;='UW Model'!$O$15),'UW Model'!$O34/('UW Model'!$O$15-'UW Model'!$O$14-1)+AW12,AW12)</f>
        <v>0</v>
      </c>
      <c r="AY12" s="190">
        <f>IF(AND(AY$3&gt;'UW Model'!$O$14+1,AY$3&lt;='UW Model'!$O$15),'UW Model'!$O34/('UW Model'!$O$15-'UW Model'!$O$14-1)+AX12,AX12)</f>
        <v>0</v>
      </c>
      <c r="AZ12" s="190">
        <f>IF(AND(AZ$3&gt;'UW Model'!$O$14+1,AZ$3&lt;='UW Model'!$O$15),'UW Model'!$O34/('UW Model'!$O$15-'UW Model'!$O$14-1)+AY12,AY12)</f>
        <v>0</v>
      </c>
      <c r="BA12" s="190">
        <f>IF(AND(BA$3&gt;'UW Model'!$O$14+1,BA$3&lt;='UW Model'!$O$15),'UW Model'!$O34/('UW Model'!$O$15-'UW Model'!$O$14-1)+AZ12,AZ12)</f>
        <v>0</v>
      </c>
      <c r="BB12" s="190">
        <f>IF(AND(BB$3&gt;'UW Model'!$O$14+1,BB$3&lt;='UW Model'!$O$15),'UW Model'!$O34/('UW Model'!$O$15-'UW Model'!$O$14-1)+BA12,BA12)</f>
        <v>0</v>
      </c>
      <c r="BC12" s="190">
        <f>IF(AND(BC$3&gt;'UW Model'!$O$14+1,BC$3&lt;='UW Model'!$O$15),'UW Model'!$O34/('UW Model'!$O$15-'UW Model'!$O$14-1)+BB12,BB12)</f>
        <v>0</v>
      </c>
      <c r="BD12" s="190">
        <f>IF(AND(BD$3&gt;'UW Model'!$O$14+1,BD$3&lt;='UW Model'!$O$15),'UW Model'!$O34/('UW Model'!$O$15-'UW Model'!$O$14-1)+BC12,BC12)</f>
        <v>0</v>
      </c>
      <c r="BE12" s="190">
        <f>IF(AND(BE$3&gt;'UW Model'!$O$14+1,BE$3&lt;='UW Model'!$O$15),'UW Model'!$O34/('UW Model'!$O$15-'UW Model'!$O$14-1)+BD12,BD12)</f>
        <v>0</v>
      </c>
      <c r="BF12" s="190">
        <f>IF(AND(BF$3&gt;'UW Model'!$O$14+1,BF$3&lt;='UW Model'!$O$15),'UW Model'!$O34/('UW Model'!$O$15-'UW Model'!$O$14-1)+BE12,BE12)</f>
        <v>0</v>
      </c>
      <c r="BG12" s="192">
        <f>IF(AND(BG$3&gt;'UW Model'!$O$14+1,BG$3&lt;='UW Model'!$O$15),'UW Model'!$O34/('UW Model'!$O$15-'UW Model'!$O$14-1)+BF12,BF12)</f>
        <v>0</v>
      </c>
      <c r="BH12" s="190">
        <f>IF(AND(BH$3&gt;'UW Model'!$O$14+1,BH$3&lt;='UW Model'!$O$15),'UW Model'!$O34/('UW Model'!$O$15-'UW Model'!$O$14-1)+BG12,BG12)</f>
        <v>0</v>
      </c>
      <c r="BI12" s="190">
        <f>IF(AND(BI$3&gt;'UW Model'!$O$14+1,BI$3&lt;='UW Model'!$O$15),'UW Model'!$O34/('UW Model'!$O$15-'UW Model'!$O$14-1)+BH12,BH12)</f>
        <v>0</v>
      </c>
      <c r="BJ12" s="190">
        <f>IF(AND(BJ$3&gt;'UW Model'!$O$14+1,BJ$3&lt;='UW Model'!$O$15),'UW Model'!$O34/('UW Model'!$O$15-'UW Model'!$O$14-1)+BI12,BI12)</f>
        <v>0</v>
      </c>
      <c r="BK12" s="190">
        <f>IF(AND(BK$3&gt;'UW Model'!$O$14+1,BK$3&lt;='UW Model'!$O$15),'UW Model'!$O34/('UW Model'!$O$15-'UW Model'!$O$14-1)+BJ12,BJ12)</f>
        <v>0</v>
      </c>
      <c r="BL12" s="190">
        <f>IF(AND(BL$3&gt;'UW Model'!$O$14+1,BL$3&lt;='UW Model'!$O$15),'UW Model'!$O34/('UW Model'!$O$15-'UW Model'!$O$14-1)+BK12,BK12)</f>
        <v>0</v>
      </c>
      <c r="BM12" s="190">
        <f>IF(AND(BM$3&gt;'UW Model'!$O$14+1,BM$3&lt;='UW Model'!$O$15),'UW Model'!$O34/('UW Model'!$O$15-'UW Model'!$O$14-1)+BL12,BL12)</f>
        <v>0</v>
      </c>
      <c r="BN12" s="190">
        <f>IF(AND(BN$3&gt;'UW Model'!$O$14+1,BN$3&lt;='UW Model'!$O$15),'UW Model'!$O34/('UW Model'!$O$15-'UW Model'!$O$14-1)+BM12,BM12)</f>
        <v>0</v>
      </c>
      <c r="BO12" s="190">
        <f>IF(AND(BO$3&gt;'UW Model'!$O$14+1,BO$3&lt;='UW Model'!$O$15),'UW Model'!$O34/('UW Model'!$O$15-'UW Model'!$O$14-1)+BN12,BN12)</f>
        <v>0</v>
      </c>
      <c r="BP12" s="190">
        <f>IF(AND(BP$3&gt;'UW Model'!$O$14+1,BP$3&lt;='UW Model'!$O$15),'UW Model'!$O34/('UW Model'!$O$15-'UW Model'!$O$14-1)+BO12,BO12)</f>
        <v>0</v>
      </c>
      <c r="BQ12" s="190">
        <f>IF(AND(BQ$3&gt;'UW Model'!$O$14+1,BQ$3&lt;='UW Model'!$O$15),'UW Model'!$O34/('UW Model'!$O$15-'UW Model'!$O$14-1)+BP12,BP12)</f>
        <v>0</v>
      </c>
      <c r="BR12" s="190">
        <f>IF(AND(BR$3&gt;'UW Model'!$O$14+1,BR$3&lt;='UW Model'!$O$15),'UW Model'!$O34/('UW Model'!$O$15-'UW Model'!$O$14-1)+BQ12,BQ12)</f>
        <v>0</v>
      </c>
      <c r="BS12" s="192">
        <f>IF(AND(BS$3&gt;'UW Model'!$O$14+1,BS$3&lt;='UW Model'!$O$15),'UW Model'!$O34/('UW Model'!$O$15-'UW Model'!$O$14-1)+BR12,BR12)</f>
        <v>0</v>
      </c>
      <c r="BT12" s="190">
        <f>IF(AND(BT$3&gt;'UW Model'!$O$14+1,BT$3&lt;='UW Model'!$O$15),'UW Model'!$O34/('UW Model'!$O$15-'UW Model'!$O$14-1)+BS12,BS12)</f>
        <v>0</v>
      </c>
      <c r="BU12" s="190">
        <f>IF(AND(BU$3&gt;'UW Model'!$O$14+1,BU$3&lt;='UW Model'!$O$15),'UW Model'!$O34/('UW Model'!$O$15-'UW Model'!$O$14-1)+BT12,BT12)</f>
        <v>0</v>
      </c>
      <c r="BV12" s="190">
        <f>IF(AND(BV$3&gt;'UW Model'!$O$14+1,BV$3&lt;='UW Model'!$O$15),'UW Model'!$O34/('UW Model'!$O$15-'UW Model'!$O$14-1)+BU12,BU12)</f>
        <v>0</v>
      </c>
      <c r="BW12" s="190">
        <f>IF(AND(BW$3&gt;'UW Model'!$O$14+1,BW$3&lt;='UW Model'!$O$15),'UW Model'!$O34/('UW Model'!$O$15-'UW Model'!$O$14-1)+BV12,BV12)</f>
        <v>0</v>
      </c>
      <c r="BX12" s="190">
        <f>IF(AND(BX$3&gt;'UW Model'!$O$14+1,BX$3&lt;='UW Model'!$O$15),'UW Model'!$O34/('UW Model'!$O$15-'UW Model'!$O$14-1)+BW12,BW12)</f>
        <v>0</v>
      </c>
      <c r="BY12" s="190">
        <f>IF(AND(BY$3&gt;'UW Model'!$O$14+1,BY$3&lt;='UW Model'!$O$15),'UW Model'!$O34/('UW Model'!$O$15-'UW Model'!$O$14-1)+BX12,BX12)</f>
        <v>0</v>
      </c>
      <c r="BZ12" s="190">
        <f>IF(AND(BZ$3&gt;'UW Model'!$O$14+1,BZ$3&lt;='UW Model'!$O$15),'UW Model'!$O34/('UW Model'!$O$15-'UW Model'!$O$14-1)+BY12,BY12)</f>
        <v>0</v>
      </c>
      <c r="CA12" s="190">
        <f>IF(AND(CA$3&gt;'UW Model'!$O$14+1,CA$3&lt;='UW Model'!$O$15),'UW Model'!$O34/('UW Model'!$O$15-'UW Model'!$O$14-1)+BZ12,BZ12)</f>
        <v>0</v>
      </c>
      <c r="CB12" s="190">
        <f>IF(AND(CB$3&gt;'UW Model'!$O$14+1,CB$3&lt;='UW Model'!$O$15),'UW Model'!$O34/('UW Model'!$O$15-'UW Model'!$O$14-1)+CA12,CA12)</f>
        <v>0</v>
      </c>
      <c r="CC12" s="190">
        <f>IF(AND(CC$3&gt;'UW Model'!$O$14+1,CC$3&lt;='UW Model'!$O$15),'UW Model'!$O34/('UW Model'!$O$15-'UW Model'!$O$14-1)+CB12,CB12)</f>
        <v>0</v>
      </c>
      <c r="CD12" s="190">
        <f>IF(AND(CD$3&gt;'UW Model'!$O$14+1,CD$3&lt;='UW Model'!$O$15),'UW Model'!$O34/('UW Model'!$O$15-'UW Model'!$O$14-1)+CC12,CC12)</f>
        <v>0</v>
      </c>
      <c r="CE12" s="195">
        <f>IF(AND(CE$3&gt;'UW Model'!$O$14+1,CE$3&lt;='UW Model'!$O$15),'UW Model'!$O34/('UW Model'!$O$15-'UW Model'!$O$14-1)+CD12,CD12)</f>
        <v>0</v>
      </c>
    </row>
    <row r="13" spans="2:83" x14ac:dyDescent="0.35">
      <c r="P13" s="933"/>
      <c r="Q13" s="196" t="str">
        <f>IF('UW Model'!C35="","",'UW Model'!C35)</f>
        <v/>
      </c>
      <c r="R13" s="197">
        <f t="shared" si="22"/>
        <v>0</v>
      </c>
      <c r="S13" s="191">
        <f t="shared" si="22"/>
        <v>0</v>
      </c>
      <c r="T13" s="191">
        <f t="shared" si="22"/>
        <v>0</v>
      </c>
      <c r="U13" s="191">
        <f t="shared" si="22"/>
        <v>0</v>
      </c>
      <c r="V13" s="198">
        <f t="shared" si="22"/>
        <v>0</v>
      </c>
      <c r="W13" s="193">
        <v>0</v>
      </c>
      <c r="X13" s="193">
        <f>IF(AND(X$3&gt;'UW Model'!$O$14+1,X$3&lt;='UW Model'!$O$15),'UW Model'!$O35/('UW Model'!$O$15-'UW Model'!$O$14-1)+W13,0)</f>
        <v>0</v>
      </c>
      <c r="Y13" s="190">
        <f>IF(AND(Y$3&gt;'UW Model'!$O$14+1,Y$3&lt;='UW Model'!$O$15),'UW Model'!$O35/('UW Model'!$O$15-'UW Model'!$O$14-1)+X13,X13)</f>
        <v>0</v>
      </c>
      <c r="Z13" s="190">
        <f>IF(AND(Z$3&gt;'UW Model'!$O$14+1,Z$3&lt;='UW Model'!$O$15),'UW Model'!$O35/('UW Model'!$O$15-'UW Model'!$O$14-1)+Y13,Y13)</f>
        <v>0</v>
      </c>
      <c r="AA13" s="190">
        <f>IF(AND(AA$3&gt;'UW Model'!$O$14+1,AA$3&lt;='UW Model'!$O$15),'UW Model'!$O35/('UW Model'!$O$15-'UW Model'!$O$14-1)+Z13,Z13)</f>
        <v>0</v>
      </c>
      <c r="AB13" s="190">
        <f>IF(AND(AB$3&gt;'UW Model'!$O$14+1,AB$3&lt;='UW Model'!$O$15),'UW Model'!$O35/('UW Model'!$O$15-'UW Model'!$O$14-1)+AA13,AA13)</f>
        <v>0</v>
      </c>
      <c r="AC13" s="190">
        <f>IF(AND(AC$3&gt;'UW Model'!$O$14+1,AC$3&lt;='UW Model'!$O$15),'UW Model'!$O35/('UW Model'!$O$15-'UW Model'!$O$14-1)+AB13,AB13)</f>
        <v>0</v>
      </c>
      <c r="AD13" s="190">
        <f>IF(AND(AD$3&gt;'UW Model'!$O$14+1,AD$3&lt;='UW Model'!$O$15),'UW Model'!$O35/('UW Model'!$O$15-'UW Model'!$O$14-1)+AC13,AC13)</f>
        <v>0</v>
      </c>
      <c r="AE13" s="190">
        <f>IF(AND(AE$3&gt;'UW Model'!$O$14+1,AE$3&lt;='UW Model'!$O$15),'UW Model'!$O35/('UW Model'!$O$15-'UW Model'!$O$14-1)+AD13,AD13)</f>
        <v>0</v>
      </c>
      <c r="AF13" s="190">
        <f>IF(AND(AF$3&gt;'UW Model'!$O$14+1,AF$3&lt;='UW Model'!$O$15),'UW Model'!$O35/('UW Model'!$O$15-'UW Model'!$O$14-1)+AE13,AE13)</f>
        <v>0</v>
      </c>
      <c r="AG13" s="190">
        <f>IF(AND(AG$3&gt;'UW Model'!$O$14+1,AG$3&lt;='UW Model'!$O$15),'UW Model'!$O35/('UW Model'!$O$15-'UW Model'!$O$14-1)+AF13,AF13)</f>
        <v>0</v>
      </c>
      <c r="AH13" s="190">
        <f>IF(AND(AH$3&gt;'UW Model'!$O$14+1,AH$3&lt;='UW Model'!$O$15),'UW Model'!$O35/('UW Model'!$O$15-'UW Model'!$O$14-1)+AG13,AG13)</f>
        <v>0</v>
      </c>
      <c r="AI13" s="192">
        <f>IF(AND(AI$3&gt;'UW Model'!$O$14+1,AI$3&lt;='UW Model'!$O$15),'UW Model'!$O35/('UW Model'!$O$15-'UW Model'!$O$14-1)+AH13,AH13)</f>
        <v>0</v>
      </c>
      <c r="AJ13" s="193">
        <f>IF(AND(AJ$3&gt;'UW Model'!$O$14+1,AJ$3&lt;='UW Model'!$O$15),'UW Model'!$O35/('UW Model'!$O$15-'UW Model'!$O$14-1)+AI13,AI13)</f>
        <v>0</v>
      </c>
      <c r="AK13" s="190">
        <f>IF(AND(AK$3&gt;'UW Model'!$O$14+1,AK$3&lt;='UW Model'!$O$15),'UW Model'!$O35/('UW Model'!$O$15-'UW Model'!$O$14-1)+AJ13,AJ13)</f>
        <v>0</v>
      </c>
      <c r="AL13" s="190">
        <f>IF(AND(AL$3&gt;'UW Model'!$O$14+1,AL$3&lt;='UW Model'!$O$15),'UW Model'!$O35/('UW Model'!$O$15-'UW Model'!$O$14-1)+AK13,AK13)</f>
        <v>0</v>
      </c>
      <c r="AM13" s="190">
        <f>IF(AND(AM$3&gt;'UW Model'!$O$14+1,AM$3&lt;='UW Model'!$O$15),'UW Model'!$O35/('UW Model'!$O$15-'UW Model'!$O$14-1)+AL13,AL13)</f>
        <v>0</v>
      </c>
      <c r="AN13" s="190">
        <f>IF(AND(AN$3&gt;'UW Model'!$O$14+1,AN$3&lt;='UW Model'!$O$15),'UW Model'!$O35/('UW Model'!$O$15-'UW Model'!$O$14-1)+AM13,AM13)</f>
        <v>0</v>
      </c>
      <c r="AO13" s="190">
        <f>IF(AND(AO$3&gt;'UW Model'!$O$14+1,AO$3&lt;='UW Model'!$O$15),'UW Model'!$O35/('UW Model'!$O$15-'UW Model'!$O$14-1)+AN13,AN13)</f>
        <v>0</v>
      </c>
      <c r="AP13" s="190">
        <f>IF(AND(AP$3&gt;'UW Model'!$O$14+1,AP$3&lt;='UW Model'!$O$15),'UW Model'!$O35/('UW Model'!$O$15-'UW Model'!$O$14-1)+AO13,AO13)</f>
        <v>0</v>
      </c>
      <c r="AQ13" s="190">
        <f>IF(AND(AQ$3&gt;'UW Model'!$O$14+1,AQ$3&lt;='UW Model'!$O$15),'UW Model'!$O35/('UW Model'!$O$15-'UW Model'!$O$14-1)+AP13,AP13)</f>
        <v>0</v>
      </c>
      <c r="AR13" s="190">
        <f>IF(AND(AR$3&gt;'UW Model'!$O$14+1,AR$3&lt;='UW Model'!$O$15),'UW Model'!$O35/('UW Model'!$O$15-'UW Model'!$O$14-1)+AQ13,AQ13)</f>
        <v>0</v>
      </c>
      <c r="AS13" s="190">
        <f>IF(AND(AS$3&gt;'UW Model'!$O$14+1,AS$3&lt;='UW Model'!$O$15),'UW Model'!$O35/('UW Model'!$O$15-'UW Model'!$O$14-1)+AR13,AR13)</f>
        <v>0</v>
      </c>
      <c r="AT13" s="190">
        <f>IF(AND(AT$3&gt;'UW Model'!$O$14+1,AT$3&lt;='UW Model'!$O$15),'UW Model'!$O35/('UW Model'!$O$15-'UW Model'!$O$14-1)+AS13,AS13)</f>
        <v>0</v>
      </c>
      <c r="AU13" s="192">
        <f>IF(AND(AU$3&gt;'UW Model'!$O$14+1,AU$3&lt;='UW Model'!$O$15),'UW Model'!$O35/('UW Model'!$O$15-'UW Model'!$O$14-1)+AT13,AT13)</f>
        <v>0</v>
      </c>
      <c r="AV13" s="190">
        <f>IF(AND(AV$3&gt;'UW Model'!$O$14+1,AV$3&lt;='UW Model'!$O$15),'UW Model'!$O35/('UW Model'!$O$15-'UW Model'!$O$14-1)+AU13,AU13)</f>
        <v>0</v>
      </c>
      <c r="AW13" s="190">
        <f>IF(AND(AW$3&gt;'UW Model'!$O$14+1,AW$3&lt;='UW Model'!$O$15),'UW Model'!$O35/('UW Model'!$O$15-'UW Model'!$O$14-1)+AV13,AV13)</f>
        <v>0</v>
      </c>
      <c r="AX13" s="190">
        <f>IF(AND(AX$3&gt;'UW Model'!$O$14+1,AX$3&lt;='UW Model'!$O$15),'UW Model'!$O35/('UW Model'!$O$15-'UW Model'!$O$14-1)+AW13,AW13)</f>
        <v>0</v>
      </c>
      <c r="AY13" s="190">
        <f>IF(AND(AY$3&gt;'UW Model'!$O$14+1,AY$3&lt;='UW Model'!$O$15),'UW Model'!$O35/('UW Model'!$O$15-'UW Model'!$O$14-1)+AX13,AX13)</f>
        <v>0</v>
      </c>
      <c r="AZ13" s="190">
        <f>IF(AND(AZ$3&gt;'UW Model'!$O$14+1,AZ$3&lt;='UW Model'!$O$15),'UW Model'!$O35/('UW Model'!$O$15-'UW Model'!$O$14-1)+AY13,AY13)</f>
        <v>0</v>
      </c>
      <c r="BA13" s="190">
        <f>IF(AND(BA$3&gt;'UW Model'!$O$14+1,BA$3&lt;='UW Model'!$O$15),'UW Model'!$O35/('UW Model'!$O$15-'UW Model'!$O$14-1)+AZ13,AZ13)</f>
        <v>0</v>
      </c>
      <c r="BB13" s="190">
        <f>IF(AND(BB$3&gt;'UW Model'!$O$14+1,BB$3&lt;='UW Model'!$O$15),'UW Model'!$O35/('UW Model'!$O$15-'UW Model'!$O$14-1)+BA13,BA13)</f>
        <v>0</v>
      </c>
      <c r="BC13" s="190">
        <f>IF(AND(BC$3&gt;'UW Model'!$O$14+1,BC$3&lt;='UW Model'!$O$15),'UW Model'!$O35/('UW Model'!$O$15-'UW Model'!$O$14-1)+BB13,BB13)</f>
        <v>0</v>
      </c>
      <c r="BD13" s="190">
        <f>IF(AND(BD$3&gt;'UW Model'!$O$14+1,BD$3&lt;='UW Model'!$O$15),'UW Model'!$O35/('UW Model'!$O$15-'UW Model'!$O$14-1)+BC13,BC13)</f>
        <v>0</v>
      </c>
      <c r="BE13" s="190">
        <f>IF(AND(BE$3&gt;'UW Model'!$O$14+1,BE$3&lt;='UW Model'!$O$15),'UW Model'!$O35/('UW Model'!$O$15-'UW Model'!$O$14-1)+BD13,BD13)</f>
        <v>0</v>
      </c>
      <c r="BF13" s="190">
        <f>IF(AND(BF$3&gt;'UW Model'!$O$14+1,BF$3&lt;='UW Model'!$O$15),'UW Model'!$O35/('UW Model'!$O$15-'UW Model'!$O$14-1)+BE13,BE13)</f>
        <v>0</v>
      </c>
      <c r="BG13" s="192">
        <f>IF(AND(BG$3&gt;'UW Model'!$O$14+1,BG$3&lt;='UW Model'!$O$15),'UW Model'!$O35/('UW Model'!$O$15-'UW Model'!$O$14-1)+BF13,BF13)</f>
        <v>0</v>
      </c>
      <c r="BH13" s="190">
        <f>IF(AND(BH$3&gt;'UW Model'!$O$14+1,BH$3&lt;='UW Model'!$O$15),'UW Model'!$O35/('UW Model'!$O$15-'UW Model'!$O$14-1)+BG13,BG13)</f>
        <v>0</v>
      </c>
      <c r="BI13" s="190">
        <f>IF(AND(BI$3&gt;'UW Model'!$O$14+1,BI$3&lt;='UW Model'!$O$15),'UW Model'!$O35/('UW Model'!$O$15-'UW Model'!$O$14-1)+BH13,BH13)</f>
        <v>0</v>
      </c>
      <c r="BJ13" s="190">
        <f>IF(AND(BJ$3&gt;'UW Model'!$O$14+1,BJ$3&lt;='UW Model'!$O$15),'UW Model'!$O35/('UW Model'!$O$15-'UW Model'!$O$14-1)+BI13,BI13)</f>
        <v>0</v>
      </c>
      <c r="BK13" s="190">
        <f>IF(AND(BK$3&gt;'UW Model'!$O$14+1,BK$3&lt;='UW Model'!$O$15),'UW Model'!$O35/('UW Model'!$O$15-'UW Model'!$O$14-1)+BJ13,BJ13)</f>
        <v>0</v>
      </c>
      <c r="BL13" s="190">
        <f>IF(AND(BL$3&gt;'UW Model'!$O$14+1,BL$3&lt;='UW Model'!$O$15),'UW Model'!$O35/('UW Model'!$O$15-'UW Model'!$O$14-1)+BK13,BK13)</f>
        <v>0</v>
      </c>
      <c r="BM13" s="190">
        <f>IF(AND(BM$3&gt;'UW Model'!$O$14+1,BM$3&lt;='UW Model'!$O$15),'UW Model'!$O35/('UW Model'!$O$15-'UW Model'!$O$14-1)+BL13,BL13)</f>
        <v>0</v>
      </c>
      <c r="BN13" s="190">
        <f>IF(AND(BN$3&gt;'UW Model'!$O$14+1,BN$3&lt;='UW Model'!$O$15),'UW Model'!$O35/('UW Model'!$O$15-'UW Model'!$O$14-1)+BM13,BM13)</f>
        <v>0</v>
      </c>
      <c r="BO13" s="190">
        <f>IF(AND(BO$3&gt;'UW Model'!$O$14+1,BO$3&lt;='UW Model'!$O$15),'UW Model'!$O35/('UW Model'!$O$15-'UW Model'!$O$14-1)+BN13,BN13)</f>
        <v>0</v>
      </c>
      <c r="BP13" s="190">
        <f>IF(AND(BP$3&gt;'UW Model'!$O$14+1,BP$3&lt;='UW Model'!$O$15),'UW Model'!$O35/('UW Model'!$O$15-'UW Model'!$O$14-1)+BO13,BO13)</f>
        <v>0</v>
      </c>
      <c r="BQ13" s="190">
        <f>IF(AND(BQ$3&gt;'UW Model'!$O$14+1,BQ$3&lt;='UW Model'!$O$15),'UW Model'!$O35/('UW Model'!$O$15-'UW Model'!$O$14-1)+BP13,BP13)</f>
        <v>0</v>
      </c>
      <c r="BR13" s="190">
        <f>IF(AND(BR$3&gt;'UW Model'!$O$14+1,BR$3&lt;='UW Model'!$O$15),'UW Model'!$O35/('UW Model'!$O$15-'UW Model'!$O$14-1)+BQ13,BQ13)</f>
        <v>0</v>
      </c>
      <c r="BS13" s="192">
        <f>IF(AND(BS$3&gt;'UW Model'!$O$14+1,BS$3&lt;='UW Model'!$O$15),'UW Model'!$O35/('UW Model'!$O$15-'UW Model'!$O$14-1)+BR13,BR13)</f>
        <v>0</v>
      </c>
      <c r="BT13" s="190">
        <f>IF(AND(BT$3&gt;'UW Model'!$O$14+1,BT$3&lt;='UW Model'!$O$15),'UW Model'!$O35/('UW Model'!$O$15-'UW Model'!$O$14-1)+BS13,BS13)</f>
        <v>0</v>
      </c>
      <c r="BU13" s="190">
        <f>IF(AND(BU$3&gt;'UW Model'!$O$14+1,BU$3&lt;='UW Model'!$O$15),'UW Model'!$O35/('UW Model'!$O$15-'UW Model'!$O$14-1)+BT13,BT13)</f>
        <v>0</v>
      </c>
      <c r="BV13" s="190">
        <f>IF(AND(BV$3&gt;'UW Model'!$O$14+1,BV$3&lt;='UW Model'!$O$15),'UW Model'!$O35/('UW Model'!$O$15-'UW Model'!$O$14-1)+BU13,BU13)</f>
        <v>0</v>
      </c>
      <c r="BW13" s="190">
        <f>IF(AND(BW$3&gt;'UW Model'!$O$14+1,BW$3&lt;='UW Model'!$O$15),'UW Model'!$O35/('UW Model'!$O$15-'UW Model'!$O$14-1)+BV13,BV13)</f>
        <v>0</v>
      </c>
      <c r="BX13" s="190">
        <f>IF(AND(BX$3&gt;'UW Model'!$O$14+1,BX$3&lt;='UW Model'!$O$15),'UW Model'!$O35/('UW Model'!$O$15-'UW Model'!$O$14-1)+BW13,BW13)</f>
        <v>0</v>
      </c>
      <c r="BY13" s="190">
        <f>IF(AND(BY$3&gt;'UW Model'!$O$14+1,BY$3&lt;='UW Model'!$O$15),'UW Model'!$O35/('UW Model'!$O$15-'UW Model'!$O$14-1)+BX13,BX13)</f>
        <v>0</v>
      </c>
      <c r="BZ13" s="190">
        <f>IF(AND(BZ$3&gt;'UW Model'!$O$14+1,BZ$3&lt;='UW Model'!$O$15),'UW Model'!$O35/('UW Model'!$O$15-'UW Model'!$O$14-1)+BY13,BY13)</f>
        <v>0</v>
      </c>
      <c r="CA13" s="190">
        <f>IF(AND(CA$3&gt;'UW Model'!$O$14+1,CA$3&lt;='UW Model'!$O$15),'UW Model'!$O35/('UW Model'!$O$15-'UW Model'!$O$14-1)+BZ13,BZ13)</f>
        <v>0</v>
      </c>
      <c r="CB13" s="190">
        <f>IF(AND(CB$3&gt;'UW Model'!$O$14+1,CB$3&lt;='UW Model'!$O$15),'UW Model'!$O35/('UW Model'!$O$15-'UW Model'!$O$14-1)+CA13,CA13)</f>
        <v>0</v>
      </c>
      <c r="CC13" s="190">
        <f>IF(AND(CC$3&gt;'UW Model'!$O$14+1,CC$3&lt;='UW Model'!$O$15),'UW Model'!$O35/('UW Model'!$O$15-'UW Model'!$O$14-1)+CB13,CB13)</f>
        <v>0</v>
      </c>
      <c r="CD13" s="190">
        <f>IF(AND(CD$3&gt;'UW Model'!$O$14+1,CD$3&lt;='UW Model'!$O$15),'UW Model'!$O35/('UW Model'!$O$15-'UW Model'!$O$14-1)+CC13,CC13)</f>
        <v>0</v>
      </c>
      <c r="CE13" s="195">
        <f>IF(AND(CE$3&gt;'UW Model'!$O$14+1,CE$3&lt;='UW Model'!$O$15),'UW Model'!$O35/('UW Model'!$O$15-'UW Model'!$O$14-1)+CD13,CD13)</f>
        <v>0</v>
      </c>
    </row>
    <row r="14" spans="2:83" x14ac:dyDescent="0.35">
      <c r="P14" s="933"/>
      <c r="Q14" s="196" t="str">
        <f>IF('UW Model'!C36="","",'UW Model'!C36)</f>
        <v/>
      </c>
      <c r="R14" s="197">
        <f t="shared" si="22"/>
        <v>0</v>
      </c>
      <c r="S14" s="191">
        <f t="shared" si="22"/>
        <v>0</v>
      </c>
      <c r="T14" s="191">
        <f t="shared" si="22"/>
        <v>0</v>
      </c>
      <c r="U14" s="191">
        <f t="shared" si="22"/>
        <v>0</v>
      </c>
      <c r="V14" s="198">
        <f t="shared" si="22"/>
        <v>0</v>
      </c>
      <c r="W14" s="193">
        <v>0</v>
      </c>
      <c r="X14" s="193">
        <f>IF(AND(X$3&gt;'UW Model'!$O$14+1,X$3&lt;='UW Model'!$O$15),'UW Model'!$O36/('UW Model'!$O$15-'UW Model'!$O$14-1)+W14,0)</f>
        <v>0</v>
      </c>
      <c r="Y14" s="190">
        <f>IF(AND(Y$3&gt;'UW Model'!$O$14+1,Y$3&lt;='UW Model'!$O$15),'UW Model'!$O36/('UW Model'!$O$15-'UW Model'!$O$14-1)+X14,X14)</f>
        <v>0</v>
      </c>
      <c r="Z14" s="190">
        <f>IF(AND(Z$3&gt;'UW Model'!$O$14+1,Z$3&lt;='UW Model'!$O$15),'UW Model'!$O36/('UW Model'!$O$15-'UW Model'!$O$14-1)+Y14,Y14)</f>
        <v>0</v>
      </c>
      <c r="AA14" s="190">
        <f>IF(AND(AA$3&gt;'UW Model'!$O$14+1,AA$3&lt;='UW Model'!$O$15),'UW Model'!$O36/('UW Model'!$O$15-'UW Model'!$O$14-1)+Z14,Z14)</f>
        <v>0</v>
      </c>
      <c r="AB14" s="190">
        <f>IF(AND(AB$3&gt;'UW Model'!$O$14+1,AB$3&lt;='UW Model'!$O$15),'UW Model'!$O36/('UW Model'!$O$15-'UW Model'!$O$14-1)+AA14,AA14)</f>
        <v>0</v>
      </c>
      <c r="AC14" s="190">
        <f>IF(AND(AC$3&gt;'UW Model'!$O$14+1,AC$3&lt;='UW Model'!$O$15),'UW Model'!$O36/('UW Model'!$O$15-'UW Model'!$O$14-1)+AB14,AB14)</f>
        <v>0</v>
      </c>
      <c r="AD14" s="190">
        <f>IF(AND(AD$3&gt;'UW Model'!$O$14+1,AD$3&lt;='UW Model'!$O$15),'UW Model'!$O36/('UW Model'!$O$15-'UW Model'!$O$14-1)+AC14,AC14)</f>
        <v>0</v>
      </c>
      <c r="AE14" s="190">
        <f>IF(AND(AE$3&gt;'UW Model'!$O$14+1,AE$3&lt;='UW Model'!$O$15),'UW Model'!$O36/('UW Model'!$O$15-'UW Model'!$O$14-1)+AD14,AD14)</f>
        <v>0</v>
      </c>
      <c r="AF14" s="190">
        <f>IF(AND(AF$3&gt;'UW Model'!$O$14+1,AF$3&lt;='UW Model'!$O$15),'UW Model'!$O36/('UW Model'!$O$15-'UW Model'!$O$14-1)+AE14,AE14)</f>
        <v>0</v>
      </c>
      <c r="AG14" s="190">
        <f>IF(AND(AG$3&gt;'UW Model'!$O$14+1,AG$3&lt;='UW Model'!$O$15),'UW Model'!$O36/('UW Model'!$O$15-'UW Model'!$O$14-1)+AF14,AF14)</f>
        <v>0</v>
      </c>
      <c r="AH14" s="190">
        <f>IF(AND(AH$3&gt;'UW Model'!$O$14+1,AH$3&lt;='UW Model'!$O$15),'UW Model'!$O36/('UW Model'!$O$15-'UW Model'!$O$14-1)+AG14,AG14)</f>
        <v>0</v>
      </c>
      <c r="AI14" s="192">
        <f>IF(AND(AI$3&gt;'UW Model'!$O$14+1,AI$3&lt;='UW Model'!$O$15),'UW Model'!$O36/('UW Model'!$O$15-'UW Model'!$O$14-1)+AH14,AH14)</f>
        <v>0</v>
      </c>
      <c r="AJ14" s="193">
        <f>IF(AND(AJ$3&gt;'UW Model'!$O$14+1,AJ$3&lt;='UW Model'!$O$15),'UW Model'!$O36/('UW Model'!$O$15-'UW Model'!$O$14-1)+AI14,AI14)</f>
        <v>0</v>
      </c>
      <c r="AK14" s="190">
        <f>IF(AND(AK$3&gt;'UW Model'!$O$14+1,AK$3&lt;='UW Model'!$O$15),'UW Model'!$O36/('UW Model'!$O$15-'UW Model'!$O$14-1)+AJ14,AJ14)</f>
        <v>0</v>
      </c>
      <c r="AL14" s="190">
        <f>IF(AND(AL$3&gt;'UW Model'!$O$14+1,AL$3&lt;='UW Model'!$O$15),'UW Model'!$O36/('UW Model'!$O$15-'UW Model'!$O$14-1)+AK14,AK14)</f>
        <v>0</v>
      </c>
      <c r="AM14" s="190">
        <f>IF(AND(AM$3&gt;'UW Model'!$O$14+1,AM$3&lt;='UW Model'!$O$15),'UW Model'!$O36/('UW Model'!$O$15-'UW Model'!$O$14-1)+AL14,AL14)</f>
        <v>0</v>
      </c>
      <c r="AN14" s="190">
        <f>IF(AND(AN$3&gt;'UW Model'!$O$14+1,AN$3&lt;='UW Model'!$O$15),'UW Model'!$O36/('UW Model'!$O$15-'UW Model'!$O$14-1)+AM14,AM14)</f>
        <v>0</v>
      </c>
      <c r="AO14" s="190">
        <f>IF(AND(AO$3&gt;'UW Model'!$O$14+1,AO$3&lt;='UW Model'!$O$15),'UW Model'!$O36/('UW Model'!$O$15-'UW Model'!$O$14-1)+AN14,AN14)</f>
        <v>0</v>
      </c>
      <c r="AP14" s="190">
        <f>IF(AND(AP$3&gt;'UW Model'!$O$14+1,AP$3&lt;='UW Model'!$O$15),'UW Model'!$O36/('UW Model'!$O$15-'UW Model'!$O$14-1)+AO14,AO14)</f>
        <v>0</v>
      </c>
      <c r="AQ14" s="190">
        <f>IF(AND(AQ$3&gt;'UW Model'!$O$14+1,AQ$3&lt;='UW Model'!$O$15),'UW Model'!$O36/('UW Model'!$O$15-'UW Model'!$O$14-1)+AP14,AP14)</f>
        <v>0</v>
      </c>
      <c r="AR14" s="190">
        <f>IF(AND(AR$3&gt;'UW Model'!$O$14+1,AR$3&lt;='UW Model'!$O$15),'UW Model'!$O36/('UW Model'!$O$15-'UW Model'!$O$14-1)+AQ14,AQ14)</f>
        <v>0</v>
      </c>
      <c r="AS14" s="190">
        <f>IF(AND(AS$3&gt;'UW Model'!$O$14+1,AS$3&lt;='UW Model'!$O$15),'UW Model'!$O36/('UW Model'!$O$15-'UW Model'!$O$14-1)+AR14,AR14)</f>
        <v>0</v>
      </c>
      <c r="AT14" s="190">
        <f>IF(AND(AT$3&gt;'UW Model'!$O$14+1,AT$3&lt;='UW Model'!$O$15),'UW Model'!$O36/('UW Model'!$O$15-'UW Model'!$O$14-1)+AS14,AS14)</f>
        <v>0</v>
      </c>
      <c r="AU14" s="192">
        <f>IF(AND(AU$3&gt;'UW Model'!$O$14+1,AU$3&lt;='UW Model'!$O$15),'UW Model'!$O36/('UW Model'!$O$15-'UW Model'!$O$14-1)+AT14,AT14)</f>
        <v>0</v>
      </c>
      <c r="AV14" s="190">
        <f>IF(AND(AV$3&gt;'UW Model'!$O$14+1,AV$3&lt;='UW Model'!$O$15),'UW Model'!$O36/('UW Model'!$O$15-'UW Model'!$O$14-1)+AU14,AU14)</f>
        <v>0</v>
      </c>
      <c r="AW14" s="190">
        <f>IF(AND(AW$3&gt;'UW Model'!$O$14+1,AW$3&lt;='UW Model'!$O$15),'UW Model'!$O36/('UW Model'!$O$15-'UW Model'!$O$14-1)+AV14,AV14)</f>
        <v>0</v>
      </c>
      <c r="AX14" s="190">
        <f>IF(AND(AX$3&gt;'UW Model'!$O$14+1,AX$3&lt;='UW Model'!$O$15),'UW Model'!$O36/('UW Model'!$O$15-'UW Model'!$O$14-1)+AW14,AW14)</f>
        <v>0</v>
      </c>
      <c r="AY14" s="190">
        <f>IF(AND(AY$3&gt;'UW Model'!$O$14+1,AY$3&lt;='UW Model'!$O$15),'UW Model'!$O36/('UW Model'!$O$15-'UW Model'!$O$14-1)+AX14,AX14)</f>
        <v>0</v>
      </c>
      <c r="AZ14" s="190">
        <f>IF(AND(AZ$3&gt;'UW Model'!$O$14+1,AZ$3&lt;='UW Model'!$O$15),'UW Model'!$O36/('UW Model'!$O$15-'UW Model'!$O$14-1)+AY14,AY14)</f>
        <v>0</v>
      </c>
      <c r="BA14" s="190">
        <f>IF(AND(BA$3&gt;'UW Model'!$O$14+1,BA$3&lt;='UW Model'!$O$15),'UW Model'!$O36/('UW Model'!$O$15-'UW Model'!$O$14-1)+AZ14,AZ14)</f>
        <v>0</v>
      </c>
      <c r="BB14" s="190">
        <f>IF(AND(BB$3&gt;'UW Model'!$O$14+1,BB$3&lt;='UW Model'!$O$15),'UW Model'!$O36/('UW Model'!$O$15-'UW Model'!$O$14-1)+BA14,BA14)</f>
        <v>0</v>
      </c>
      <c r="BC14" s="190">
        <f>IF(AND(BC$3&gt;'UW Model'!$O$14+1,BC$3&lt;='UW Model'!$O$15),'UW Model'!$O36/('UW Model'!$O$15-'UW Model'!$O$14-1)+BB14,BB14)</f>
        <v>0</v>
      </c>
      <c r="BD14" s="190">
        <f>IF(AND(BD$3&gt;'UW Model'!$O$14+1,BD$3&lt;='UW Model'!$O$15),'UW Model'!$O36/('UW Model'!$O$15-'UW Model'!$O$14-1)+BC14,BC14)</f>
        <v>0</v>
      </c>
      <c r="BE14" s="190">
        <f>IF(AND(BE$3&gt;'UW Model'!$O$14+1,BE$3&lt;='UW Model'!$O$15),'UW Model'!$O36/('UW Model'!$O$15-'UW Model'!$O$14-1)+BD14,BD14)</f>
        <v>0</v>
      </c>
      <c r="BF14" s="190">
        <f>IF(AND(BF$3&gt;'UW Model'!$O$14+1,BF$3&lt;='UW Model'!$O$15),'UW Model'!$O36/('UW Model'!$O$15-'UW Model'!$O$14-1)+BE14,BE14)</f>
        <v>0</v>
      </c>
      <c r="BG14" s="192">
        <f>IF(AND(BG$3&gt;'UW Model'!$O$14+1,BG$3&lt;='UW Model'!$O$15),'UW Model'!$O36/('UW Model'!$O$15-'UW Model'!$O$14-1)+BF14,BF14)</f>
        <v>0</v>
      </c>
      <c r="BH14" s="190">
        <f>IF(AND(BH$3&gt;'UW Model'!$O$14+1,BH$3&lt;='UW Model'!$O$15),'UW Model'!$O36/('UW Model'!$O$15-'UW Model'!$O$14-1)+BG14,BG14)</f>
        <v>0</v>
      </c>
      <c r="BI14" s="190">
        <f>IF(AND(BI$3&gt;'UW Model'!$O$14+1,BI$3&lt;='UW Model'!$O$15),'UW Model'!$O36/('UW Model'!$O$15-'UW Model'!$O$14-1)+BH14,BH14)</f>
        <v>0</v>
      </c>
      <c r="BJ14" s="190">
        <f>IF(AND(BJ$3&gt;'UW Model'!$O$14+1,BJ$3&lt;='UW Model'!$O$15),'UW Model'!$O36/('UW Model'!$O$15-'UW Model'!$O$14-1)+BI14,BI14)</f>
        <v>0</v>
      </c>
      <c r="BK14" s="190">
        <f>IF(AND(BK$3&gt;'UW Model'!$O$14+1,BK$3&lt;='UW Model'!$O$15),'UW Model'!$O36/('UW Model'!$O$15-'UW Model'!$O$14-1)+BJ14,BJ14)</f>
        <v>0</v>
      </c>
      <c r="BL14" s="190">
        <f>IF(AND(BL$3&gt;'UW Model'!$O$14+1,BL$3&lt;='UW Model'!$O$15),'UW Model'!$O36/('UW Model'!$O$15-'UW Model'!$O$14-1)+BK14,BK14)</f>
        <v>0</v>
      </c>
      <c r="BM14" s="190">
        <f>IF(AND(BM$3&gt;'UW Model'!$O$14+1,BM$3&lt;='UW Model'!$O$15),'UW Model'!$O36/('UW Model'!$O$15-'UW Model'!$O$14-1)+BL14,BL14)</f>
        <v>0</v>
      </c>
      <c r="BN14" s="190">
        <f>IF(AND(BN$3&gt;'UW Model'!$O$14+1,BN$3&lt;='UW Model'!$O$15),'UW Model'!$O36/('UW Model'!$O$15-'UW Model'!$O$14-1)+BM14,BM14)</f>
        <v>0</v>
      </c>
      <c r="BO14" s="190">
        <f>IF(AND(BO$3&gt;'UW Model'!$O$14+1,BO$3&lt;='UW Model'!$O$15),'UW Model'!$O36/('UW Model'!$O$15-'UW Model'!$O$14-1)+BN14,BN14)</f>
        <v>0</v>
      </c>
      <c r="BP14" s="190">
        <f>IF(AND(BP$3&gt;'UW Model'!$O$14+1,BP$3&lt;='UW Model'!$O$15),'UW Model'!$O36/('UW Model'!$O$15-'UW Model'!$O$14-1)+BO14,BO14)</f>
        <v>0</v>
      </c>
      <c r="BQ14" s="190">
        <f>IF(AND(BQ$3&gt;'UW Model'!$O$14+1,BQ$3&lt;='UW Model'!$O$15),'UW Model'!$O36/('UW Model'!$O$15-'UW Model'!$O$14-1)+BP14,BP14)</f>
        <v>0</v>
      </c>
      <c r="BR14" s="190">
        <f>IF(AND(BR$3&gt;'UW Model'!$O$14+1,BR$3&lt;='UW Model'!$O$15),'UW Model'!$O36/('UW Model'!$O$15-'UW Model'!$O$14-1)+BQ14,BQ14)</f>
        <v>0</v>
      </c>
      <c r="BS14" s="192">
        <f>IF(AND(BS$3&gt;'UW Model'!$O$14+1,BS$3&lt;='UW Model'!$O$15),'UW Model'!$O36/('UW Model'!$O$15-'UW Model'!$O$14-1)+BR14,BR14)</f>
        <v>0</v>
      </c>
      <c r="BT14" s="190">
        <f>IF(AND(BT$3&gt;'UW Model'!$O$14+1,BT$3&lt;='UW Model'!$O$15),'UW Model'!$O36/('UW Model'!$O$15-'UW Model'!$O$14-1)+BS14,BS14)</f>
        <v>0</v>
      </c>
      <c r="BU14" s="190">
        <f>IF(AND(BU$3&gt;'UW Model'!$O$14+1,BU$3&lt;='UW Model'!$O$15),'UW Model'!$O36/('UW Model'!$O$15-'UW Model'!$O$14-1)+BT14,BT14)</f>
        <v>0</v>
      </c>
      <c r="BV14" s="190">
        <f>IF(AND(BV$3&gt;'UW Model'!$O$14+1,BV$3&lt;='UW Model'!$O$15),'UW Model'!$O36/('UW Model'!$O$15-'UW Model'!$O$14-1)+BU14,BU14)</f>
        <v>0</v>
      </c>
      <c r="BW14" s="190">
        <f>IF(AND(BW$3&gt;'UW Model'!$O$14+1,BW$3&lt;='UW Model'!$O$15),'UW Model'!$O36/('UW Model'!$O$15-'UW Model'!$O$14-1)+BV14,BV14)</f>
        <v>0</v>
      </c>
      <c r="BX14" s="190">
        <f>IF(AND(BX$3&gt;'UW Model'!$O$14+1,BX$3&lt;='UW Model'!$O$15),'UW Model'!$O36/('UW Model'!$O$15-'UW Model'!$O$14-1)+BW14,BW14)</f>
        <v>0</v>
      </c>
      <c r="BY14" s="190">
        <f>IF(AND(BY$3&gt;'UW Model'!$O$14+1,BY$3&lt;='UW Model'!$O$15),'UW Model'!$O36/('UW Model'!$O$15-'UW Model'!$O$14-1)+BX14,BX14)</f>
        <v>0</v>
      </c>
      <c r="BZ14" s="190">
        <f>IF(AND(BZ$3&gt;'UW Model'!$O$14+1,BZ$3&lt;='UW Model'!$O$15),'UW Model'!$O36/('UW Model'!$O$15-'UW Model'!$O$14-1)+BY14,BY14)</f>
        <v>0</v>
      </c>
      <c r="CA14" s="190">
        <f>IF(AND(CA$3&gt;'UW Model'!$O$14+1,CA$3&lt;='UW Model'!$O$15),'UW Model'!$O36/('UW Model'!$O$15-'UW Model'!$O$14-1)+BZ14,BZ14)</f>
        <v>0</v>
      </c>
      <c r="CB14" s="190">
        <f>IF(AND(CB$3&gt;'UW Model'!$O$14+1,CB$3&lt;='UW Model'!$O$15),'UW Model'!$O36/('UW Model'!$O$15-'UW Model'!$O$14-1)+CA14,CA14)</f>
        <v>0</v>
      </c>
      <c r="CC14" s="190">
        <f>IF(AND(CC$3&gt;'UW Model'!$O$14+1,CC$3&lt;='UW Model'!$O$15),'UW Model'!$O36/('UW Model'!$O$15-'UW Model'!$O$14-1)+CB14,CB14)</f>
        <v>0</v>
      </c>
      <c r="CD14" s="190">
        <f>IF(AND(CD$3&gt;'UW Model'!$O$14+1,CD$3&lt;='UW Model'!$O$15),'UW Model'!$O36/('UW Model'!$O$15-'UW Model'!$O$14-1)+CC14,CC14)</f>
        <v>0</v>
      </c>
      <c r="CE14" s="195">
        <f>IF(AND(CE$3&gt;'UW Model'!$O$14+1,CE$3&lt;='UW Model'!$O$15),'UW Model'!$O36/('UW Model'!$O$15-'UW Model'!$O$14-1)+CD14,CD14)</f>
        <v>0</v>
      </c>
    </row>
    <row r="15" spans="2:83" x14ac:dyDescent="0.35">
      <c r="P15" s="933"/>
      <c r="Q15" s="196" t="str">
        <f>IF('UW Model'!C37="","",'UW Model'!C37)</f>
        <v/>
      </c>
      <c r="R15" s="197">
        <f t="shared" si="22"/>
        <v>0</v>
      </c>
      <c r="S15" s="191">
        <f t="shared" si="22"/>
        <v>0</v>
      </c>
      <c r="T15" s="191">
        <f t="shared" si="22"/>
        <v>0</v>
      </c>
      <c r="U15" s="191">
        <f t="shared" si="22"/>
        <v>0</v>
      </c>
      <c r="V15" s="198">
        <f t="shared" si="22"/>
        <v>0</v>
      </c>
      <c r="W15" s="193">
        <v>0</v>
      </c>
      <c r="X15" s="193">
        <f>IF(AND(X$3&gt;'UW Model'!$O$14+1,X$3&lt;='UW Model'!$O$15),'UW Model'!$O37/('UW Model'!$O$15-'UW Model'!$O$14-1)+W15,0)</f>
        <v>0</v>
      </c>
      <c r="Y15" s="190">
        <f>IF(AND(Y$3&gt;'UW Model'!$O$14+1,Y$3&lt;='UW Model'!$O$15),'UW Model'!$O37/('UW Model'!$O$15-'UW Model'!$O$14-1)+X15,X15)</f>
        <v>0</v>
      </c>
      <c r="Z15" s="190">
        <f>IF(AND(Z$3&gt;'UW Model'!$O$14+1,Z$3&lt;='UW Model'!$O$15),'UW Model'!$O37/('UW Model'!$O$15-'UW Model'!$O$14-1)+Y15,Y15)</f>
        <v>0</v>
      </c>
      <c r="AA15" s="190">
        <f>IF(AND(AA$3&gt;'UW Model'!$O$14+1,AA$3&lt;='UW Model'!$O$15),'UW Model'!$O37/('UW Model'!$O$15-'UW Model'!$O$14-1)+Z15,Z15)</f>
        <v>0</v>
      </c>
      <c r="AB15" s="190">
        <f>IF(AND(AB$3&gt;'UW Model'!$O$14+1,AB$3&lt;='UW Model'!$O$15),'UW Model'!$O37/('UW Model'!$O$15-'UW Model'!$O$14-1)+AA15,AA15)</f>
        <v>0</v>
      </c>
      <c r="AC15" s="190">
        <f>IF(AND(AC$3&gt;'UW Model'!$O$14+1,AC$3&lt;='UW Model'!$O$15),'UW Model'!$O37/('UW Model'!$O$15-'UW Model'!$O$14-1)+AB15,AB15)</f>
        <v>0</v>
      </c>
      <c r="AD15" s="190">
        <f>IF(AND(AD$3&gt;'UW Model'!$O$14+1,AD$3&lt;='UW Model'!$O$15),'UW Model'!$O37/('UW Model'!$O$15-'UW Model'!$O$14-1)+AC15,AC15)</f>
        <v>0</v>
      </c>
      <c r="AE15" s="190">
        <f>IF(AND(AE$3&gt;'UW Model'!$O$14+1,AE$3&lt;='UW Model'!$O$15),'UW Model'!$O37/('UW Model'!$O$15-'UW Model'!$O$14-1)+AD15,AD15)</f>
        <v>0</v>
      </c>
      <c r="AF15" s="190">
        <f>IF(AND(AF$3&gt;'UW Model'!$O$14+1,AF$3&lt;='UW Model'!$O$15),'UW Model'!$O37/('UW Model'!$O$15-'UW Model'!$O$14-1)+AE15,AE15)</f>
        <v>0</v>
      </c>
      <c r="AG15" s="190">
        <f>IF(AND(AG$3&gt;'UW Model'!$O$14+1,AG$3&lt;='UW Model'!$O$15),'UW Model'!$O37/('UW Model'!$O$15-'UW Model'!$O$14-1)+AF15,AF15)</f>
        <v>0</v>
      </c>
      <c r="AH15" s="190">
        <f>IF(AND(AH$3&gt;'UW Model'!$O$14+1,AH$3&lt;='UW Model'!$O$15),'UW Model'!$O37/('UW Model'!$O$15-'UW Model'!$O$14-1)+AG15,AG15)</f>
        <v>0</v>
      </c>
      <c r="AI15" s="192">
        <f>IF(AND(AI$3&gt;'UW Model'!$O$14+1,AI$3&lt;='UW Model'!$O$15),'UW Model'!$O37/('UW Model'!$O$15-'UW Model'!$O$14-1)+AH15,AH15)</f>
        <v>0</v>
      </c>
      <c r="AJ15" s="193">
        <f>IF(AND(AJ$3&gt;'UW Model'!$O$14+1,AJ$3&lt;='UW Model'!$O$15),'UW Model'!$O37/('UW Model'!$O$15-'UW Model'!$O$14-1)+AI15,AI15)</f>
        <v>0</v>
      </c>
      <c r="AK15" s="190">
        <f>IF(AND(AK$3&gt;'UW Model'!$O$14+1,AK$3&lt;='UW Model'!$O$15),'UW Model'!$O37/('UW Model'!$O$15-'UW Model'!$O$14-1)+AJ15,AJ15)</f>
        <v>0</v>
      </c>
      <c r="AL15" s="190">
        <f>IF(AND(AL$3&gt;'UW Model'!$O$14+1,AL$3&lt;='UW Model'!$O$15),'UW Model'!$O37/('UW Model'!$O$15-'UW Model'!$O$14-1)+AK15,AK15)</f>
        <v>0</v>
      </c>
      <c r="AM15" s="190">
        <f>IF(AND(AM$3&gt;'UW Model'!$O$14+1,AM$3&lt;='UW Model'!$O$15),'UW Model'!$O37/('UW Model'!$O$15-'UW Model'!$O$14-1)+AL15,AL15)</f>
        <v>0</v>
      </c>
      <c r="AN15" s="190">
        <f>IF(AND(AN$3&gt;'UW Model'!$O$14+1,AN$3&lt;='UW Model'!$O$15),'UW Model'!$O37/('UW Model'!$O$15-'UW Model'!$O$14-1)+AM15,AM15)</f>
        <v>0</v>
      </c>
      <c r="AO15" s="190">
        <f>IF(AND(AO$3&gt;'UW Model'!$O$14+1,AO$3&lt;='UW Model'!$O$15),'UW Model'!$O37/('UW Model'!$O$15-'UW Model'!$O$14-1)+AN15,AN15)</f>
        <v>0</v>
      </c>
      <c r="AP15" s="190">
        <f>IF(AND(AP$3&gt;'UW Model'!$O$14+1,AP$3&lt;='UW Model'!$O$15),'UW Model'!$O37/('UW Model'!$O$15-'UW Model'!$O$14-1)+AO15,AO15)</f>
        <v>0</v>
      </c>
      <c r="AQ15" s="190">
        <f>IF(AND(AQ$3&gt;'UW Model'!$O$14+1,AQ$3&lt;='UW Model'!$O$15),'UW Model'!$O37/('UW Model'!$O$15-'UW Model'!$O$14-1)+AP15,AP15)</f>
        <v>0</v>
      </c>
      <c r="AR15" s="190">
        <f>IF(AND(AR$3&gt;'UW Model'!$O$14+1,AR$3&lt;='UW Model'!$O$15),'UW Model'!$O37/('UW Model'!$O$15-'UW Model'!$O$14-1)+AQ15,AQ15)</f>
        <v>0</v>
      </c>
      <c r="AS15" s="190">
        <f>IF(AND(AS$3&gt;'UW Model'!$O$14+1,AS$3&lt;='UW Model'!$O$15),'UW Model'!$O37/('UW Model'!$O$15-'UW Model'!$O$14-1)+AR15,AR15)</f>
        <v>0</v>
      </c>
      <c r="AT15" s="190">
        <f>IF(AND(AT$3&gt;'UW Model'!$O$14+1,AT$3&lt;='UW Model'!$O$15),'UW Model'!$O37/('UW Model'!$O$15-'UW Model'!$O$14-1)+AS15,AS15)</f>
        <v>0</v>
      </c>
      <c r="AU15" s="192">
        <f>IF(AND(AU$3&gt;'UW Model'!$O$14+1,AU$3&lt;='UW Model'!$O$15),'UW Model'!$O37/('UW Model'!$O$15-'UW Model'!$O$14-1)+AT15,AT15)</f>
        <v>0</v>
      </c>
      <c r="AV15" s="190">
        <f>IF(AND(AV$3&gt;'UW Model'!$O$14+1,AV$3&lt;='UW Model'!$O$15),'UW Model'!$O37/('UW Model'!$O$15-'UW Model'!$O$14-1)+AU15,AU15)</f>
        <v>0</v>
      </c>
      <c r="AW15" s="190">
        <f>IF(AND(AW$3&gt;'UW Model'!$O$14+1,AW$3&lt;='UW Model'!$O$15),'UW Model'!$O37/('UW Model'!$O$15-'UW Model'!$O$14-1)+AV15,AV15)</f>
        <v>0</v>
      </c>
      <c r="AX15" s="190">
        <f>IF(AND(AX$3&gt;'UW Model'!$O$14+1,AX$3&lt;='UW Model'!$O$15),'UW Model'!$O37/('UW Model'!$O$15-'UW Model'!$O$14-1)+AW15,AW15)</f>
        <v>0</v>
      </c>
      <c r="AY15" s="190">
        <f>IF(AND(AY$3&gt;'UW Model'!$O$14+1,AY$3&lt;='UW Model'!$O$15),'UW Model'!$O37/('UW Model'!$O$15-'UW Model'!$O$14-1)+AX15,AX15)</f>
        <v>0</v>
      </c>
      <c r="AZ15" s="190">
        <f>IF(AND(AZ$3&gt;'UW Model'!$O$14+1,AZ$3&lt;='UW Model'!$O$15),'UW Model'!$O37/('UW Model'!$O$15-'UW Model'!$O$14-1)+AY15,AY15)</f>
        <v>0</v>
      </c>
      <c r="BA15" s="190">
        <f>IF(AND(BA$3&gt;'UW Model'!$O$14+1,BA$3&lt;='UW Model'!$O$15),'UW Model'!$O37/('UW Model'!$O$15-'UW Model'!$O$14-1)+AZ15,AZ15)</f>
        <v>0</v>
      </c>
      <c r="BB15" s="190">
        <f>IF(AND(BB$3&gt;'UW Model'!$O$14+1,BB$3&lt;='UW Model'!$O$15),'UW Model'!$O37/('UW Model'!$O$15-'UW Model'!$O$14-1)+BA15,BA15)</f>
        <v>0</v>
      </c>
      <c r="BC15" s="190">
        <f>IF(AND(BC$3&gt;'UW Model'!$O$14+1,BC$3&lt;='UW Model'!$O$15),'UW Model'!$O37/('UW Model'!$O$15-'UW Model'!$O$14-1)+BB15,BB15)</f>
        <v>0</v>
      </c>
      <c r="BD15" s="190">
        <f>IF(AND(BD$3&gt;'UW Model'!$O$14+1,BD$3&lt;='UW Model'!$O$15),'UW Model'!$O37/('UW Model'!$O$15-'UW Model'!$O$14-1)+BC15,BC15)</f>
        <v>0</v>
      </c>
      <c r="BE15" s="190">
        <f>IF(AND(BE$3&gt;'UW Model'!$O$14+1,BE$3&lt;='UW Model'!$O$15),'UW Model'!$O37/('UW Model'!$O$15-'UW Model'!$O$14-1)+BD15,BD15)</f>
        <v>0</v>
      </c>
      <c r="BF15" s="190">
        <f>IF(AND(BF$3&gt;'UW Model'!$O$14+1,BF$3&lt;='UW Model'!$O$15),'UW Model'!$O37/('UW Model'!$O$15-'UW Model'!$O$14-1)+BE15,BE15)</f>
        <v>0</v>
      </c>
      <c r="BG15" s="192">
        <f>IF(AND(BG$3&gt;'UW Model'!$O$14+1,BG$3&lt;='UW Model'!$O$15),'UW Model'!$O37/('UW Model'!$O$15-'UW Model'!$O$14-1)+BF15,BF15)</f>
        <v>0</v>
      </c>
      <c r="BH15" s="190">
        <f>IF(AND(BH$3&gt;'UW Model'!$O$14+1,BH$3&lt;='UW Model'!$O$15),'UW Model'!$O37/('UW Model'!$O$15-'UW Model'!$O$14-1)+BG15,BG15)</f>
        <v>0</v>
      </c>
      <c r="BI15" s="190">
        <f>IF(AND(BI$3&gt;'UW Model'!$O$14+1,BI$3&lt;='UW Model'!$O$15),'UW Model'!$O37/('UW Model'!$O$15-'UW Model'!$O$14-1)+BH15,BH15)</f>
        <v>0</v>
      </c>
      <c r="BJ15" s="190">
        <f>IF(AND(BJ$3&gt;'UW Model'!$O$14+1,BJ$3&lt;='UW Model'!$O$15),'UW Model'!$O37/('UW Model'!$O$15-'UW Model'!$O$14-1)+BI15,BI15)</f>
        <v>0</v>
      </c>
      <c r="BK15" s="190">
        <f>IF(AND(BK$3&gt;'UW Model'!$O$14+1,BK$3&lt;='UW Model'!$O$15),'UW Model'!$O37/('UW Model'!$O$15-'UW Model'!$O$14-1)+BJ15,BJ15)</f>
        <v>0</v>
      </c>
      <c r="BL15" s="190">
        <f>IF(AND(BL$3&gt;'UW Model'!$O$14+1,BL$3&lt;='UW Model'!$O$15),'UW Model'!$O37/('UW Model'!$O$15-'UW Model'!$O$14-1)+BK15,BK15)</f>
        <v>0</v>
      </c>
      <c r="BM15" s="190">
        <f>IF(AND(BM$3&gt;'UW Model'!$O$14+1,BM$3&lt;='UW Model'!$O$15),'UW Model'!$O37/('UW Model'!$O$15-'UW Model'!$O$14-1)+BL15,BL15)</f>
        <v>0</v>
      </c>
      <c r="BN15" s="190">
        <f>IF(AND(BN$3&gt;'UW Model'!$O$14+1,BN$3&lt;='UW Model'!$O$15),'UW Model'!$O37/('UW Model'!$O$15-'UW Model'!$O$14-1)+BM15,BM15)</f>
        <v>0</v>
      </c>
      <c r="BO15" s="190">
        <f>IF(AND(BO$3&gt;'UW Model'!$O$14+1,BO$3&lt;='UW Model'!$O$15),'UW Model'!$O37/('UW Model'!$O$15-'UW Model'!$O$14-1)+BN15,BN15)</f>
        <v>0</v>
      </c>
      <c r="BP15" s="190">
        <f>IF(AND(BP$3&gt;'UW Model'!$O$14+1,BP$3&lt;='UW Model'!$O$15),'UW Model'!$O37/('UW Model'!$O$15-'UW Model'!$O$14-1)+BO15,BO15)</f>
        <v>0</v>
      </c>
      <c r="BQ15" s="190">
        <f>IF(AND(BQ$3&gt;'UW Model'!$O$14+1,BQ$3&lt;='UW Model'!$O$15),'UW Model'!$O37/('UW Model'!$O$15-'UW Model'!$O$14-1)+BP15,BP15)</f>
        <v>0</v>
      </c>
      <c r="BR15" s="190">
        <f>IF(AND(BR$3&gt;'UW Model'!$O$14+1,BR$3&lt;='UW Model'!$O$15),'UW Model'!$O37/('UW Model'!$O$15-'UW Model'!$O$14-1)+BQ15,BQ15)</f>
        <v>0</v>
      </c>
      <c r="BS15" s="192">
        <f>IF(AND(BS$3&gt;'UW Model'!$O$14+1,BS$3&lt;='UW Model'!$O$15),'UW Model'!$O37/('UW Model'!$O$15-'UW Model'!$O$14-1)+BR15,BR15)</f>
        <v>0</v>
      </c>
      <c r="BT15" s="190">
        <f>IF(AND(BT$3&gt;'UW Model'!$O$14+1,BT$3&lt;='UW Model'!$O$15),'UW Model'!$O37/('UW Model'!$O$15-'UW Model'!$O$14-1)+BS15,BS15)</f>
        <v>0</v>
      </c>
      <c r="BU15" s="190">
        <f>IF(AND(BU$3&gt;'UW Model'!$O$14+1,BU$3&lt;='UW Model'!$O$15),'UW Model'!$O37/('UW Model'!$O$15-'UW Model'!$O$14-1)+BT15,BT15)</f>
        <v>0</v>
      </c>
      <c r="BV15" s="190">
        <f>IF(AND(BV$3&gt;'UW Model'!$O$14+1,BV$3&lt;='UW Model'!$O$15),'UW Model'!$O37/('UW Model'!$O$15-'UW Model'!$O$14-1)+BU15,BU15)</f>
        <v>0</v>
      </c>
      <c r="BW15" s="190">
        <f>IF(AND(BW$3&gt;'UW Model'!$O$14+1,BW$3&lt;='UW Model'!$O$15),'UW Model'!$O37/('UW Model'!$O$15-'UW Model'!$O$14-1)+BV15,BV15)</f>
        <v>0</v>
      </c>
      <c r="BX15" s="190">
        <f>IF(AND(BX$3&gt;'UW Model'!$O$14+1,BX$3&lt;='UW Model'!$O$15),'UW Model'!$O37/('UW Model'!$O$15-'UW Model'!$O$14-1)+BW15,BW15)</f>
        <v>0</v>
      </c>
      <c r="BY15" s="190">
        <f>IF(AND(BY$3&gt;'UW Model'!$O$14+1,BY$3&lt;='UW Model'!$O$15),'UW Model'!$O37/('UW Model'!$O$15-'UW Model'!$O$14-1)+BX15,BX15)</f>
        <v>0</v>
      </c>
      <c r="BZ15" s="190">
        <f>IF(AND(BZ$3&gt;'UW Model'!$O$14+1,BZ$3&lt;='UW Model'!$O$15),'UW Model'!$O37/('UW Model'!$O$15-'UW Model'!$O$14-1)+BY15,BY15)</f>
        <v>0</v>
      </c>
      <c r="CA15" s="190">
        <f>IF(AND(CA$3&gt;'UW Model'!$O$14+1,CA$3&lt;='UW Model'!$O$15),'UW Model'!$O37/('UW Model'!$O$15-'UW Model'!$O$14-1)+BZ15,BZ15)</f>
        <v>0</v>
      </c>
      <c r="CB15" s="190">
        <f>IF(AND(CB$3&gt;'UW Model'!$O$14+1,CB$3&lt;='UW Model'!$O$15),'UW Model'!$O37/('UW Model'!$O$15-'UW Model'!$O$14-1)+CA15,CA15)</f>
        <v>0</v>
      </c>
      <c r="CC15" s="190">
        <f>IF(AND(CC$3&gt;'UW Model'!$O$14+1,CC$3&lt;='UW Model'!$O$15),'UW Model'!$O37/('UW Model'!$O$15-'UW Model'!$O$14-1)+CB15,CB15)</f>
        <v>0</v>
      </c>
      <c r="CD15" s="190">
        <f>IF(AND(CD$3&gt;'UW Model'!$O$14+1,CD$3&lt;='UW Model'!$O$15),'UW Model'!$O37/('UW Model'!$O$15-'UW Model'!$O$14-1)+CC15,CC15)</f>
        <v>0</v>
      </c>
      <c r="CE15" s="195">
        <f>IF(AND(CE$3&gt;'UW Model'!$O$14+1,CE$3&lt;='UW Model'!$O$15),'UW Model'!$O37/('UW Model'!$O$15-'UW Model'!$O$14-1)+CD15,CD15)</f>
        <v>0</v>
      </c>
    </row>
    <row r="16" spans="2:83" x14ac:dyDescent="0.35">
      <c r="P16" s="933"/>
      <c r="Q16" s="196" t="str">
        <f>IF('UW Model'!C38="","",'UW Model'!C38)</f>
        <v/>
      </c>
      <c r="R16" s="197">
        <f t="shared" si="22"/>
        <v>0</v>
      </c>
      <c r="S16" s="191">
        <f t="shared" si="22"/>
        <v>0</v>
      </c>
      <c r="T16" s="191">
        <f t="shared" si="22"/>
        <v>0</v>
      </c>
      <c r="U16" s="191">
        <f t="shared" si="22"/>
        <v>0</v>
      </c>
      <c r="V16" s="198">
        <f t="shared" si="22"/>
        <v>0</v>
      </c>
      <c r="W16" s="193">
        <v>0</v>
      </c>
      <c r="X16" s="193">
        <f>IF(AND(X$3&gt;'UW Model'!$O$14+1,X$3&lt;='UW Model'!$O$15),'UW Model'!$O38/('UW Model'!$O$15-'UW Model'!$O$14-1)+W16,0)</f>
        <v>0</v>
      </c>
      <c r="Y16" s="190">
        <f>IF(AND(Y$3&gt;'UW Model'!$O$14+1,Y$3&lt;='UW Model'!$O$15),'UW Model'!$O38/('UW Model'!$O$15-'UW Model'!$O$14-1)+X16,X16)</f>
        <v>0</v>
      </c>
      <c r="Z16" s="190">
        <f>IF(AND(Z$3&gt;'UW Model'!$O$14+1,Z$3&lt;='UW Model'!$O$15),'UW Model'!$O38/('UW Model'!$O$15-'UW Model'!$O$14-1)+Y16,Y16)</f>
        <v>0</v>
      </c>
      <c r="AA16" s="190">
        <f>IF(AND(AA$3&gt;'UW Model'!$O$14+1,AA$3&lt;='UW Model'!$O$15),'UW Model'!$O38/('UW Model'!$O$15-'UW Model'!$O$14-1)+Z16,Z16)</f>
        <v>0</v>
      </c>
      <c r="AB16" s="190">
        <f>IF(AND(AB$3&gt;'UW Model'!$O$14+1,AB$3&lt;='UW Model'!$O$15),'UW Model'!$O38/('UW Model'!$O$15-'UW Model'!$O$14-1)+AA16,AA16)</f>
        <v>0</v>
      </c>
      <c r="AC16" s="190">
        <f>IF(AND(AC$3&gt;'UW Model'!$O$14+1,AC$3&lt;='UW Model'!$O$15),'UW Model'!$O38/('UW Model'!$O$15-'UW Model'!$O$14-1)+AB16,AB16)</f>
        <v>0</v>
      </c>
      <c r="AD16" s="190">
        <f>IF(AND(AD$3&gt;'UW Model'!$O$14+1,AD$3&lt;='UW Model'!$O$15),'UW Model'!$O38/('UW Model'!$O$15-'UW Model'!$O$14-1)+AC16,AC16)</f>
        <v>0</v>
      </c>
      <c r="AE16" s="190">
        <f>IF(AND(AE$3&gt;'UW Model'!$O$14+1,AE$3&lt;='UW Model'!$O$15),'UW Model'!$O38/('UW Model'!$O$15-'UW Model'!$O$14-1)+AD16,AD16)</f>
        <v>0</v>
      </c>
      <c r="AF16" s="190">
        <f>IF(AND(AF$3&gt;'UW Model'!$O$14+1,AF$3&lt;='UW Model'!$O$15),'UW Model'!$O38/('UW Model'!$O$15-'UW Model'!$O$14-1)+AE16,AE16)</f>
        <v>0</v>
      </c>
      <c r="AG16" s="190">
        <f>IF(AND(AG$3&gt;'UW Model'!$O$14+1,AG$3&lt;='UW Model'!$O$15),'UW Model'!$O38/('UW Model'!$O$15-'UW Model'!$O$14-1)+AF16,AF16)</f>
        <v>0</v>
      </c>
      <c r="AH16" s="190">
        <f>IF(AND(AH$3&gt;'UW Model'!$O$14+1,AH$3&lt;='UW Model'!$O$15),'UW Model'!$O38/('UW Model'!$O$15-'UW Model'!$O$14-1)+AG16,AG16)</f>
        <v>0</v>
      </c>
      <c r="AI16" s="192">
        <f>IF(AND(AI$3&gt;'UW Model'!$O$14+1,AI$3&lt;='UW Model'!$O$15),'UW Model'!$O38/('UW Model'!$O$15-'UW Model'!$O$14-1)+AH16,AH16)</f>
        <v>0</v>
      </c>
      <c r="AJ16" s="193">
        <f>IF(AND(AJ$3&gt;'UW Model'!$O$14+1,AJ$3&lt;='UW Model'!$O$15),'UW Model'!$O38/('UW Model'!$O$15-'UW Model'!$O$14-1)+AI16,AI16)</f>
        <v>0</v>
      </c>
      <c r="AK16" s="190">
        <f>IF(AND(AK$3&gt;'UW Model'!$O$14+1,AK$3&lt;='UW Model'!$O$15),'UW Model'!$O38/('UW Model'!$O$15-'UW Model'!$O$14-1)+AJ16,AJ16)</f>
        <v>0</v>
      </c>
      <c r="AL16" s="190">
        <f>IF(AND(AL$3&gt;'UW Model'!$O$14+1,AL$3&lt;='UW Model'!$O$15),'UW Model'!$O38/('UW Model'!$O$15-'UW Model'!$O$14-1)+AK16,AK16)</f>
        <v>0</v>
      </c>
      <c r="AM16" s="190">
        <f>IF(AND(AM$3&gt;'UW Model'!$O$14+1,AM$3&lt;='UW Model'!$O$15),'UW Model'!$O38/('UW Model'!$O$15-'UW Model'!$O$14-1)+AL16,AL16)</f>
        <v>0</v>
      </c>
      <c r="AN16" s="190">
        <f>IF(AND(AN$3&gt;'UW Model'!$O$14+1,AN$3&lt;='UW Model'!$O$15),'UW Model'!$O38/('UW Model'!$O$15-'UW Model'!$O$14-1)+AM16,AM16)</f>
        <v>0</v>
      </c>
      <c r="AO16" s="190">
        <f>IF(AND(AO$3&gt;'UW Model'!$O$14+1,AO$3&lt;='UW Model'!$O$15),'UW Model'!$O38/('UW Model'!$O$15-'UW Model'!$O$14-1)+AN16,AN16)</f>
        <v>0</v>
      </c>
      <c r="AP16" s="190">
        <f>IF(AND(AP$3&gt;'UW Model'!$O$14+1,AP$3&lt;='UW Model'!$O$15),'UW Model'!$O38/('UW Model'!$O$15-'UW Model'!$O$14-1)+AO16,AO16)</f>
        <v>0</v>
      </c>
      <c r="AQ16" s="190">
        <f>IF(AND(AQ$3&gt;'UW Model'!$O$14+1,AQ$3&lt;='UW Model'!$O$15),'UW Model'!$O38/('UW Model'!$O$15-'UW Model'!$O$14-1)+AP16,AP16)</f>
        <v>0</v>
      </c>
      <c r="AR16" s="190">
        <f>IF(AND(AR$3&gt;'UW Model'!$O$14+1,AR$3&lt;='UW Model'!$O$15),'UW Model'!$O38/('UW Model'!$O$15-'UW Model'!$O$14-1)+AQ16,AQ16)</f>
        <v>0</v>
      </c>
      <c r="AS16" s="190">
        <f>IF(AND(AS$3&gt;'UW Model'!$O$14+1,AS$3&lt;='UW Model'!$O$15),'UW Model'!$O38/('UW Model'!$O$15-'UW Model'!$O$14-1)+AR16,AR16)</f>
        <v>0</v>
      </c>
      <c r="AT16" s="190">
        <f>IF(AND(AT$3&gt;'UW Model'!$O$14+1,AT$3&lt;='UW Model'!$O$15),'UW Model'!$O38/('UW Model'!$O$15-'UW Model'!$O$14-1)+AS16,AS16)</f>
        <v>0</v>
      </c>
      <c r="AU16" s="192">
        <f>IF(AND(AU$3&gt;'UW Model'!$O$14+1,AU$3&lt;='UW Model'!$O$15),'UW Model'!$O38/('UW Model'!$O$15-'UW Model'!$O$14-1)+AT16,AT16)</f>
        <v>0</v>
      </c>
      <c r="AV16" s="190">
        <f>IF(AND(AV$3&gt;'UW Model'!$O$14+1,AV$3&lt;='UW Model'!$O$15),'UW Model'!$O38/('UW Model'!$O$15-'UW Model'!$O$14-1)+AU16,AU16)</f>
        <v>0</v>
      </c>
      <c r="AW16" s="190">
        <f>IF(AND(AW$3&gt;'UW Model'!$O$14+1,AW$3&lt;='UW Model'!$O$15),'UW Model'!$O38/('UW Model'!$O$15-'UW Model'!$O$14-1)+AV16,AV16)</f>
        <v>0</v>
      </c>
      <c r="AX16" s="190">
        <f>IF(AND(AX$3&gt;'UW Model'!$O$14+1,AX$3&lt;='UW Model'!$O$15),'UW Model'!$O38/('UW Model'!$O$15-'UW Model'!$O$14-1)+AW16,AW16)</f>
        <v>0</v>
      </c>
      <c r="AY16" s="190">
        <f>IF(AND(AY$3&gt;'UW Model'!$O$14+1,AY$3&lt;='UW Model'!$O$15),'UW Model'!$O38/('UW Model'!$O$15-'UW Model'!$O$14-1)+AX16,AX16)</f>
        <v>0</v>
      </c>
      <c r="AZ16" s="190">
        <f>IF(AND(AZ$3&gt;'UW Model'!$O$14+1,AZ$3&lt;='UW Model'!$O$15),'UW Model'!$O38/('UW Model'!$O$15-'UW Model'!$O$14-1)+AY16,AY16)</f>
        <v>0</v>
      </c>
      <c r="BA16" s="190">
        <f>IF(AND(BA$3&gt;'UW Model'!$O$14+1,BA$3&lt;='UW Model'!$O$15),'UW Model'!$O38/('UW Model'!$O$15-'UW Model'!$O$14-1)+AZ16,AZ16)</f>
        <v>0</v>
      </c>
      <c r="BB16" s="190">
        <f>IF(AND(BB$3&gt;'UW Model'!$O$14+1,BB$3&lt;='UW Model'!$O$15),'UW Model'!$O38/('UW Model'!$O$15-'UW Model'!$O$14-1)+BA16,BA16)</f>
        <v>0</v>
      </c>
      <c r="BC16" s="190">
        <f>IF(AND(BC$3&gt;'UW Model'!$O$14+1,BC$3&lt;='UW Model'!$O$15),'UW Model'!$O38/('UW Model'!$O$15-'UW Model'!$O$14-1)+BB16,BB16)</f>
        <v>0</v>
      </c>
      <c r="BD16" s="190">
        <f>IF(AND(BD$3&gt;'UW Model'!$O$14+1,BD$3&lt;='UW Model'!$O$15),'UW Model'!$O38/('UW Model'!$O$15-'UW Model'!$O$14-1)+BC16,BC16)</f>
        <v>0</v>
      </c>
      <c r="BE16" s="190">
        <f>IF(AND(BE$3&gt;'UW Model'!$O$14+1,BE$3&lt;='UW Model'!$O$15),'UW Model'!$O38/('UW Model'!$O$15-'UW Model'!$O$14-1)+BD16,BD16)</f>
        <v>0</v>
      </c>
      <c r="BF16" s="190">
        <f>IF(AND(BF$3&gt;'UW Model'!$O$14+1,BF$3&lt;='UW Model'!$O$15),'UW Model'!$O38/('UW Model'!$O$15-'UW Model'!$O$14-1)+BE16,BE16)</f>
        <v>0</v>
      </c>
      <c r="BG16" s="192">
        <f>IF(AND(BG$3&gt;'UW Model'!$O$14+1,BG$3&lt;='UW Model'!$O$15),'UW Model'!$O38/('UW Model'!$O$15-'UW Model'!$O$14-1)+BF16,BF16)</f>
        <v>0</v>
      </c>
      <c r="BH16" s="190">
        <f>IF(AND(BH$3&gt;'UW Model'!$O$14+1,BH$3&lt;='UW Model'!$O$15),'UW Model'!$O38/('UW Model'!$O$15-'UW Model'!$O$14-1)+BG16,BG16)</f>
        <v>0</v>
      </c>
      <c r="BI16" s="190">
        <f>IF(AND(BI$3&gt;'UW Model'!$O$14+1,BI$3&lt;='UW Model'!$O$15),'UW Model'!$O38/('UW Model'!$O$15-'UW Model'!$O$14-1)+BH16,BH16)</f>
        <v>0</v>
      </c>
      <c r="BJ16" s="190">
        <f>IF(AND(BJ$3&gt;'UW Model'!$O$14+1,BJ$3&lt;='UW Model'!$O$15),'UW Model'!$O38/('UW Model'!$O$15-'UW Model'!$O$14-1)+BI16,BI16)</f>
        <v>0</v>
      </c>
      <c r="BK16" s="190">
        <f>IF(AND(BK$3&gt;'UW Model'!$O$14+1,BK$3&lt;='UW Model'!$O$15),'UW Model'!$O38/('UW Model'!$O$15-'UW Model'!$O$14-1)+BJ16,BJ16)</f>
        <v>0</v>
      </c>
      <c r="BL16" s="190">
        <f>IF(AND(BL$3&gt;'UW Model'!$O$14+1,BL$3&lt;='UW Model'!$O$15),'UW Model'!$O38/('UW Model'!$O$15-'UW Model'!$O$14-1)+BK16,BK16)</f>
        <v>0</v>
      </c>
      <c r="BM16" s="190">
        <f>IF(AND(BM$3&gt;'UW Model'!$O$14+1,BM$3&lt;='UW Model'!$O$15),'UW Model'!$O38/('UW Model'!$O$15-'UW Model'!$O$14-1)+BL16,BL16)</f>
        <v>0</v>
      </c>
      <c r="BN16" s="190">
        <f>IF(AND(BN$3&gt;'UW Model'!$O$14+1,BN$3&lt;='UW Model'!$O$15),'UW Model'!$O38/('UW Model'!$O$15-'UW Model'!$O$14-1)+BM16,BM16)</f>
        <v>0</v>
      </c>
      <c r="BO16" s="190">
        <f>IF(AND(BO$3&gt;'UW Model'!$O$14+1,BO$3&lt;='UW Model'!$O$15),'UW Model'!$O38/('UW Model'!$O$15-'UW Model'!$O$14-1)+BN16,BN16)</f>
        <v>0</v>
      </c>
      <c r="BP16" s="190">
        <f>IF(AND(BP$3&gt;'UW Model'!$O$14+1,BP$3&lt;='UW Model'!$O$15),'UW Model'!$O38/('UW Model'!$O$15-'UW Model'!$O$14-1)+BO16,BO16)</f>
        <v>0</v>
      </c>
      <c r="BQ16" s="190">
        <f>IF(AND(BQ$3&gt;'UW Model'!$O$14+1,BQ$3&lt;='UW Model'!$O$15),'UW Model'!$O38/('UW Model'!$O$15-'UW Model'!$O$14-1)+BP16,BP16)</f>
        <v>0</v>
      </c>
      <c r="BR16" s="190">
        <f>IF(AND(BR$3&gt;'UW Model'!$O$14+1,BR$3&lt;='UW Model'!$O$15),'UW Model'!$O38/('UW Model'!$O$15-'UW Model'!$O$14-1)+BQ16,BQ16)</f>
        <v>0</v>
      </c>
      <c r="BS16" s="192">
        <f>IF(AND(BS$3&gt;'UW Model'!$O$14+1,BS$3&lt;='UW Model'!$O$15),'UW Model'!$O38/('UW Model'!$O$15-'UW Model'!$O$14-1)+BR16,BR16)</f>
        <v>0</v>
      </c>
      <c r="BT16" s="190">
        <f>IF(AND(BT$3&gt;'UW Model'!$O$14+1,BT$3&lt;='UW Model'!$O$15),'UW Model'!$O38/('UW Model'!$O$15-'UW Model'!$O$14-1)+BS16,BS16)</f>
        <v>0</v>
      </c>
      <c r="BU16" s="190">
        <f>IF(AND(BU$3&gt;'UW Model'!$O$14+1,BU$3&lt;='UW Model'!$O$15),'UW Model'!$O38/('UW Model'!$O$15-'UW Model'!$O$14-1)+BT16,BT16)</f>
        <v>0</v>
      </c>
      <c r="BV16" s="190">
        <f>IF(AND(BV$3&gt;'UW Model'!$O$14+1,BV$3&lt;='UW Model'!$O$15),'UW Model'!$O38/('UW Model'!$O$15-'UW Model'!$O$14-1)+BU16,BU16)</f>
        <v>0</v>
      </c>
      <c r="BW16" s="190">
        <f>IF(AND(BW$3&gt;'UW Model'!$O$14+1,BW$3&lt;='UW Model'!$O$15),'UW Model'!$O38/('UW Model'!$O$15-'UW Model'!$O$14-1)+BV16,BV16)</f>
        <v>0</v>
      </c>
      <c r="BX16" s="190">
        <f>IF(AND(BX$3&gt;'UW Model'!$O$14+1,BX$3&lt;='UW Model'!$O$15),'UW Model'!$O38/('UW Model'!$O$15-'UW Model'!$O$14-1)+BW16,BW16)</f>
        <v>0</v>
      </c>
      <c r="BY16" s="190">
        <f>IF(AND(BY$3&gt;'UW Model'!$O$14+1,BY$3&lt;='UW Model'!$O$15),'UW Model'!$O38/('UW Model'!$O$15-'UW Model'!$O$14-1)+BX16,BX16)</f>
        <v>0</v>
      </c>
      <c r="BZ16" s="190">
        <f>IF(AND(BZ$3&gt;'UW Model'!$O$14+1,BZ$3&lt;='UW Model'!$O$15),'UW Model'!$O38/('UW Model'!$O$15-'UW Model'!$O$14-1)+BY16,BY16)</f>
        <v>0</v>
      </c>
      <c r="CA16" s="190">
        <f>IF(AND(CA$3&gt;'UW Model'!$O$14+1,CA$3&lt;='UW Model'!$O$15),'UW Model'!$O38/('UW Model'!$O$15-'UW Model'!$O$14-1)+BZ16,BZ16)</f>
        <v>0</v>
      </c>
      <c r="CB16" s="190">
        <f>IF(AND(CB$3&gt;'UW Model'!$O$14+1,CB$3&lt;='UW Model'!$O$15),'UW Model'!$O38/('UW Model'!$O$15-'UW Model'!$O$14-1)+CA16,CA16)</f>
        <v>0</v>
      </c>
      <c r="CC16" s="190">
        <f>IF(AND(CC$3&gt;'UW Model'!$O$14+1,CC$3&lt;='UW Model'!$O$15),'UW Model'!$O38/('UW Model'!$O$15-'UW Model'!$O$14-1)+CB16,CB16)</f>
        <v>0</v>
      </c>
      <c r="CD16" s="190">
        <f>IF(AND(CD$3&gt;'UW Model'!$O$14+1,CD$3&lt;='UW Model'!$O$15),'UW Model'!$O38/('UW Model'!$O$15-'UW Model'!$O$14-1)+CC16,CC16)</f>
        <v>0</v>
      </c>
      <c r="CE16" s="195">
        <f>IF(AND(CE$3&gt;'UW Model'!$O$14+1,CE$3&lt;='UW Model'!$O$15),'UW Model'!$O38/('UW Model'!$O$15-'UW Model'!$O$14-1)+CD16,CD16)</f>
        <v>0</v>
      </c>
    </row>
    <row r="17" spans="16:83" x14ac:dyDescent="0.35">
      <c r="P17" s="933"/>
      <c r="Q17" s="196" t="str">
        <f>IF('UW Model'!C39="","",'UW Model'!C39)</f>
        <v/>
      </c>
      <c r="R17" s="197">
        <f t="shared" si="22"/>
        <v>0</v>
      </c>
      <c r="S17" s="191">
        <f t="shared" si="22"/>
        <v>0</v>
      </c>
      <c r="T17" s="191">
        <f t="shared" si="22"/>
        <v>0</v>
      </c>
      <c r="U17" s="191">
        <f t="shared" si="22"/>
        <v>0</v>
      </c>
      <c r="V17" s="198">
        <f t="shared" si="22"/>
        <v>0</v>
      </c>
      <c r="W17" s="193">
        <v>0</v>
      </c>
      <c r="X17" s="193">
        <f>IF(AND(X$3&gt;'UW Model'!$O$14+1,X$3&lt;='UW Model'!$O$15),'UW Model'!$O39/('UW Model'!$O$15-'UW Model'!$O$14-1)+W17,0)</f>
        <v>0</v>
      </c>
      <c r="Y17" s="190">
        <f>IF(AND(Y$3&gt;'UW Model'!$O$14+1,Y$3&lt;='UW Model'!$O$15),'UW Model'!$O39/('UW Model'!$O$15-'UW Model'!$O$14-1)+X17,X17)</f>
        <v>0</v>
      </c>
      <c r="Z17" s="190">
        <f>IF(AND(Z$3&gt;'UW Model'!$O$14+1,Z$3&lt;='UW Model'!$O$15),'UW Model'!$O39/('UW Model'!$O$15-'UW Model'!$O$14-1)+Y17,Y17)</f>
        <v>0</v>
      </c>
      <c r="AA17" s="190">
        <f>IF(AND(AA$3&gt;'UW Model'!$O$14+1,AA$3&lt;='UW Model'!$O$15),'UW Model'!$O39/('UW Model'!$O$15-'UW Model'!$O$14-1)+Z17,Z17)</f>
        <v>0</v>
      </c>
      <c r="AB17" s="190">
        <f>IF(AND(AB$3&gt;'UW Model'!$O$14+1,AB$3&lt;='UW Model'!$O$15),'UW Model'!$O39/('UW Model'!$O$15-'UW Model'!$O$14-1)+AA17,AA17)</f>
        <v>0</v>
      </c>
      <c r="AC17" s="190">
        <f>IF(AND(AC$3&gt;'UW Model'!$O$14+1,AC$3&lt;='UW Model'!$O$15),'UW Model'!$O39/('UW Model'!$O$15-'UW Model'!$O$14-1)+AB17,AB17)</f>
        <v>0</v>
      </c>
      <c r="AD17" s="190">
        <f>IF(AND(AD$3&gt;'UW Model'!$O$14+1,AD$3&lt;='UW Model'!$O$15),'UW Model'!$O39/('UW Model'!$O$15-'UW Model'!$O$14-1)+AC17,AC17)</f>
        <v>0</v>
      </c>
      <c r="AE17" s="190">
        <f>IF(AND(AE$3&gt;'UW Model'!$O$14+1,AE$3&lt;='UW Model'!$O$15),'UW Model'!$O39/('UW Model'!$O$15-'UW Model'!$O$14-1)+AD17,AD17)</f>
        <v>0</v>
      </c>
      <c r="AF17" s="190">
        <f>IF(AND(AF$3&gt;'UW Model'!$O$14+1,AF$3&lt;='UW Model'!$O$15),'UW Model'!$O39/('UW Model'!$O$15-'UW Model'!$O$14-1)+AE17,AE17)</f>
        <v>0</v>
      </c>
      <c r="AG17" s="190">
        <f>IF(AND(AG$3&gt;'UW Model'!$O$14+1,AG$3&lt;='UW Model'!$O$15),'UW Model'!$O39/('UW Model'!$O$15-'UW Model'!$O$14-1)+AF17,AF17)</f>
        <v>0</v>
      </c>
      <c r="AH17" s="190">
        <f>IF(AND(AH$3&gt;'UW Model'!$O$14+1,AH$3&lt;='UW Model'!$O$15),'UW Model'!$O39/('UW Model'!$O$15-'UW Model'!$O$14-1)+AG17,AG17)</f>
        <v>0</v>
      </c>
      <c r="AI17" s="192">
        <f>IF(AND(AI$3&gt;'UW Model'!$O$14+1,AI$3&lt;='UW Model'!$O$15),'UW Model'!$O39/('UW Model'!$O$15-'UW Model'!$O$14-1)+AH17,AH17)</f>
        <v>0</v>
      </c>
      <c r="AJ17" s="193">
        <f>IF(AND(AJ$3&gt;'UW Model'!$O$14+1,AJ$3&lt;='UW Model'!$O$15),'UW Model'!$O39/('UW Model'!$O$15-'UW Model'!$O$14-1)+AI17,AI17)</f>
        <v>0</v>
      </c>
      <c r="AK17" s="190">
        <f>IF(AND(AK$3&gt;'UW Model'!$O$14+1,AK$3&lt;='UW Model'!$O$15),'UW Model'!$O39/('UW Model'!$O$15-'UW Model'!$O$14-1)+AJ17,AJ17)</f>
        <v>0</v>
      </c>
      <c r="AL17" s="190">
        <f>IF(AND(AL$3&gt;'UW Model'!$O$14+1,AL$3&lt;='UW Model'!$O$15),'UW Model'!$O39/('UW Model'!$O$15-'UW Model'!$O$14-1)+AK17,AK17)</f>
        <v>0</v>
      </c>
      <c r="AM17" s="190">
        <f>IF(AND(AM$3&gt;'UW Model'!$O$14+1,AM$3&lt;='UW Model'!$O$15),'UW Model'!$O39/('UW Model'!$O$15-'UW Model'!$O$14-1)+AL17,AL17)</f>
        <v>0</v>
      </c>
      <c r="AN17" s="190">
        <f>IF(AND(AN$3&gt;'UW Model'!$O$14+1,AN$3&lt;='UW Model'!$O$15),'UW Model'!$O39/('UW Model'!$O$15-'UW Model'!$O$14-1)+AM17,AM17)</f>
        <v>0</v>
      </c>
      <c r="AO17" s="190">
        <f>IF(AND(AO$3&gt;'UW Model'!$O$14+1,AO$3&lt;='UW Model'!$O$15),'UW Model'!$O39/('UW Model'!$O$15-'UW Model'!$O$14-1)+AN17,AN17)</f>
        <v>0</v>
      </c>
      <c r="AP17" s="190">
        <f>IF(AND(AP$3&gt;'UW Model'!$O$14+1,AP$3&lt;='UW Model'!$O$15),'UW Model'!$O39/('UW Model'!$O$15-'UW Model'!$O$14-1)+AO17,AO17)</f>
        <v>0</v>
      </c>
      <c r="AQ17" s="190">
        <f>IF(AND(AQ$3&gt;'UW Model'!$O$14+1,AQ$3&lt;='UW Model'!$O$15),'UW Model'!$O39/('UW Model'!$O$15-'UW Model'!$O$14-1)+AP17,AP17)</f>
        <v>0</v>
      </c>
      <c r="AR17" s="190">
        <f>IF(AND(AR$3&gt;'UW Model'!$O$14+1,AR$3&lt;='UW Model'!$O$15),'UW Model'!$O39/('UW Model'!$O$15-'UW Model'!$O$14-1)+AQ17,AQ17)</f>
        <v>0</v>
      </c>
      <c r="AS17" s="190">
        <f>IF(AND(AS$3&gt;'UW Model'!$O$14+1,AS$3&lt;='UW Model'!$O$15),'UW Model'!$O39/('UW Model'!$O$15-'UW Model'!$O$14-1)+AR17,AR17)</f>
        <v>0</v>
      </c>
      <c r="AT17" s="190">
        <f>IF(AND(AT$3&gt;'UW Model'!$O$14+1,AT$3&lt;='UW Model'!$O$15),'UW Model'!$O39/('UW Model'!$O$15-'UW Model'!$O$14-1)+AS17,AS17)</f>
        <v>0</v>
      </c>
      <c r="AU17" s="192">
        <f>IF(AND(AU$3&gt;'UW Model'!$O$14+1,AU$3&lt;='UW Model'!$O$15),'UW Model'!$O39/('UW Model'!$O$15-'UW Model'!$O$14-1)+AT17,AT17)</f>
        <v>0</v>
      </c>
      <c r="AV17" s="190">
        <f>IF(AND(AV$3&gt;'UW Model'!$O$14+1,AV$3&lt;='UW Model'!$O$15),'UW Model'!$O39/('UW Model'!$O$15-'UW Model'!$O$14-1)+AU17,AU17)</f>
        <v>0</v>
      </c>
      <c r="AW17" s="190">
        <f>IF(AND(AW$3&gt;'UW Model'!$O$14+1,AW$3&lt;='UW Model'!$O$15),'UW Model'!$O39/('UW Model'!$O$15-'UW Model'!$O$14-1)+AV17,AV17)</f>
        <v>0</v>
      </c>
      <c r="AX17" s="190">
        <f>IF(AND(AX$3&gt;'UW Model'!$O$14+1,AX$3&lt;='UW Model'!$O$15),'UW Model'!$O39/('UW Model'!$O$15-'UW Model'!$O$14-1)+AW17,AW17)</f>
        <v>0</v>
      </c>
      <c r="AY17" s="190">
        <f>IF(AND(AY$3&gt;'UW Model'!$O$14+1,AY$3&lt;='UW Model'!$O$15),'UW Model'!$O39/('UW Model'!$O$15-'UW Model'!$O$14-1)+AX17,AX17)</f>
        <v>0</v>
      </c>
      <c r="AZ17" s="190">
        <f>IF(AND(AZ$3&gt;'UW Model'!$O$14+1,AZ$3&lt;='UW Model'!$O$15),'UW Model'!$O39/('UW Model'!$O$15-'UW Model'!$O$14-1)+AY17,AY17)</f>
        <v>0</v>
      </c>
      <c r="BA17" s="190">
        <f>IF(AND(BA$3&gt;'UW Model'!$O$14+1,BA$3&lt;='UW Model'!$O$15),'UW Model'!$O39/('UW Model'!$O$15-'UW Model'!$O$14-1)+AZ17,AZ17)</f>
        <v>0</v>
      </c>
      <c r="BB17" s="190">
        <f>IF(AND(BB$3&gt;'UW Model'!$O$14+1,BB$3&lt;='UW Model'!$O$15),'UW Model'!$O39/('UW Model'!$O$15-'UW Model'!$O$14-1)+BA17,BA17)</f>
        <v>0</v>
      </c>
      <c r="BC17" s="190">
        <f>IF(AND(BC$3&gt;'UW Model'!$O$14+1,BC$3&lt;='UW Model'!$O$15),'UW Model'!$O39/('UW Model'!$O$15-'UW Model'!$O$14-1)+BB17,BB17)</f>
        <v>0</v>
      </c>
      <c r="BD17" s="190">
        <f>IF(AND(BD$3&gt;'UW Model'!$O$14+1,BD$3&lt;='UW Model'!$O$15),'UW Model'!$O39/('UW Model'!$O$15-'UW Model'!$O$14-1)+BC17,BC17)</f>
        <v>0</v>
      </c>
      <c r="BE17" s="190">
        <f>IF(AND(BE$3&gt;'UW Model'!$O$14+1,BE$3&lt;='UW Model'!$O$15),'UW Model'!$O39/('UW Model'!$O$15-'UW Model'!$O$14-1)+BD17,BD17)</f>
        <v>0</v>
      </c>
      <c r="BF17" s="190">
        <f>IF(AND(BF$3&gt;'UW Model'!$O$14+1,BF$3&lt;='UW Model'!$O$15),'UW Model'!$O39/('UW Model'!$O$15-'UW Model'!$O$14-1)+BE17,BE17)</f>
        <v>0</v>
      </c>
      <c r="BG17" s="192">
        <f>IF(AND(BG$3&gt;'UW Model'!$O$14+1,BG$3&lt;='UW Model'!$O$15),'UW Model'!$O39/('UW Model'!$O$15-'UW Model'!$O$14-1)+BF17,BF17)</f>
        <v>0</v>
      </c>
      <c r="BH17" s="190">
        <f>IF(AND(BH$3&gt;'UW Model'!$O$14+1,BH$3&lt;='UW Model'!$O$15),'UW Model'!$O39/('UW Model'!$O$15-'UW Model'!$O$14-1)+BG17,BG17)</f>
        <v>0</v>
      </c>
      <c r="BI17" s="190">
        <f>IF(AND(BI$3&gt;'UW Model'!$O$14+1,BI$3&lt;='UW Model'!$O$15),'UW Model'!$O39/('UW Model'!$O$15-'UW Model'!$O$14-1)+BH17,BH17)</f>
        <v>0</v>
      </c>
      <c r="BJ17" s="190">
        <f>IF(AND(BJ$3&gt;'UW Model'!$O$14+1,BJ$3&lt;='UW Model'!$O$15),'UW Model'!$O39/('UW Model'!$O$15-'UW Model'!$O$14-1)+BI17,BI17)</f>
        <v>0</v>
      </c>
      <c r="BK17" s="190">
        <f>IF(AND(BK$3&gt;'UW Model'!$O$14+1,BK$3&lt;='UW Model'!$O$15),'UW Model'!$O39/('UW Model'!$O$15-'UW Model'!$O$14-1)+BJ17,BJ17)</f>
        <v>0</v>
      </c>
      <c r="BL17" s="190">
        <f>IF(AND(BL$3&gt;'UW Model'!$O$14+1,BL$3&lt;='UW Model'!$O$15),'UW Model'!$O39/('UW Model'!$O$15-'UW Model'!$O$14-1)+BK17,BK17)</f>
        <v>0</v>
      </c>
      <c r="BM17" s="190">
        <f>IF(AND(BM$3&gt;'UW Model'!$O$14+1,BM$3&lt;='UW Model'!$O$15),'UW Model'!$O39/('UW Model'!$O$15-'UW Model'!$O$14-1)+BL17,BL17)</f>
        <v>0</v>
      </c>
      <c r="BN17" s="190">
        <f>IF(AND(BN$3&gt;'UW Model'!$O$14+1,BN$3&lt;='UW Model'!$O$15),'UW Model'!$O39/('UW Model'!$O$15-'UW Model'!$O$14-1)+BM17,BM17)</f>
        <v>0</v>
      </c>
      <c r="BO17" s="190">
        <f>IF(AND(BO$3&gt;'UW Model'!$O$14+1,BO$3&lt;='UW Model'!$O$15),'UW Model'!$O39/('UW Model'!$O$15-'UW Model'!$O$14-1)+BN17,BN17)</f>
        <v>0</v>
      </c>
      <c r="BP17" s="190">
        <f>IF(AND(BP$3&gt;'UW Model'!$O$14+1,BP$3&lt;='UW Model'!$O$15),'UW Model'!$O39/('UW Model'!$O$15-'UW Model'!$O$14-1)+BO17,BO17)</f>
        <v>0</v>
      </c>
      <c r="BQ17" s="190">
        <f>IF(AND(BQ$3&gt;'UW Model'!$O$14+1,BQ$3&lt;='UW Model'!$O$15),'UW Model'!$O39/('UW Model'!$O$15-'UW Model'!$O$14-1)+BP17,BP17)</f>
        <v>0</v>
      </c>
      <c r="BR17" s="190">
        <f>IF(AND(BR$3&gt;'UW Model'!$O$14+1,BR$3&lt;='UW Model'!$O$15),'UW Model'!$O39/('UW Model'!$O$15-'UW Model'!$O$14-1)+BQ17,BQ17)</f>
        <v>0</v>
      </c>
      <c r="BS17" s="192">
        <f>IF(AND(BS$3&gt;'UW Model'!$O$14+1,BS$3&lt;='UW Model'!$O$15),'UW Model'!$O39/('UW Model'!$O$15-'UW Model'!$O$14-1)+BR17,BR17)</f>
        <v>0</v>
      </c>
      <c r="BT17" s="190">
        <f>IF(AND(BT$3&gt;'UW Model'!$O$14+1,BT$3&lt;='UW Model'!$O$15),'UW Model'!$O39/('UW Model'!$O$15-'UW Model'!$O$14-1)+BS17,BS17)</f>
        <v>0</v>
      </c>
      <c r="BU17" s="190">
        <f>IF(AND(BU$3&gt;'UW Model'!$O$14+1,BU$3&lt;='UW Model'!$O$15),'UW Model'!$O39/('UW Model'!$O$15-'UW Model'!$O$14-1)+BT17,BT17)</f>
        <v>0</v>
      </c>
      <c r="BV17" s="190">
        <f>IF(AND(BV$3&gt;'UW Model'!$O$14+1,BV$3&lt;='UW Model'!$O$15),'UW Model'!$O39/('UW Model'!$O$15-'UW Model'!$O$14-1)+BU17,BU17)</f>
        <v>0</v>
      </c>
      <c r="BW17" s="190">
        <f>IF(AND(BW$3&gt;'UW Model'!$O$14+1,BW$3&lt;='UW Model'!$O$15),'UW Model'!$O39/('UW Model'!$O$15-'UW Model'!$O$14-1)+BV17,BV17)</f>
        <v>0</v>
      </c>
      <c r="BX17" s="190">
        <f>IF(AND(BX$3&gt;'UW Model'!$O$14+1,BX$3&lt;='UW Model'!$O$15),'UW Model'!$O39/('UW Model'!$O$15-'UW Model'!$O$14-1)+BW17,BW17)</f>
        <v>0</v>
      </c>
      <c r="BY17" s="190">
        <f>IF(AND(BY$3&gt;'UW Model'!$O$14+1,BY$3&lt;='UW Model'!$O$15),'UW Model'!$O39/('UW Model'!$O$15-'UW Model'!$O$14-1)+BX17,BX17)</f>
        <v>0</v>
      </c>
      <c r="BZ17" s="190">
        <f>IF(AND(BZ$3&gt;'UW Model'!$O$14+1,BZ$3&lt;='UW Model'!$O$15),'UW Model'!$O39/('UW Model'!$O$15-'UW Model'!$O$14-1)+BY17,BY17)</f>
        <v>0</v>
      </c>
      <c r="CA17" s="190">
        <f>IF(AND(CA$3&gt;'UW Model'!$O$14+1,CA$3&lt;='UW Model'!$O$15),'UW Model'!$O39/('UW Model'!$O$15-'UW Model'!$O$14-1)+BZ17,BZ17)</f>
        <v>0</v>
      </c>
      <c r="CB17" s="190">
        <f>IF(AND(CB$3&gt;'UW Model'!$O$14+1,CB$3&lt;='UW Model'!$O$15),'UW Model'!$O39/('UW Model'!$O$15-'UW Model'!$O$14-1)+CA17,CA17)</f>
        <v>0</v>
      </c>
      <c r="CC17" s="190">
        <f>IF(AND(CC$3&gt;'UW Model'!$O$14+1,CC$3&lt;='UW Model'!$O$15),'UW Model'!$O39/('UW Model'!$O$15-'UW Model'!$O$14-1)+CB17,CB17)</f>
        <v>0</v>
      </c>
      <c r="CD17" s="190">
        <f>IF(AND(CD$3&gt;'UW Model'!$O$14+1,CD$3&lt;='UW Model'!$O$15),'UW Model'!$O39/('UW Model'!$O$15-'UW Model'!$O$14-1)+CC17,CC17)</f>
        <v>0</v>
      </c>
      <c r="CE17" s="195">
        <f>IF(AND(CE$3&gt;'UW Model'!$O$14+1,CE$3&lt;='UW Model'!$O$15),'UW Model'!$O39/('UW Model'!$O$15-'UW Model'!$O$14-1)+CD17,CD17)</f>
        <v>0</v>
      </c>
    </row>
    <row r="18" spans="16:83" x14ac:dyDescent="0.35">
      <c r="P18" s="933"/>
      <c r="Q18" s="196" t="str">
        <f>IF('UW Model'!C40="","",'UW Model'!C40)</f>
        <v/>
      </c>
      <c r="R18" s="197">
        <f t="shared" si="22"/>
        <v>0</v>
      </c>
      <c r="S18" s="191">
        <f t="shared" si="22"/>
        <v>0</v>
      </c>
      <c r="T18" s="191">
        <f t="shared" si="22"/>
        <v>0</v>
      </c>
      <c r="U18" s="191">
        <f t="shared" si="22"/>
        <v>0</v>
      </c>
      <c r="V18" s="198">
        <f t="shared" si="22"/>
        <v>0</v>
      </c>
      <c r="W18" s="193">
        <v>0</v>
      </c>
      <c r="X18" s="193">
        <f>IF(AND(X$3&gt;'UW Model'!$O$14+1,X$3&lt;='UW Model'!$O$15),'UW Model'!$O40/('UW Model'!$O$15-'UW Model'!$O$14-1)+W18,0)</f>
        <v>0</v>
      </c>
      <c r="Y18" s="190">
        <f>IF(AND(Y$3&gt;'UW Model'!$O$14+1,Y$3&lt;='UW Model'!$O$15),'UW Model'!$O40/('UW Model'!$O$15-'UW Model'!$O$14-1)+X18,X18)</f>
        <v>0</v>
      </c>
      <c r="Z18" s="190">
        <f>IF(AND(Z$3&gt;'UW Model'!$O$14+1,Z$3&lt;='UW Model'!$O$15),'UW Model'!$O40/('UW Model'!$O$15-'UW Model'!$O$14-1)+Y18,Y18)</f>
        <v>0</v>
      </c>
      <c r="AA18" s="190">
        <f>IF(AND(AA$3&gt;'UW Model'!$O$14+1,AA$3&lt;='UW Model'!$O$15),'UW Model'!$O40/('UW Model'!$O$15-'UW Model'!$O$14-1)+Z18,Z18)</f>
        <v>0</v>
      </c>
      <c r="AB18" s="190">
        <f>IF(AND(AB$3&gt;'UW Model'!$O$14+1,AB$3&lt;='UW Model'!$O$15),'UW Model'!$O40/('UW Model'!$O$15-'UW Model'!$O$14-1)+AA18,AA18)</f>
        <v>0</v>
      </c>
      <c r="AC18" s="190">
        <f>IF(AND(AC$3&gt;'UW Model'!$O$14+1,AC$3&lt;='UW Model'!$O$15),'UW Model'!$O40/('UW Model'!$O$15-'UW Model'!$O$14-1)+AB18,AB18)</f>
        <v>0</v>
      </c>
      <c r="AD18" s="190">
        <f>IF(AND(AD$3&gt;'UW Model'!$O$14+1,AD$3&lt;='UW Model'!$O$15),'UW Model'!$O40/('UW Model'!$O$15-'UW Model'!$O$14-1)+AC18,AC18)</f>
        <v>0</v>
      </c>
      <c r="AE18" s="190">
        <f>IF(AND(AE$3&gt;'UW Model'!$O$14+1,AE$3&lt;='UW Model'!$O$15),'UW Model'!$O40/('UW Model'!$O$15-'UW Model'!$O$14-1)+AD18,AD18)</f>
        <v>0</v>
      </c>
      <c r="AF18" s="190">
        <f>IF(AND(AF$3&gt;'UW Model'!$O$14+1,AF$3&lt;='UW Model'!$O$15),'UW Model'!$O40/('UW Model'!$O$15-'UW Model'!$O$14-1)+AE18,AE18)</f>
        <v>0</v>
      </c>
      <c r="AG18" s="190">
        <f>IF(AND(AG$3&gt;'UW Model'!$O$14+1,AG$3&lt;='UW Model'!$O$15),'UW Model'!$O40/('UW Model'!$O$15-'UW Model'!$O$14-1)+AF18,AF18)</f>
        <v>0</v>
      </c>
      <c r="AH18" s="190">
        <f>IF(AND(AH$3&gt;'UW Model'!$O$14+1,AH$3&lt;='UW Model'!$O$15),'UW Model'!$O40/('UW Model'!$O$15-'UW Model'!$O$14-1)+AG18,AG18)</f>
        <v>0</v>
      </c>
      <c r="AI18" s="192">
        <f>IF(AND(AI$3&gt;'UW Model'!$O$14+1,AI$3&lt;='UW Model'!$O$15),'UW Model'!$O40/('UW Model'!$O$15-'UW Model'!$O$14-1)+AH18,AH18)</f>
        <v>0</v>
      </c>
      <c r="AJ18" s="193">
        <f>IF(AND(AJ$3&gt;'UW Model'!$O$14+1,AJ$3&lt;='UW Model'!$O$15),'UW Model'!$O40/('UW Model'!$O$15-'UW Model'!$O$14-1)+AI18,AI18)</f>
        <v>0</v>
      </c>
      <c r="AK18" s="190">
        <f>IF(AND(AK$3&gt;'UW Model'!$O$14+1,AK$3&lt;='UW Model'!$O$15),'UW Model'!$O40/('UW Model'!$O$15-'UW Model'!$O$14-1)+AJ18,AJ18)</f>
        <v>0</v>
      </c>
      <c r="AL18" s="190">
        <f>IF(AND(AL$3&gt;'UW Model'!$O$14+1,AL$3&lt;='UW Model'!$O$15),'UW Model'!$O40/('UW Model'!$O$15-'UW Model'!$O$14-1)+AK18,AK18)</f>
        <v>0</v>
      </c>
      <c r="AM18" s="190">
        <f>IF(AND(AM$3&gt;'UW Model'!$O$14+1,AM$3&lt;='UW Model'!$O$15),'UW Model'!$O40/('UW Model'!$O$15-'UW Model'!$O$14-1)+AL18,AL18)</f>
        <v>0</v>
      </c>
      <c r="AN18" s="190">
        <f>IF(AND(AN$3&gt;'UW Model'!$O$14+1,AN$3&lt;='UW Model'!$O$15),'UW Model'!$O40/('UW Model'!$O$15-'UW Model'!$O$14-1)+AM18,AM18)</f>
        <v>0</v>
      </c>
      <c r="AO18" s="190">
        <f>IF(AND(AO$3&gt;'UW Model'!$O$14+1,AO$3&lt;='UW Model'!$O$15),'UW Model'!$O40/('UW Model'!$O$15-'UW Model'!$O$14-1)+AN18,AN18)</f>
        <v>0</v>
      </c>
      <c r="AP18" s="190">
        <f>IF(AND(AP$3&gt;'UW Model'!$O$14+1,AP$3&lt;='UW Model'!$O$15),'UW Model'!$O40/('UW Model'!$O$15-'UW Model'!$O$14-1)+AO18,AO18)</f>
        <v>0</v>
      </c>
      <c r="AQ18" s="190">
        <f>IF(AND(AQ$3&gt;'UW Model'!$O$14+1,AQ$3&lt;='UW Model'!$O$15),'UW Model'!$O40/('UW Model'!$O$15-'UW Model'!$O$14-1)+AP18,AP18)</f>
        <v>0</v>
      </c>
      <c r="AR18" s="190">
        <f>IF(AND(AR$3&gt;'UW Model'!$O$14+1,AR$3&lt;='UW Model'!$O$15),'UW Model'!$O40/('UW Model'!$O$15-'UW Model'!$O$14-1)+AQ18,AQ18)</f>
        <v>0</v>
      </c>
      <c r="AS18" s="190">
        <f>IF(AND(AS$3&gt;'UW Model'!$O$14+1,AS$3&lt;='UW Model'!$O$15),'UW Model'!$O40/('UW Model'!$O$15-'UW Model'!$O$14-1)+AR18,AR18)</f>
        <v>0</v>
      </c>
      <c r="AT18" s="190">
        <f>IF(AND(AT$3&gt;'UW Model'!$O$14+1,AT$3&lt;='UW Model'!$O$15),'UW Model'!$O40/('UW Model'!$O$15-'UW Model'!$O$14-1)+AS18,AS18)</f>
        <v>0</v>
      </c>
      <c r="AU18" s="192">
        <f>IF(AND(AU$3&gt;'UW Model'!$O$14+1,AU$3&lt;='UW Model'!$O$15),'UW Model'!$O40/('UW Model'!$O$15-'UW Model'!$O$14-1)+AT18,AT18)</f>
        <v>0</v>
      </c>
      <c r="AV18" s="190">
        <f>IF(AND(AV$3&gt;'UW Model'!$O$14+1,AV$3&lt;='UW Model'!$O$15),'UW Model'!$O40/('UW Model'!$O$15-'UW Model'!$O$14-1)+AU18,AU18)</f>
        <v>0</v>
      </c>
      <c r="AW18" s="190">
        <f>IF(AND(AW$3&gt;'UW Model'!$O$14+1,AW$3&lt;='UW Model'!$O$15),'UW Model'!$O40/('UW Model'!$O$15-'UW Model'!$O$14-1)+AV18,AV18)</f>
        <v>0</v>
      </c>
      <c r="AX18" s="190">
        <f>IF(AND(AX$3&gt;'UW Model'!$O$14+1,AX$3&lt;='UW Model'!$O$15),'UW Model'!$O40/('UW Model'!$O$15-'UW Model'!$O$14-1)+AW18,AW18)</f>
        <v>0</v>
      </c>
      <c r="AY18" s="190">
        <f>IF(AND(AY$3&gt;'UW Model'!$O$14+1,AY$3&lt;='UW Model'!$O$15),'UW Model'!$O40/('UW Model'!$O$15-'UW Model'!$O$14-1)+AX18,AX18)</f>
        <v>0</v>
      </c>
      <c r="AZ18" s="190">
        <f>IF(AND(AZ$3&gt;'UW Model'!$O$14+1,AZ$3&lt;='UW Model'!$O$15),'UW Model'!$O40/('UW Model'!$O$15-'UW Model'!$O$14-1)+AY18,AY18)</f>
        <v>0</v>
      </c>
      <c r="BA18" s="190">
        <f>IF(AND(BA$3&gt;'UW Model'!$O$14+1,BA$3&lt;='UW Model'!$O$15),'UW Model'!$O40/('UW Model'!$O$15-'UW Model'!$O$14-1)+AZ18,AZ18)</f>
        <v>0</v>
      </c>
      <c r="BB18" s="190">
        <f>IF(AND(BB$3&gt;'UW Model'!$O$14+1,BB$3&lt;='UW Model'!$O$15),'UW Model'!$O40/('UW Model'!$O$15-'UW Model'!$O$14-1)+BA18,BA18)</f>
        <v>0</v>
      </c>
      <c r="BC18" s="190">
        <f>IF(AND(BC$3&gt;'UW Model'!$O$14+1,BC$3&lt;='UW Model'!$O$15),'UW Model'!$O40/('UW Model'!$O$15-'UW Model'!$O$14-1)+BB18,BB18)</f>
        <v>0</v>
      </c>
      <c r="BD18" s="190">
        <f>IF(AND(BD$3&gt;'UW Model'!$O$14+1,BD$3&lt;='UW Model'!$O$15),'UW Model'!$O40/('UW Model'!$O$15-'UW Model'!$O$14-1)+BC18,BC18)</f>
        <v>0</v>
      </c>
      <c r="BE18" s="190">
        <f>IF(AND(BE$3&gt;'UW Model'!$O$14+1,BE$3&lt;='UW Model'!$O$15),'UW Model'!$O40/('UW Model'!$O$15-'UW Model'!$O$14-1)+BD18,BD18)</f>
        <v>0</v>
      </c>
      <c r="BF18" s="190">
        <f>IF(AND(BF$3&gt;'UW Model'!$O$14+1,BF$3&lt;='UW Model'!$O$15),'UW Model'!$O40/('UW Model'!$O$15-'UW Model'!$O$14-1)+BE18,BE18)</f>
        <v>0</v>
      </c>
      <c r="BG18" s="192">
        <f>IF(AND(BG$3&gt;'UW Model'!$O$14+1,BG$3&lt;='UW Model'!$O$15),'UW Model'!$O40/('UW Model'!$O$15-'UW Model'!$O$14-1)+BF18,BF18)</f>
        <v>0</v>
      </c>
      <c r="BH18" s="190">
        <f>IF(AND(BH$3&gt;'UW Model'!$O$14+1,BH$3&lt;='UW Model'!$O$15),'UW Model'!$O40/('UW Model'!$O$15-'UW Model'!$O$14-1)+BG18,BG18)</f>
        <v>0</v>
      </c>
      <c r="BI18" s="190">
        <f>IF(AND(BI$3&gt;'UW Model'!$O$14+1,BI$3&lt;='UW Model'!$O$15),'UW Model'!$O40/('UW Model'!$O$15-'UW Model'!$O$14-1)+BH18,BH18)</f>
        <v>0</v>
      </c>
      <c r="BJ18" s="190">
        <f>IF(AND(BJ$3&gt;'UW Model'!$O$14+1,BJ$3&lt;='UW Model'!$O$15),'UW Model'!$O40/('UW Model'!$O$15-'UW Model'!$O$14-1)+BI18,BI18)</f>
        <v>0</v>
      </c>
      <c r="BK18" s="190">
        <f>IF(AND(BK$3&gt;'UW Model'!$O$14+1,BK$3&lt;='UW Model'!$O$15),'UW Model'!$O40/('UW Model'!$O$15-'UW Model'!$O$14-1)+BJ18,BJ18)</f>
        <v>0</v>
      </c>
      <c r="BL18" s="190">
        <f>IF(AND(BL$3&gt;'UW Model'!$O$14+1,BL$3&lt;='UW Model'!$O$15),'UW Model'!$O40/('UW Model'!$O$15-'UW Model'!$O$14-1)+BK18,BK18)</f>
        <v>0</v>
      </c>
      <c r="BM18" s="190">
        <f>IF(AND(BM$3&gt;'UW Model'!$O$14+1,BM$3&lt;='UW Model'!$O$15),'UW Model'!$O40/('UW Model'!$O$15-'UW Model'!$O$14-1)+BL18,BL18)</f>
        <v>0</v>
      </c>
      <c r="BN18" s="190">
        <f>IF(AND(BN$3&gt;'UW Model'!$O$14+1,BN$3&lt;='UW Model'!$O$15),'UW Model'!$O40/('UW Model'!$O$15-'UW Model'!$O$14-1)+BM18,BM18)</f>
        <v>0</v>
      </c>
      <c r="BO18" s="190">
        <f>IF(AND(BO$3&gt;'UW Model'!$O$14+1,BO$3&lt;='UW Model'!$O$15),'UW Model'!$O40/('UW Model'!$O$15-'UW Model'!$O$14-1)+BN18,BN18)</f>
        <v>0</v>
      </c>
      <c r="BP18" s="190">
        <f>IF(AND(BP$3&gt;'UW Model'!$O$14+1,BP$3&lt;='UW Model'!$O$15),'UW Model'!$O40/('UW Model'!$O$15-'UW Model'!$O$14-1)+BO18,BO18)</f>
        <v>0</v>
      </c>
      <c r="BQ18" s="190">
        <f>IF(AND(BQ$3&gt;'UW Model'!$O$14+1,BQ$3&lt;='UW Model'!$O$15),'UW Model'!$O40/('UW Model'!$O$15-'UW Model'!$O$14-1)+BP18,BP18)</f>
        <v>0</v>
      </c>
      <c r="BR18" s="190">
        <f>IF(AND(BR$3&gt;'UW Model'!$O$14+1,BR$3&lt;='UW Model'!$O$15),'UW Model'!$O40/('UW Model'!$O$15-'UW Model'!$O$14-1)+BQ18,BQ18)</f>
        <v>0</v>
      </c>
      <c r="BS18" s="192">
        <f>IF(AND(BS$3&gt;'UW Model'!$O$14+1,BS$3&lt;='UW Model'!$O$15),'UW Model'!$O40/('UW Model'!$O$15-'UW Model'!$O$14-1)+BR18,BR18)</f>
        <v>0</v>
      </c>
      <c r="BT18" s="190">
        <f>IF(AND(BT$3&gt;'UW Model'!$O$14+1,BT$3&lt;='UW Model'!$O$15),'UW Model'!$O40/('UW Model'!$O$15-'UW Model'!$O$14-1)+BS18,BS18)</f>
        <v>0</v>
      </c>
      <c r="BU18" s="190">
        <f>IF(AND(BU$3&gt;'UW Model'!$O$14+1,BU$3&lt;='UW Model'!$O$15),'UW Model'!$O40/('UW Model'!$O$15-'UW Model'!$O$14-1)+BT18,BT18)</f>
        <v>0</v>
      </c>
      <c r="BV18" s="190">
        <f>IF(AND(BV$3&gt;'UW Model'!$O$14+1,BV$3&lt;='UW Model'!$O$15),'UW Model'!$O40/('UW Model'!$O$15-'UW Model'!$O$14-1)+BU18,BU18)</f>
        <v>0</v>
      </c>
      <c r="BW18" s="190">
        <f>IF(AND(BW$3&gt;'UW Model'!$O$14+1,BW$3&lt;='UW Model'!$O$15),'UW Model'!$O40/('UW Model'!$O$15-'UW Model'!$O$14-1)+BV18,BV18)</f>
        <v>0</v>
      </c>
      <c r="BX18" s="190">
        <f>IF(AND(BX$3&gt;'UW Model'!$O$14+1,BX$3&lt;='UW Model'!$O$15),'UW Model'!$O40/('UW Model'!$O$15-'UW Model'!$O$14-1)+BW18,BW18)</f>
        <v>0</v>
      </c>
      <c r="BY18" s="190">
        <f>IF(AND(BY$3&gt;'UW Model'!$O$14+1,BY$3&lt;='UW Model'!$O$15),'UW Model'!$O40/('UW Model'!$O$15-'UW Model'!$O$14-1)+BX18,BX18)</f>
        <v>0</v>
      </c>
      <c r="BZ18" s="190">
        <f>IF(AND(BZ$3&gt;'UW Model'!$O$14+1,BZ$3&lt;='UW Model'!$O$15),'UW Model'!$O40/('UW Model'!$O$15-'UW Model'!$O$14-1)+BY18,BY18)</f>
        <v>0</v>
      </c>
      <c r="CA18" s="190">
        <f>IF(AND(CA$3&gt;'UW Model'!$O$14+1,CA$3&lt;='UW Model'!$O$15),'UW Model'!$O40/('UW Model'!$O$15-'UW Model'!$O$14-1)+BZ18,BZ18)</f>
        <v>0</v>
      </c>
      <c r="CB18" s="190">
        <f>IF(AND(CB$3&gt;'UW Model'!$O$14+1,CB$3&lt;='UW Model'!$O$15),'UW Model'!$O40/('UW Model'!$O$15-'UW Model'!$O$14-1)+CA18,CA18)</f>
        <v>0</v>
      </c>
      <c r="CC18" s="190">
        <f>IF(AND(CC$3&gt;'UW Model'!$O$14+1,CC$3&lt;='UW Model'!$O$15),'UW Model'!$O40/('UW Model'!$O$15-'UW Model'!$O$14-1)+CB18,CB18)</f>
        <v>0</v>
      </c>
      <c r="CD18" s="190">
        <f>IF(AND(CD$3&gt;'UW Model'!$O$14+1,CD$3&lt;='UW Model'!$O$15),'UW Model'!$O40/('UW Model'!$O$15-'UW Model'!$O$14-1)+CC18,CC18)</f>
        <v>0</v>
      </c>
      <c r="CE18" s="195">
        <f>IF(AND(CE$3&gt;'UW Model'!$O$14+1,CE$3&lt;='UW Model'!$O$15),'UW Model'!$O40/('UW Model'!$O$15-'UW Model'!$O$14-1)+CD18,CD18)</f>
        <v>0</v>
      </c>
    </row>
    <row r="19" spans="16:83" x14ac:dyDescent="0.35">
      <c r="P19" s="933"/>
      <c r="Q19" s="196" t="str">
        <f>IF('UW Model'!C41="","",'UW Model'!C41)</f>
        <v/>
      </c>
      <c r="R19" s="197">
        <f t="shared" si="22"/>
        <v>0</v>
      </c>
      <c r="S19" s="191">
        <f t="shared" si="22"/>
        <v>0</v>
      </c>
      <c r="T19" s="191">
        <f t="shared" si="22"/>
        <v>0</v>
      </c>
      <c r="U19" s="191">
        <f t="shared" si="22"/>
        <v>0</v>
      </c>
      <c r="V19" s="198">
        <f t="shared" si="22"/>
        <v>0</v>
      </c>
      <c r="W19" s="193">
        <v>0</v>
      </c>
      <c r="X19" s="193">
        <f>IF(AND(X$3&gt;'UW Model'!$O$14+1,X$3&lt;='UW Model'!$O$15),'UW Model'!$O41/('UW Model'!$O$15-'UW Model'!$O$14-1)+W19,0)</f>
        <v>0</v>
      </c>
      <c r="Y19" s="190">
        <f>IF(AND(Y$3&gt;'UW Model'!$O$14+1,Y$3&lt;='UW Model'!$O$15),'UW Model'!$O41/('UW Model'!$O$15-'UW Model'!$O$14-1)+X19,X19)</f>
        <v>0</v>
      </c>
      <c r="Z19" s="190">
        <f>IF(AND(Z$3&gt;'UW Model'!$O$14+1,Z$3&lt;='UW Model'!$O$15),'UW Model'!$O41/('UW Model'!$O$15-'UW Model'!$O$14-1)+Y19,Y19)</f>
        <v>0</v>
      </c>
      <c r="AA19" s="190">
        <f>IF(AND(AA$3&gt;'UW Model'!$O$14+1,AA$3&lt;='UW Model'!$O$15),'UW Model'!$O41/('UW Model'!$O$15-'UW Model'!$O$14-1)+Z19,Z19)</f>
        <v>0</v>
      </c>
      <c r="AB19" s="190">
        <f>IF(AND(AB$3&gt;'UW Model'!$O$14+1,AB$3&lt;='UW Model'!$O$15),'UW Model'!$O41/('UW Model'!$O$15-'UW Model'!$O$14-1)+AA19,AA19)</f>
        <v>0</v>
      </c>
      <c r="AC19" s="190">
        <f>IF(AND(AC$3&gt;'UW Model'!$O$14+1,AC$3&lt;='UW Model'!$O$15),'UW Model'!$O41/('UW Model'!$O$15-'UW Model'!$O$14-1)+AB19,AB19)</f>
        <v>0</v>
      </c>
      <c r="AD19" s="190">
        <f>IF(AND(AD$3&gt;'UW Model'!$O$14+1,AD$3&lt;='UW Model'!$O$15),'UW Model'!$O41/('UW Model'!$O$15-'UW Model'!$O$14-1)+AC19,AC19)</f>
        <v>0</v>
      </c>
      <c r="AE19" s="190">
        <f>IF(AND(AE$3&gt;'UW Model'!$O$14+1,AE$3&lt;='UW Model'!$O$15),'UW Model'!$O41/('UW Model'!$O$15-'UW Model'!$O$14-1)+AD19,AD19)</f>
        <v>0</v>
      </c>
      <c r="AF19" s="190">
        <f>IF(AND(AF$3&gt;'UW Model'!$O$14+1,AF$3&lt;='UW Model'!$O$15),'UW Model'!$O41/('UW Model'!$O$15-'UW Model'!$O$14-1)+AE19,AE19)</f>
        <v>0</v>
      </c>
      <c r="AG19" s="190">
        <f>IF(AND(AG$3&gt;'UW Model'!$O$14+1,AG$3&lt;='UW Model'!$O$15),'UW Model'!$O41/('UW Model'!$O$15-'UW Model'!$O$14-1)+AF19,AF19)</f>
        <v>0</v>
      </c>
      <c r="AH19" s="190">
        <f>IF(AND(AH$3&gt;'UW Model'!$O$14+1,AH$3&lt;='UW Model'!$O$15),'UW Model'!$O41/('UW Model'!$O$15-'UW Model'!$O$14-1)+AG19,AG19)</f>
        <v>0</v>
      </c>
      <c r="AI19" s="192">
        <f>IF(AND(AI$3&gt;'UW Model'!$O$14+1,AI$3&lt;='UW Model'!$O$15),'UW Model'!$O41/('UW Model'!$O$15-'UW Model'!$O$14-1)+AH19,AH19)</f>
        <v>0</v>
      </c>
      <c r="AJ19" s="193">
        <f>IF(AND(AJ$3&gt;'UW Model'!$O$14+1,AJ$3&lt;='UW Model'!$O$15),'UW Model'!$O41/('UW Model'!$O$15-'UW Model'!$O$14-1)+AI19,AI19)</f>
        <v>0</v>
      </c>
      <c r="AK19" s="190">
        <f>IF(AND(AK$3&gt;'UW Model'!$O$14+1,AK$3&lt;='UW Model'!$O$15),'UW Model'!$O41/('UW Model'!$O$15-'UW Model'!$O$14-1)+AJ19,AJ19)</f>
        <v>0</v>
      </c>
      <c r="AL19" s="190">
        <f>IF(AND(AL$3&gt;'UW Model'!$O$14+1,AL$3&lt;='UW Model'!$O$15),'UW Model'!$O41/('UW Model'!$O$15-'UW Model'!$O$14-1)+AK19,AK19)</f>
        <v>0</v>
      </c>
      <c r="AM19" s="190">
        <f>IF(AND(AM$3&gt;'UW Model'!$O$14+1,AM$3&lt;='UW Model'!$O$15),'UW Model'!$O41/('UW Model'!$O$15-'UW Model'!$O$14-1)+AL19,AL19)</f>
        <v>0</v>
      </c>
      <c r="AN19" s="190">
        <f>IF(AND(AN$3&gt;'UW Model'!$O$14+1,AN$3&lt;='UW Model'!$O$15),'UW Model'!$O41/('UW Model'!$O$15-'UW Model'!$O$14-1)+AM19,AM19)</f>
        <v>0</v>
      </c>
      <c r="AO19" s="190">
        <f>IF(AND(AO$3&gt;'UW Model'!$O$14+1,AO$3&lt;='UW Model'!$O$15),'UW Model'!$O41/('UW Model'!$O$15-'UW Model'!$O$14-1)+AN19,AN19)</f>
        <v>0</v>
      </c>
      <c r="AP19" s="190">
        <f>IF(AND(AP$3&gt;'UW Model'!$O$14+1,AP$3&lt;='UW Model'!$O$15),'UW Model'!$O41/('UW Model'!$O$15-'UW Model'!$O$14-1)+AO19,AO19)</f>
        <v>0</v>
      </c>
      <c r="AQ19" s="190">
        <f>IF(AND(AQ$3&gt;'UW Model'!$O$14+1,AQ$3&lt;='UW Model'!$O$15),'UW Model'!$O41/('UW Model'!$O$15-'UW Model'!$O$14-1)+AP19,AP19)</f>
        <v>0</v>
      </c>
      <c r="AR19" s="190">
        <f>IF(AND(AR$3&gt;'UW Model'!$O$14+1,AR$3&lt;='UW Model'!$O$15),'UW Model'!$O41/('UW Model'!$O$15-'UW Model'!$O$14-1)+AQ19,AQ19)</f>
        <v>0</v>
      </c>
      <c r="AS19" s="190">
        <f>IF(AND(AS$3&gt;'UW Model'!$O$14+1,AS$3&lt;='UW Model'!$O$15),'UW Model'!$O41/('UW Model'!$O$15-'UW Model'!$O$14-1)+AR19,AR19)</f>
        <v>0</v>
      </c>
      <c r="AT19" s="190">
        <f>IF(AND(AT$3&gt;'UW Model'!$O$14+1,AT$3&lt;='UW Model'!$O$15),'UW Model'!$O41/('UW Model'!$O$15-'UW Model'!$O$14-1)+AS19,AS19)</f>
        <v>0</v>
      </c>
      <c r="AU19" s="192">
        <f>IF(AND(AU$3&gt;'UW Model'!$O$14+1,AU$3&lt;='UW Model'!$O$15),'UW Model'!$O41/('UW Model'!$O$15-'UW Model'!$O$14-1)+AT19,AT19)</f>
        <v>0</v>
      </c>
      <c r="AV19" s="190">
        <f>IF(AND(AV$3&gt;'UW Model'!$O$14+1,AV$3&lt;='UW Model'!$O$15),'UW Model'!$O41/('UW Model'!$O$15-'UW Model'!$O$14-1)+AU19,AU19)</f>
        <v>0</v>
      </c>
      <c r="AW19" s="190">
        <f>IF(AND(AW$3&gt;'UW Model'!$O$14+1,AW$3&lt;='UW Model'!$O$15),'UW Model'!$O41/('UW Model'!$O$15-'UW Model'!$O$14-1)+AV19,AV19)</f>
        <v>0</v>
      </c>
      <c r="AX19" s="190">
        <f>IF(AND(AX$3&gt;'UW Model'!$O$14+1,AX$3&lt;='UW Model'!$O$15),'UW Model'!$O41/('UW Model'!$O$15-'UW Model'!$O$14-1)+AW19,AW19)</f>
        <v>0</v>
      </c>
      <c r="AY19" s="190">
        <f>IF(AND(AY$3&gt;'UW Model'!$O$14+1,AY$3&lt;='UW Model'!$O$15),'UW Model'!$O41/('UW Model'!$O$15-'UW Model'!$O$14-1)+AX19,AX19)</f>
        <v>0</v>
      </c>
      <c r="AZ19" s="190">
        <f>IF(AND(AZ$3&gt;'UW Model'!$O$14+1,AZ$3&lt;='UW Model'!$O$15),'UW Model'!$O41/('UW Model'!$O$15-'UW Model'!$O$14-1)+AY19,AY19)</f>
        <v>0</v>
      </c>
      <c r="BA19" s="190">
        <f>IF(AND(BA$3&gt;'UW Model'!$O$14+1,BA$3&lt;='UW Model'!$O$15),'UW Model'!$O41/('UW Model'!$O$15-'UW Model'!$O$14-1)+AZ19,AZ19)</f>
        <v>0</v>
      </c>
      <c r="BB19" s="190">
        <f>IF(AND(BB$3&gt;'UW Model'!$O$14+1,BB$3&lt;='UW Model'!$O$15),'UW Model'!$O41/('UW Model'!$O$15-'UW Model'!$O$14-1)+BA19,BA19)</f>
        <v>0</v>
      </c>
      <c r="BC19" s="190">
        <f>IF(AND(BC$3&gt;'UW Model'!$O$14+1,BC$3&lt;='UW Model'!$O$15),'UW Model'!$O41/('UW Model'!$O$15-'UW Model'!$O$14-1)+BB19,BB19)</f>
        <v>0</v>
      </c>
      <c r="BD19" s="190">
        <f>IF(AND(BD$3&gt;'UW Model'!$O$14+1,BD$3&lt;='UW Model'!$O$15),'UW Model'!$O41/('UW Model'!$O$15-'UW Model'!$O$14-1)+BC19,BC19)</f>
        <v>0</v>
      </c>
      <c r="BE19" s="190">
        <f>IF(AND(BE$3&gt;'UW Model'!$O$14+1,BE$3&lt;='UW Model'!$O$15),'UW Model'!$O41/('UW Model'!$O$15-'UW Model'!$O$14-1)+BD19,BD19)</f>
        <v>0</v>
      </c>
      <c r="BF19" s="190">
        <f>IF(AND(BF$3&gt;'UW Model'!$O$14+1,BF$3&lt;='UW Model'!$O$15),'UW Model'!$O41/('UW Model'!$O$15-'UW Model'!$O$14-1)+BE19,BE19)</f>
        <v>0</v>
      </c>
      <c r="BG19" s="192">
        <f>IF(AND(BG$3&gt;'UW Model'!$O$14+1,BG$3&lt;='UW Model'!$O$15),'UW Model'!$O41/('UW Model'!$O$15-'UW Model'!$O$14-1)+BF19,BF19)</f>
        <v>0</v>
      </c>
      <c r="BH19" s="190">
        <f>IF(AND(BH$3&gt;'UW Model'!$O$14+1,BH$3&lt;='UW Model'!$O$15),'UW Model'!$O41/('UW Model'!$O$15-'UW Model'!$O$14-1)+BG19,BG19)</f>
        <v>0</v>
      </c>
      <c r="BI19" s="190">
        <f>IF(AND(BI$3&gt;'UW Model'!$O$14+1,BI$3&lt;='UW Model'!$O$15),'UW Model'!$O41/('UW Model'!$O$15-'UW Model'!$O$14-1)+BH19,BH19)</f>
        <v>0</v>
      </c>
      <c r="BJ19" s="190">
        <f>IF(AND(BJ$3&gt;'UW Model'!$O$14+1,BJ$3&lt;='UW Model'!$O$15),'UW Model'!$O41/('UW Model'!$O$15-'UW Model'!$O$14-1)+BI19,BI19)</f>
        <v>0</v>
      </c>
      <c r="BK19" s="190">
        <f>IF(AND(BK$3&gt;'UW Model'!$O$14+1,BK$3&lt;='UW Model'!$O$15),'UW Model'!$O41/('UW Model'!$O$15-'UW Model'!$O$14-1)+BJ19,BJ19)</f>
        <v>0</v>
      </c>
      <c r="BL19" s="190">
        <f>IF(AND(BL$3&gt;'UW Model'!$O$14+1,BL$3&lt;='UW Model'!$O$15),'UW Model'!$O41/('UW Model'!$O$15-'UW Model'!$O$14-1)+BK19,BK19)</f>
        <v>0</v>
      </c>
      <c r="BM19" s="190">
        <f>IF(AND(BM$3&gt;'UW Model'!$O$14+1,BM$3&lt;='UW Model'!$O$15),'UW Model'!$O41/('UW Model'!$O$15-'UW Model'!$O$14-1)+BL19,BL19)</f>
        <v>0</v>
      </c>
      <c r="BN19" s="190">
        <f>IF(AND(BN$3&gt;'UW Model'!$O$14+1,BN$3&lt;='UW Model'!$O$15),'UW Model'!$O41/('UW Model'!$O$15-'UW Model'!$O$14-1)+BM19,BM19)</f>
        <v>0</v>
      </c>
      <c r="BO19" s="190">
        <f>IF(AND(BO$3&gt;'UW Model'!$O$14+1,BO$3&lt;='UW Model'!$O$15),'UW Model'!$O41/('UW Model'!$O$15-'UW Model'!$O$14-1)+BN19,BN19)</f>
        <v>0</v>
      </c>
      <c r="BP19" s="190">
        <f>IF(AND(BP$3&gt;'UW Model'!$O$14+1,BP$3&lt;='UW Model'!$O$15),'UW Model'!$O41/('UW Model'!$O$15-'UW Model'!$O$14-1)+BO19,BO19)</f>
        <v>0</v>
      </c>
      <c r="BQ19" s="190">
        <f>IF(AND(BQ$3&gt;'UW Model'!$O$14+1,BQ$3&lt;='UW Model'!$O$15),'UW Model'!$O41/('UW Model'!$O$15-'UW Model'!$O$14-1)+BP19,BP19)</f>
        <v>0</v>
      </c>
      <c r="BR19" s="190">
        <f>IF(AND(BR$3&gt;'UW Model'!$O$14+1,BR$3&lt;='UW Model'!$O$15),'UW Model'!$O41/('UW Model'!$O$15-'UW Model'!$O$14-1)+BQ19,BQ19)</f>
        <v>0</v>
      </c>
      <c r="BS19" s="192">
        <f>IF(AND(BS$3&gt;'UW Model'!$O$14+1,BS$3&lt;='UW Model'!$O$15),'UW Model'!$O41/('UW Model'!$O$15-'UW Model'!$O$14-1)+BR19,BR19)</f>
        <v>0</v>
      </c>
      <c r="BT19" s="190">
        <f>IF(AND(BT$3&gt;'UW Model'!$O$14+1,BT$3&lt;='UW Model'!$O$15),'UW Model'!$O41/('UW Model'!$O$15-'UW Model'!$O$14-1)+BS19,BS19)</f>
        <v>0</v>
      </c>
      <c r="BU19" s="190">
        <f>IF(AND(BU$3&gt;'UW Model'!$O$14+1,BU$3&lt;='UW Model'!$O$15),'UW Model'!$O41/('UW Model'!$O$15-'UW Model'!$O$14-1)+BT19,BT19)</f>
        <v>0</v>
      </c>
      <c r="BV19" s="190">
        <f>IF(AND(BV$3&gt;'UW Model'!$O$14+1,BV$3&lt;='UW Model'!$O$15),'UW Model'!$O41/('UW Model'!$O$15-'UW Model'!$O$14-1)+BU19,BU19)</f>
        <v>0</v>
      </c>
      <c r="BW19" s="190">
        <f>IF(AND(BW$3&gt;'UW Model'!$O$14+1,BW$3&lt;='UW Model'!$O$15),'UW Model'!$O41/('UW Model'!$O$15-'UW Model'!$O$14-1)+BV19,BV19)</f>
        <v>0</v>
      </c>
      <c r="BX19" s="190">
        <f>IF(AND(BX$3&gt;'UW Model'!$O$14+1,BX$3&lt;='UW Model'!$O$15),'UW Model'!$O41/('UW Model'!$O$15-'UW Model'!$O$14-1)+BW19,BW19)</f>
        <v>0</v>
      </c>
      <c r="BY19" s="190">
        <f>IF(AND(BY$3&gt;'UW Model'!$O$14+1,BY$3&lt;='UW Model'!$O$15),'UW Model'!$O41/('UW Model'!$O$15-'UW Model'!$O$14-1)+BX19,BX19)</f>
        <v>0</v>
      </c>
      <c r="BZ19" s="190">
        <f>IF(AND(BZ$3&gt;'UW Model'!$O$14+1,BZ$3&lt;='UW Model'!$O$15),'UW Model'!$O41/('UW Model'!$O$15-'UW Model'!$O$14-1)+BY19,BY19)</f>
        <v>0</v>
      </c>
      <c r="CA19" s="190">
        <f>IF(AND(CA$3&gt;'UW Model'!$O$14+1,CA$3&lt;='UW Model'!$O$15),'UW Model'!$O41/('UW Model'!$O$15-'UW Model'!$O$14-1)+BZ19,BZ19)</f>
        <v>0</v>
      </c>
      <c r="CB19" s="190">
        <f>IF(AND(CB$3&gt;'UW Model'!$O$14+1,CB$3&lt;='UW Model'!$O$15),'UW Model'!$O41/('UW Model'!$O$15-'UW Model'!$O$14-1)+CA19,CA19)</f>
        <v>0</v>
      </c>
      <c r="CC19" s="190">
        <f>IF(AND(CC$3&gt;'UW Model'!$O$14+1,CC$3&lt;='UW Model'!$O$15),'UW Model'!$O41/('UW Model'!$O$15-'UW Model'!$O$14-1)+CB19,CB19)</f>
        <v>0</v>
      </c>
      <c r="CD19" s="190">
        <f>IF(AND(CD$3&gt;'UW Model'!$O$14+1,CD$3&lt;='UW Model'!$O$15),'UW Model'!$O41/('UW Model'!$O$15-'UW Model'!$O$14-1)+CC19,CC19)</f>
        <v>0</v>
      </c>
      <c r="CE19" s="195">
        <f>IF(AND(CE$3&gt;'UW Model'!$O$14+1,CE$3&lt;='UW Model'!$O$15),'UW Model'!$O41/('UW Model'!$O$15-'UW Model'!$O$14-1)+CD19,CD19)</f>
        <v>0</v>
      </c>
    </row>
    <row r="20" spans="16:83" x14ac:dyDescent="0.35">
      <c r="P20" s="933"/>
      <c r="Q20" s="196" t="str">
        <f>IF('UW Model'!C42="","",'UW Model'!C42)</f>
        <v/>
      </c>
      <c r="R20" s="197">
        <f t="shared" si="22"/>
        <v>0</v>
      </c>
      <c r="S20" s="191">
        <f t="shared" si="22"/>
        <v>0</v>
      </c>
      <c r="T20" s="191">
        <f t="shared" si="22"/>
        <v>0</v>
      </c>
      <c r="U20" s="191">
        <f t="shared" si="22"/>
        <v>0</v>
      </c>
      <c r="V20" s="198">
        <f t="shared" si="22"/>
        <v>0</v>
      </c>
      <c r="W20" s="193">
        <v>0</v>
      </c>
      <c r="X20" s="193">
        <f>IF(AND(X$3&gt;'UW Model'!$O$14+1,X$3&lt;='UW Model'!$O$15),'UW Model'!$O42/('UW Model'!$O$15-'UW Model'!$O$14-1)+W20,0)</f>
        <v>0</v>
      </c>
      <c r="Y20" s="190">
        <f>IF(AND(Y$3&gt;'UW Model'!$O$14+1,Y$3&lt;='UW Model'!$O$15),'UW Model'!$O42/('UW Model'!$O$15-'UW Model'!$O$14-1)+X20,X20)</f>
        <v>0</v>
      </c>
      <c r="Z20" s="190">
        <f>IF(AND(Z$3&gt;'UW Model'!$O$14+1,Z$3&lt;='UW Model'!$O$15),'UW Model'!$O42/('UW Model'!$O$15-'UW Model'!$O$14-1)+Y20,Y20)</f>
        <v>0</v>
      </c>
      <c r="AA20" s="190">
        <f>IF(AND(AA$3&gt;'UW Model'!$O$14+1,AA$3&lt;='UW Model'!$O$15),'UW Model'!$O42/('UW Model'!$O$15-'UW Model'!$O$14-1)+Z20,Z20)</f>
        <v>0</v>
      </c>
      <c r="AB20" s="190">
        <f>IF(AND(AB$3&gt;'UW Model'!$O$14+1,AB$3&lt;='UW Model'!$O$15),'UW Model'!$O42/('UW Model'!$O$15-'UW Model'!$O$14-1)+AA20,AA20)</f>
        <v>0</v>
      </c>
      <c r="AC20" s="190">
        <f>IF(AND(AC$3&gt;'UW Model'!$O$14+1,AC$3&lt;='UW Model'!$O$15),'UW Model'!$O42/('UW Model'!$O$15-'UW Model'!$O$14-1)+AB20,AB20)</f>
        <v>0</v>
      </c>
      <c r="AD20" s="190">
        <f>IF(AND(AD$3&gt;'UW Model'!$O$14+1,AD$3&lt;='UW Model'!$O$15),'UW Model'!$O42/('UW Model'!$O$15-'UW Model'!$O$14-1)+AC20,AC20)</f>
        <v>0</v>
      </c>
      <c r="AE20" s="190">
        <f>IF(AND(AE$3&gt;'UW Model'!$O$14+1,AE$3&lt;='UW Model'!$O$15),'UW Model'!$O42/('UW Model'!$O$15-'UW Model'!$O$14-1)+AD20,AD20)</f>
        <v>0</v>
      </c>
      <c r="AF20" s="190">
        <f>IF(AND(AF$3&gt;'UW Model'!$O$14+1,AF$3&lt;='UW Model'!$O$15),'UW Model'!$O42/('UW Model'!$O$15-'UW Model'!$O$14-1)+AE20,AE20)</f>
        <v>0</v>
      </c>
      <c r="AG20" s="190">
        <f>IF(AND(AG$3&gt;'UW Model'!$O$14+1,AG$3&lt;='UW Model'!$O$15),'UW Model'!$O42/('UW Model'!$O$15-'UW Model'!$O$14-1)+AF20,AF20)</f>
        <v>0</v>
      </c>
      <c r="AH20" s="190">
        <f>IF(AND(AH$3&gt;'UW Model'!$O$14+1,AH$3&lt;='UW Model'!$O$15),'UW Model'!$O42/('UW Model'!$O$15-'UW Model'!$O$14-1)+AG20,AG20)</f>
        <v>0</v>
      </c>
      <c r="AI20" s="192">
        <f>IF(AND(AI$3&gt;'UW Model'!$O$14+1,AI$3&lt;='UW Model'!$O$15),'UW Model'!$O42/('UW Model'!$O$15-'UW Model'!$O$14-1)+AH20,AH20)</f>
        <v>0</v>
      </c>
      <c r="AJ20" s="193">
        <f>IF(AND(AJ$3&gt;'UW Model'!$O$14+1,AJ$3&lt;='UW Model'!$O$15),'UW Model'!$O42/('UW Model'!$O$15-'UW Model'!$O$14-1)+AI20,AI20)</f>
        <v>0</v>
      </c>
      <c r="AK20" s="190">
        <f>IF(AND(AK$3&gt;'UW Model'!$O$14+1,AK$3&lt;='UW Model'!$O$15),'UW Model'!$O42/('UW Model'!$O$15-'UW Model'!$O$14-1)+AJ20,AJ20)</f>
        <v>0</v>
      </c>
      <c r="AL20" s="190">
        <f>IF(AND(AL$3&gt;'UW Model'!$O$14+1,AL$3&lt;='UW Model'!$O$15),'UW Model'!$O42/('UW Model'!$O$15-'UW Model'!$O$14-1)+AK20,AK20)</f>
        <v>0</v>
      </c>
      <c r="AM20" s="190">
        <f>IF(AND(AM$3&gt;'UW Model'!$O$14+1,AM$3&lt;='UW Model'!$O$15),'UW Model'!$O42/('UW Model'!$O$15-'UW Model'!$O$14-1)+AL20,AL20)</f>
        <v>0</v>
      </c>
      <c r="AN20" s="190">
        <f>IF(AND(AN$3&gt;'UW Model'!$O$14+1,AN$3&lt;='UW Model'!$O$15),'UW Model'!$O42/('UW Model'!$O$15-'UW Model'!$O$14-1)+AM20,AM20)</f>
        <v>0</v>
      </c>
      <c r="AO20" s="190">
        <f>IF(AND(AO$3&gt;'UW Model'!$O$14+1,AO$3&lt;='UW Model'!$O$15),'UW Model'!$O42/('UW Model'!$O$15-'UW Model'!$O$14-1)+AN20,AN20)</f>
        <v>0</v>
      </c>
      <c r="AP20" s="190">
        <f>IF(AND(AP$3&gt;'UW Model'!$O$14+1,AP$3&lt;='UW Model'!$O$15),'UW Model'!$O42/('UW Model'!$O$15-'UW Model'!$O$14-1)+AO20,AO20)</f>
        <v>0</v>
      </c>
      <c r="AQ20" s="190">
        <f>IF(AND(AQ$3&gt;'UW Model'!$O$14+1,AQ$3&lt;='UW Model'!$O$15),'UW Model'!$O42/('UW Model'!$O$15-'UW Model'!$O$14-1)+AP20,AP20)</f>
        <v>0</v>
      </c>
      <c r="AR20" s="190">
        <f>IF(AND(AR$3&gt;'UW Model'!$O$14+1,AR$3&lt;='UW Model'!$O$15),'UW Model'!$O42/('UW Model'!$O$15-'UW Model'!$O$14-1)+AQ20,AQ20)</f>
        <v>0</v>
      </c>
      <c r="AS20" s="190">
        <f>IF(AND(AS$3&gt;'UW Model'!$O$14+1,AS$3&lt;='UW Model'!$O$15),'UW Model'!$O42/('UW Model'!$O$15-'UW Model'!$O$14-1)+AR20,AR20)</f>
        <v>0</v>
      </c>
      <c r="AT20" s="190">
        <f>IF(AND(AT$3&gt;'UW Model'!$O$14+1,AT$3&lt;='UW Model'!$O$15),'UW Model'!$O42/('UW Model'!$O$15-'UW Model'!$O$14-1)+AS20,AS20)</f>
        <v>0</v>
      </c>
      <c r="AU20" s="192">
        <f>IF(AND(AU$3&gt;'UW Model'!$O$14+1,AU$3&lt;='UW Model'!$O$15),'UW Model'!$O42/('UW Model'!$O$15-'UW Model'!$O$14-1)+AT20,AT20)</f>
        <v>0</v>
      </c>
      <c r="AV20" s="190">
        <f>IF(AND(AV$3&gt;'UW Model'!$O$14+1,AV$3&lt;='UW Model'!$O$15),'UW Model'!$O42/('UW Model'!$O$15-'UW Model'!$O$14-1)+AU20,AU20)</f>
        <v>0</v>
      </c>
      <c r="AW20" s="190">
        <f>IF(AND(AW$3&gt;'UW Model'!$O$14+1,AW$3&lt;='UW Model'!$O$15),'UW Model'!$O42/('UW Model'!$O$15-'UW Model'!$O$14-1)+AV20,AV20)</f>
        <v>0</v>
      </c>
      <c r="AX20" s="190">
        <f>IF(AND(AX$3&gt;'UW Model'!$O$14+1,AX$3&lt;='UW Model'!$O$15),'UW Model'!$O42/('UW Model'!$O$15-'UW Model'!$O$14-1)+AW20,AW20)</f>
        <v>0</v>
      </c>
      <c r="AY20" s="190">
        <f>IF(AND(AY$3&gt;'UW Model'!$O$14+1,AY$3&lt;='UW Model'!$O$15),'UW Model'!$O42/('UW Model'!$O$15-'UW Model'!$O$14-1)+AX20,AX20)</f>
        <v>0</v>
      </c>
      <c r="AZ20" s="190">
        <f>IF(AND(AZ$3&gt;'UW Model'!$O$14+1,AZ$3&lt;='UW Model'!$O$15),'UW Model'!$O42/('UW Model'!$O$15-'UW Model'!$O$14-1)+AY20,AY20)</f>
        <v>0</v>
      </c>
      <c r="BA20" s="190">
        <f>IF(AND(BA$3&gt;'UW Model'!$O$14+1,BA$3&lt;='UW Model'!$O$15),'UW Model'!$O42/('UW Model'!$O$15-'UW Model'!$O$14-1)+AZ20,AZ20)</f>
        <v>0</v>
      </c>
      <c r="BB20" s="190">
        <f>IF(AND(BB$3&gt;'UW Model'!$O$14+1,BB$3&lt;='UW Model'!$O$15),'UW Model'!$O42/('UW Model'!$O$15-'UW Model'!$O$14-1)+BA20,BA20)</f>
        <v>0</v>
      </c>
      <c r="BC20" s="190">
        <f>IF(AND(BC$3&gt;'UW Model'!$O$14+1,BC$3&lt;='UW Model'!$O$15),'UW Model'!$O42/('UW Model'!$O$15-'UW Model'!$O$14-1)+BB20,BB20)</f>
        <v>0</v>
      </c>
      <c r="BD20" s="190">
        <f>IF(AND(BD$3&gt;'UW Model'!$O$14+1,BD$3&lt;='UW Model'!$O$15),'UW Model'!$O42/('UW Model'!$O$15-'UW Model'!$O$14-1)+BC20,BC20)</f>
        <v>0</v>
      </c>
      <c r="BE20" s="190">
        <f>IF(AND(BE$3&gt;'UW Model'!$O$14+1,BE$3&lt;='UW Model'!$O$15),'UW Model'!$O42/('UW Model'!$O$15-'UW Model'!$O$14-1)+BD20,BD20)</f>
        <v>0</v>
      </c>
      <c r="BF20" s="190">
        <f>IF(AND(BF$3&gt;'UW Model'!$O$14+1,BF$3&lt;='UW Model'!$O$15),'UW Model'!$O42/('UW Model'!$O$15-'UW Model'!$O$14-1)+BE20,BE20)</f>
        <v>0</v>
      </c>
      <c r="BG20" s="192">
        <f>IF(AND(BG$3&gt;'UW Model'!$O$14+1,BG$3&lt;='UW Model'!$O$15),'UW Model'!$O42/('UW Model'!$O$15-'UW Model'!$O$14-1)+BF20,BF20)</f>
        <v>0</v>
      </c>
      <c r="BH20" s="190">
        <f>IF(AND(BH$3&gt;'UW Model'!$O$14+1,BH$3&lt;='UW Model'!$O$15),'UW Model'!$O42/('UW Model'!$O$15-'UW Model'!$O$14-1)+BG20,BG20)</f>
        <v>0</v>
      </c>
      <c r="BI20" s="190">
        <f>IF(AND(BI$3&gt;'UW Model'!$O$14+1,BI$3&lt;='UW Model'!$O$15),'UW Model'!$O42/('UW Model'!$O$15-'UW Model'!$O$14-1)+BH20,BH20)</f>
        <v>0</v>
      </c>
      <c r="BJ20" s="190">
        <f>IF(AND(BJ$3&gt;'UW Model'!$O$14+1,BJ$3&lt;='UW Model'!$O$15),'UW Model'!$O42/('UW Model'!$O$15-'UW Model'!$O$14-1)+BI20,BI20)</f>
        <v>0</v>
      </c>
      <c r="BK20" s="190">
        <f>IF(AND(BK$3&gt;'UW Model'!$O$14+1,BK$3&lt;='UW Model'!$O$15),'UW Model'!$O42/('UW Model'!$O$15-'UW Model'!$O$14-1)+BJ20,BJ20)</f>
        <v>0</v>
      </c>
      <c r="BL20" s="190">
        <f>IF(AND(BL$3&gt;'UW Model'!$O$14+1,BL$3&lt;='UW Model'!$O$15),'UW Model'!$O42/('UW Model'!$O$15-'UW Model'!$O$14-1)+BK20,BK20)</f>
        <v>0</v>
      </c>
      <c r="BM20" s="190">
        <f>IF(AND(BM$3&gt;'UW Model'!$O$14+1,BM$3&lt;='UW Model'!$O$15),'UW Model'!$O42/('UW Model'!$O$15-'UW Model'!$O$14-1)+BL20,BL20)</f>
        <v>0</v>
      </c>
      <c r="BN20" s="190">
        <f>IF(AND(BN$3&gt;'UW Model'!$O$14+1,BN$3&lt;='UW Model'!$O$15),'UW Model'!$O42/('UW Model'!$O$15-'UW Model'!$O$14-1)+BM20,BM20)</f>
        <v>0</v>
      </c>
      <c r="BO20" s="190">
        <f>IF(AND(BO$3&gt;'UW Model'!$O$14+1,BO$3&lt;='UW Model'!$O$15),'UW Model'!$O42/('UW Model'!$O$15-'UW Model'!$O$14-1)+BN20,BN20)</f>
        <v>0</v>
      </c>
      <c r="BP20" s="190">
        <f>IF(AND(BP$3&gt;'UW Model'!$O$14+1,BP$3&lt;='UW Model'!$O$15),'UW Model'!$O42/('UW Model'!$O$15-'UW Model'!$O$14-1)+BO20,BO20)</f>
        <v>0</v>
      </c>
      <c r="BQ20" s="190">
        <f>IF(AND(BQ$3&gt;'UW Model'!$O$14+1,BQ$3&lt;='UW Model'!$O$15),'UW Model'!$O42/('UW Model'!$O$15-'UW Model'!$O$14-1)+BP20,BP20)</f>
        <v>0</v>
      </c>
      <c r="BR20" s="190">
        <f>IF(AND(BR$3&gt;'UW Model'!$O$14+1,BR$3&lt;='UW Model'!$O$15),'UW Model'!$O42/('UW Model'!$O$15-'UW Model'!$O$14-1)+BQ20,BQ20)</f>
        <v>0</v>
      </c>
      <c r="BS20" s="192">
        <f>IF(AND(BS$3&gt;'UW Model'!$O$14+1,BS$3&lt;='UW Model'!$O$15),'UW Model'!$O42/('UW Model'!$O$15-'UW Model'!$O$14-1)+BR20,BR20)</f>
        <v>0</v>
      </c>
      <c r="BT20" s="190">
        <f>IF(AND(BT$3&gt;'UW Model'!$O$14+1,BT$3&lt;='UW Model'!$O$15),'UW Model'!$O42/('UW Model'!$O$15-'UW Model'!$O$14-1)+BS20,BS20)</f>
        <v>0</v>
      </c>
      <c r="BU20" s="190">
        <f>IF(AND(BU$3&gt;'UW Model'!$O$14+1,BU$3&lt;='UW Model'!$O$15),'UW Model'!$O42/('UW Model'!$O$15-'UW Model'!$O$14-1)+BT20,BT20)</f>
        <v>0</v>
      </c>
      <c r="BV20" s="190">
        <f>IF(AND(BV$3&gt;'UW Model'!$O$14+1,BV$3&lt;='UW Model'!$O$15),'UW Model'!$O42/('UW Model'!$O$15-'UW Model'!$O$14-1)+BU20,BU20)</f>
        <v>0</v>
      </c>
      <c r="BW20" s="190">
        <f>IF(AND(BW$3&gt;'UW Model'!$O$14+1,BW$3&lt;='UW Model'!$O$15),'UW Model'!$O42/('UW Model'!$O$15-'UW Model'!$O$14-1)+BV20,BV20)</f>
        <v>0</v>
      </c>
      <c r="BX20" s="190">
        <f>IF(AND(BX$3&gt;'UW Model'!$O$14+1,BX$3&lt;='UW Model'!$O$15),'UW Model'!$O42/('UW Model'!$O$15-'UW Model'!$O$14-1)+BW20,BW20)</f>
        <v>0</v>
      </c>
      <c r="BY20" s="190">
        <f>IF(AND(BY$3&gt;'UW Model'!$O$14+1,BY$3&lt;='UW Model'!$O$15),'UW Model'!$O42/('UW Model'!$O$15-'UW Model'!$O$14-1)+BX20,BX20)</f>
        <v>0</v>
      </c>
      <c r="BZ20" s="190">
        <f>IF(AND(BZ$3&gt;'UW Model'!$O$14+1,BZ$3&lt;='UW Model'!$O$15),'UW Model'!$O42/('UW Model'!$O$15-'UW Model'!$O$14-1)+BY20,BY20)</f>
        <v>0</v>
      </c>
      <c r="CA20" s="190">
        <f>IF(AND(CA$3&gt;'UW Model'!$O$14+1,CA$3&lt;='UW Model'!$O$15),'UW Model'!$O42/('UW Model'!$O$15-'UW Model'!$O$14-1)+BZ20,BZ20)</f>
        <v>0</v>
      </c>
      <c r="CB20" s="190">
        <f>IF(AND(CB$3&gt;'UW Model'!$O$14+1,CB$3&lt;='UW Model'!$O$15),'UW Model'!$O42/('UW Model'!$O$15-'UW Model'!$O$14-1)+CA20,CA20)</f>
        <v>0</v>
      </c>
      <c r="CC20" s="190">
        <f>IF(AND(CC$3&gt;'UW Model'!$O$14+1,CC$3&lt;='UW Model'!$O$15),'UW Model'!$O42/('UW Model'!$O$15-'UW Model'!$O$14-1)+CB20,CB20)</f>
        <v>0</v>
      </c>
      <c r="CD20" s="190">
        <f>IF(AND(CD$3&gt;'UW Model'!$O$14+1,CD$3&lt;='UW Model'!$O$15),'UW Model'!$O42/('UW Model'!$O$15-'UW Model'!$O$14-1)+CC20,CC20)</f>
        <v>0</v>
      </c>
      <c r="CE20" s="195">
        <f>IF(AND(CE$3&gt;'UW Model'!$O$14+1,CE$3&lt;='UW Model'!$O$15),'UW Model'!$O42/('UW Model'!$O$15-'UW Model'!$O$14-1)+CD20,CD20)</f>
        <v>0</v>
      </c>
    </row>
    <row r="21" spans="16:83" x14ac:dyDescent="0.35">
      <c r="P21" s="933"/>
      <c r="Q21" s="18" t="s">
        <v>270</v>
      </c>
      <c r="R21" s="208">
        <f t="shared" ref="R21" si="23">SUM(R22:R36)</f>
        <v>0</v>
      </c>
      <c r="S21" s="209">
        <f t="shared" ref="S21" si="24">SUM(S22:S36)</f>
        <v>0</v>
      </c>
      <c r="T21" s="209">
        <f t="shared" ref="T21" si="25">SUM(T22:T36)</f>
        <v>0</v>
      </c>
      <c r="U21" s="209">
        <f>SUM(U22:U36)</f>
        <v>0</v>
      </c>
      <c r="V21" s="210">
        <f>SUM(V22:V36)</f>
        <v>0</v>
      </c>
      <c r="W21" s="208">
        <f t="shared" ref="W21:X21" si="26">SUM(W22:W36)</f>
        <v>0</v>
      </c>
      <c r="X21" s="208">
        <f t="shared" si="26"/>
        <v>0</v>
      </c>
      <c r="Y21" s="209">
        <f t="shared" ref="Y21" si="27">SUM(Y22:Y36)</f>
        <v>0</v>
      </c>
      <c r="Z21" s="209">
        <f>SUM(Z22:Z36)</f>
        <v>0</v>
      </c>
      <c r="AA21" s="209">
        <f t="shared" ref="AA21" si="28">SUM(AA22:AA36)</f>
        <v>0</v>
      </c>
      <c r="AB21" s="209">
        <f>SUM(AB22:AB36)</f>
        <v>0</v>
      </c>
      <c r="AC21" s="209">
        <f t="shared" ref="AC21" si="29">SUM(AC22:AC36)</f>
        <v>0</v>
      </c>
      <c r="AD21" s="209">
        <f t="shared" ref="AD21" si="30">SUM(AD22:AD36)</f>
        <v>0</v>
      </c>
      <c r="AE21" s="209">
        <f t="shared" ref="AE21" si="31">SUM(AE22:AE36)</f>
        <v>0</v>
      </c>
      <c r="AF21" s="209">
        <f t="shared" ref="AF21" si="32">SUM(AF22:AF36)</f>
        <v>0</v>
      </c>
      <c r="AG21" s="209">
        <f t="shared" ref="AG21" si="33">SUM(AG22:AG36)</f>
        <v>0</v>
      </c>
      <c r="AH21" s="209">
        <f t="shared" ref="AH21" si="34">SUM(AH22:AH36)</f>
        <v>0</v>
      </c>
      <c r="AI21" s="210">
        <f t="shared" ref="AI21" si="35">SUM(AI22:AI36)</f>
        <v>0</v>
      </c>
      <c r="AJ21" s="208">
        <f t="shared" ref="AJ21" si="36">SUM(AJ22:AJ36)</f>
        <v>0</v>
      </c>
      <c r="AK21" s="209">
        <f t="shared" ref="AK21" si="37">SUM(AK22:AK36)</f>
        <v>0</v>
      </c>
      <c r="AL21" s="209">
        <f t="shared" ref="AL21" si="38">SUM(AL22:AL36)</f>
        <v>0</v>
      </c>
      <c r="AM21" s="209">
        <f t="shared" ref="AM21" si="39">SUM(AM22:AM36)</f>
        <v>0</v>
      </c>
      <c r="AN21" s="209">
        <f t="shared" ref="AN21" si="40">SUM(AN22:AN36)</f>
        <v>0</v>
      </c>
      <c r="AO21" s="209">
        <f t="shared" ref="AO21" si="41">SUM(AO22:AO36)</f>
        <v>0</v>
      </c>
      <c r="AP21" s="209">
        <f t="shared" ref="AP21" si="42">SUM(AP22:AP36)</f>
        <v>0</v>
      </c>
      <c r="AQ21" s="209">
        <f t="shared" ref="AQ21" si="43">SUM(AQ22:AQ36)</f>
        <v>0</v>
      </c>
      <c r="AR21" s="209">
        <f t="shared" ref="AR21" si="44">SUM(AR22:AR36)</f>
        <v>0</v>
      </c>
      <c r="AS21" s="209">
        <f t="shared" ref="AS21" si="45">SUM(AS22:AS36)</f>
        <v>0</v>
      </c>
      <c r="AT21" s="209">
        <f t="shared" ref="AT21" si="46">SUM(AT22:AT36)</f>
        <v>0</v>
      </c>
      <c r="AU21" s="210">
        <f t="shared" ref="AU21" si="47">SUM(AU22:AU36)</f>
        <v>0</v>
      </c>
      <c r="AV21" s="208">
        <f t="shared" ref="AV21" si="48">SUM(AV22:AV36)</f>
        <v>0</v>
      </c>
      <c r="AW21" s="209">
        <f t="shared" ref="AW21" si="49">SUM(AW22:AW36)</f>
        <v>0</v>
      </c>
      <c r="AX21" s="209">
        <f t="shared" ref="AX21" si="50">SUM(AX22:AX36)</f>
        <v>0</v>
      </c>
      <c r="AY21" s="209">
        <f t="shared" ref="AY21" si="51">SUM(AY22:AY36)</f>
        <v>0</v>
      </c>
      <c r="AZ21" s="209">
        <f t="shared" ref="AZ21" si="52">SUM(AZ22:AZ36)</f>
        <v>0</v>
      </c>
      <c r="BA21" s="209">
        <f t="shared" ref="BA21" si="53">SUM(BA22:BA36)</f>
        <v>0</v>
      </c>
      <c r="BB21" s="209">
        <f t="shared" ref="BB21" si="54">SUM(BB22:BB36)</f>
        <v>0</v>
      </c>
      <c r="BC21" s="209">
        <f t="shared" ref="BC21" si="55">SUM(BC22:BC36)</f>
        <v>0</v>
      </c>
      <c r="BD21" s="209">
        <f t="shared" ref="BD21" si="56">SUM(BD22:BD36)</f>
        <v>0</v>
      </c>
      <c r="BE21" s="209">
        <f t="shared" ref="BE21" si="57">SUM(BE22:BE36)</f>
        <v>0</v>
      </c>
      <c r="BF21" s="209">
        <f t="shared" ref="BF21" si="58">SUM(BF22:BF36)</f>
        <v>0</v>
      </c>
      <c r="BG21" s="210">
        <f t="shared" ref="BG21" si="59">SUM(BG22:BG36)</f>
        <v>0</v>
      </c>
      <c r="BH21" s="209">
        <f t="shared" ref="BH21" si="60">SUM(BH22:BH36)</f>
        <v>0</v>
      </c>
      <c r="BI21" s="209">
        <f t="shared" ref="BI21" si="61">SUM(BI22:BI36)</f>
        <v>0</v>
      </c>
      <c r="BJ21" s="209">
        <f t="shared" ref="BJ21" si="62">SUM(BJ22:BJ36)</f>
        <v>0</v>
      </c>
      <c r="BK21" s="209">
        <f t="shared" ref="BK21" si="63">SUM(BK22:BK36)</f>
        <v>0</v>
      </c>
      <c r="BL21" s="209">
        <f t="shared" ref="BL21" si="64">SUM(BL22:BL36)</f>
        <v>0</v>
      </c>
      <c r="BM21" s="209">
        <f t="shared" ref="BM21" si="65">SUM(BM22:BM36)</f>
        <v>0</v>
      </c>
      <c r="BN21" s="209">
        <f t="shared" ref="BN21" si="66">SUM(BN22:BN36)</f>
        <v>0</v>
      </c>
      <c r="BO21" s="209">
        <f t="shared" ref="BO21" si="67">SUM(BO22:BO36)</f>
        <v>0</v>
      </c>
      <c r="BP21" s="209">
        <f t="shared" ref="BP21" si="68">SUM(BP22:BP36)</f>
        <v>0</v>
      </c>
      <c r="BQ21" s="209">
        <f t="shared" ref="BQ21" si="69">SUM(BQ22:BQ36)</f>
        <v>0</v>
      </c>
      <c r="BR21" s="209">
        <f t="shared" ref="BR21" si="70">SUM(BR22:BR36)</f>
        <v>0</v>
      </c>
      <c r="BS21" s="210">
        <f t="shared" ref="BS21:CD21" si="71">SUM(BS22:BS36)</f>
        <v>0</v>
      </c>
      <c r="BT21" s="209">
        <f t="shared" si="71"/>
        <v>0</v>
      </c>
      <c r="BU21" s="209">
        <f t="shared" si="71"/>
        <v>0</v>
      </c>
      <c r="BV21" s="209">
        <f t="shared" si="71"/>
        <v>0</v>
      </c>
      <c r="BW21" s="209">
        <f t="shared" si="71"/>
        <v>0</v>
      </c>
      <c r="BX21" s="209">
        <f t="shared" si="71"/>
        <v>0</v>
      </c>
      <c r="BY21" s="209">
        <f t="shared" si="71"/>
        <v>0</v>
      </c>
      <c r="BZ21" s="209">
        <f t="shared" si="71"/>
        <v>0</v>
      </c>
      <c r="CA21" s="209">
        <f t="shared" si="71"/>
        <v>0</v>
      </c>
      <c r="CB21" s="209">
        <f t="shared" si="71"/>
        <v>0</v>
      </c>
      <c r="CC21" s="209">
        <f t="shared" si="71"/>
        <v>0</v>
      </c>
      <c r="CD21" s="209">
        <f t="shared" si="71"/>
        <v>0</v>
      </c>
      <c r="CE21" s="211">
        <f t="shared" ref="CE21" si="72">SUM(CE22:CE36)</f>
        <v>0</v>
      </c>
    </row>
    <row r="22" spans="16:83" x14ac:dyDescent="0.35">
      <c r="P22" s="933"/>
      <c r="Q22" s="194" t="str">
        <f>$Q$6</f>
        <v/>
      </c>
      <c r="R22" s="199">
        <f t="shared" ref="R22:V36" si="73">SUMIF($X$2:$CE$2,R$2,$X22:$CE22)</f>
        <v>0</v>
      </c>
      <c r="S22" s="121">
        <f t="shared" si="73"/>
        <v>0</v>
      </c>
      <c r="T22" s="121">
        <f t="shared" si="73"/>
        <v>0</v>
      </c>
      <c r="U22" s="121">
        <f t="shared" si="73"/>
        <v>0</v>
      </c>
      <c r="V22" s="200">
        <f t="shared" ref="V22" si="74">SUMIF($X$2:$CE$2,V$2,$X22:$CE22)</f>
        <v>0</v>
      </c>
      <c r="W22" s="201">
        <v>0</v>
      </c>
      <c r="X22" s="201">
        <f t="shared" ref="X22:BS22" si="75">X6*X38</f>
        <v>0</v>
      </c>
      <c r="Y22" s="11">
        <f t="shared" si="75"/>
        <v>0</v>
      </c>
      <c r="Z22" s="11">
        <f t="shared" si="75"/>
        <v>0</v>
      </c>
      <c r="AA22" s="11">
        <f t="shared" si="75"/>
        <v>0</v>
      </c>
      <c r="AB22" s="11">
        <f t="shared" si="75"/>
        <v>0</v>
      </c>
      <c r="AC22" s="11">
        <f t="shared" si="75"/>
        <v>0</v>
      </c>
      <c r="AD22" s="11">
        <f t="shared" si="75"/>
        <v>0</v>
      </c>
      <c r="AE22" s="11">
        <f t="shared" si="75"/>
        <v>0</v>
      </c>
      <c r="AF22" s="11">
        <f t="shared" si="75"/>
        <v>0</v>
      </c>
      <c r="AG22" s="11">
        <f t="shared" si="75"/>
        <v>0</v>
      </c>
      <c r="AH22" s="11">
        <f t="shared" si="75"/>
        <v>0</v>
      </c>
      <c r="AI22" s="71">
        <f t="shared" si="75"/>
        <v>0</v>
      </c>
      <c r="AJ22" s="201">
        <f t="shared" si="75"/>
        <v>0</v>
      </c>
      <c r="AK22" s="11">
        <f t="shared" si="75"/>
        <v>0</v>
      </c>
      <c r="AL22" s="11">
        <f>AL6*AL38</f>
        <v>0</v>
      </c>
      <c r="AM22" s="11">
        <f t="shared" si="75"/>
        <v>0</v>
      </c>
      <c r="AN22" s="11">
        <f t="shared" si="75"/>
        <v>0</v>
      </c>
      <c r="AO22" s="11">
        <f t="shared" si="75"/>
        <v>0</v>
      </c>
      <c r="AP22" s="11">
        <f t="shared" si="75"/>
        <v>0</v>
      </c>
      <c r="AQ22" s="11">
        <f t="shared" si="75"/>
        <v>0</v>
      </c>
      <c r="AR22" s="11">
        <f t="shared" si="75"/>
        <v>0</v>
      </c>
      <c r="AS22" s="11">
        <f t="shared" si="75"/>
        <v>0</v>
      </c>
      <c r="AT22" s="11">
        <f t="shared" si="75"/>
        <v>0</v>
      </c>
      <c r="AU22" s="71">
        <f t="shared" si="75"/>
        <v>0</v>
      </c>
      <c r="AV22" s="11">
        <f t="shared" si="75"/>
        <v>0</v>
      </c>
      <c r="AW22" s="11">
        <f t="shared" si="75"/>
        <v>0</v>
      </c>
      <c r="AX22" s="11">
        <f t="shared" si="75"/>
        <v>0</v>
      </c>
      <c r="AY22" s="11">
        <f t="shared" si="75"/>
        <v>0</v>
      </c>
      <c r="AZ22" s="11">
        <f t="shared" si="75"/>
        <v>0</v>
      </c>
      <c r="BA22" s="11">
        <f t="shared" si="75"/>
        <v>0</v>
      </c>
      <c r="BB22" s="11">
        <f t="shared" si="75"/>
        <v>0</v>
      </c>
      <c r="BC22" s="11">
        <f t="shared" si="75"/>
        <v>0</v>
      </c>
      <c r="BD22" s="11">
        <f t="shared" si="75"/>
        <v>0</v>
      </c>
      <c r="BE22" s="11">
        <f t="shared" si="75"/>
        <v>0</v>
      </c>
      <c r="BF22" s="11">
        <f t="shared" si="75"/>
        <v>0</v>
      </c>
      <c r="BG22" s="71">
        <f t="shared" si="75"/>
        <v>0</v>
      </c>
      <c r="BH22" s="11">
        <f t="shared" si="75"/>
        <v>0</v>
      </c>
      <c r="BI22" s="11">
        <f t="shared" si="75"/>
        <v>0</v>
      </c>
      <c r="BJ22" s="11">
        <f t="shared" si="75"/>
        <v>0</v>
      </c>
      <c r="BK22" s="11">
        <f t="shared" si="75"/>
        <v>0</v>
      </c>
      <c r="BL22" s="11">
        <f t="shared" si="75"/>
        <v>0</v>
      </c>
      <c r="BM22" s="11">
        <f t="shared" si="75"/>
        <v>0</v>
      </c>
      <c r="BN22" s="11">
        <f t="shared" si="75"/>
        <v>0</v>
      </c>
      <c r="BO22" s="11">
        <f t="shared" si="75"/>
        <v>0</v>
      </c>
      <c r="BP22" s="11">
        <f t="shared" si="75"/>
        <v>0</v>
      </c>
      <c r="BQ22" s="11">
        <f t="shared" si="75"/>
        <v>0</v>
      </c>
      <c r="BR22" s="11">
        <f t="shared" si="75"/>
        <v>0</v>
      </c>
      <c r="BS22" s="71">
        <f t="shared" si="75"/>
        <v>0</v>
      </c>
      <c r="BT22" s="11">
        <f t="shared" ref="BT22:CE22" si="76">BT6*BT38</f>
        <v>0</v>
      </c>
      <c r="BU22" s="11">
        <f t="shared" si="76"/>
        <v>0</v>
      </c>
      <c r="BV22" s="11">
        <f t="shared" si="76"/>
        <v>0</v>
      </c>
      <c r="BW22" s="11">
        <f t="shared" si="76"/>
        <v>0</v>
      </c>
      <c r="BX22" s="11">
        <f t="shared" si="76"/>
        <v>0</v>
      </c>
      <c r="BY22" s="11">
        <f t="shared" si="76"/>
        <v>0</v>
      </c>
      <c r="BZ22" s="11">
        <f t="shared" si="76"/>
        <v>0</v>
      </c>
      <c r="CA22" s="11">
        <f t="shared" si="76"/>
        <v>0</v>
      </c>
      <c r="CB22" s="11">
        <f t="shared" si="76"/>
        <v>0</v>
      </c>
      <c r="CC22" s="11">
        <f t="shared" si="76"/>
        <v>0</v>
      </c>
      <c r="CD22" s="11">
        <f t="shared" si="76"/>
        <v>0</v>
      </c>
      <c r="CE22" s="88">
        <f t="shared" si="76"/>
        <v>0</v>
      </c>
    </row>
    <row r="23" spans="16:83" x14ac:dyDescent="0.35">
      <c r="P23" s="933"/>
      <c r="Q23" s="194" t="str">
        <f>$Q$7</f>
        <v/>
      </c>
      <c r="R23" s="199">
        <f t="shared" si="73"/>
        <v>0</v>
      </c>
      <c r="S23" s="121">
        <f t="shared" si="73"/>
        <v>0</v>
      </c>
      <c r="T23" s="121">
        <f t="shared" si="73"/>
        <v>0</v>
      </c>
      <c r="U23" s="121">
        <f t="shared" si="73"/>
        <v>0</v>
      </c>
      <c r="V23" s="200">
        <f t="shared" si="73"/>
        <v>0</v>
      </c>
      <c r="W23" s="201">
        <v>0</v>
      </c>
      <c r="X23" s="201">
        <f t="shared" ref="X23:BS23" si="77">X7*X39</f>
        <v>0</v>
      </c>
      <c r="Y23" s="11">
        <f t="shared" si="77"/>
        <v>0</v>
      </c>
      <c r="Z23" s="11">
        <f t="shared" si="77"/>
        <v>0</v>
      </c>
      <c r="AA23" s="11">
        <f t="shared" si="77"/>
        <v>0</v>
      </c>
      <c r="AB23" s="11">
        <f t="shared" si="77"/>
        <v>0</v>
      </c>
      <c r="AC23" s="11">
        <f t="shared" si="77"/>
        <v>0</v>
      </c>
      <c r="AD23" s="11">
        <f t="shared" si="77"/>
        <v>0</v>
      </c>
      <c r="AE23" s="11">
        <f t="shared" si="77"/>
        <v>0</v>
      </c>
      <c r="AF23" s="11">
        <f t="shared" si="77"/>
        <v>0</v>
      </c>
      <c r="AG23" s="11">
        <f t="shared" si="77"/>
        <v>0</v>
      </c>
      <c r="AH23" s="11">
        <f t="shared" si="77"/>
        <v>0</v>
      </c>
      <c r="AI23" s="71">
        <f t="shared" si="77"/>
        <v>0</v>
      </c>
      <c r="AJ23" s="201">
        <f t="shared" si="77"/>
        <v>0</v>
      </c>
      <c r="AK23" s="11">
        <f t="shared" si="77"/>
        <v>0</v>
      </c>
      <c r="AL23" s="11">
        <f t="shared" si="77"/>
        <v>0</v>
      </c>
      <c r="AM23" s="11">
        <f t="shared" si="77"/>
        <v>0</v>
      </c>
      <c r="AN23" s="11">
        <f t="shared" si="77"/>
        <v>0</v>
      </c>
      <c r="AO23" s="11">
        <f t="shared" si="77"/>
        <v>0</v>
      </c>
      <c r="AP23" s="11">
        <f t="shared" si="77"/>
        <v>0</v>
      </c>
      <c r="AQ23" s="11">
        <f t="shared" si="77"/>
        <v>0</v>
      </c>
      <c r="AR23" s="11">
        <f t="shared" si="77"/>
        <v>0</v>
      </c>
      <c r="AS23" s="11">
        <f t="shared" si="77"/>
        <v>0</v>
      </c>
      <c r="AT23" s="11">
        <f t="shared" si="77"/>
        <v>0</v>
      </c>
      <c r="AU23" s="71">
        <f t="shared" si="77"/>
        <v>0</v>
      </c>
      <c r="AV23" s="11">
        <f t="shared" si="77"/>
        <v>0</v>
      </c>
      <c r="AW23" s="11">
        <f t="shared" si="77"/>
        <v>0</v>
      </c>
      <c r="AX23" s="11">
        <f t="shared" si="77"/>
        <v>0</v>
      </c>
      <c r="AY23" s="11">
        <f t="shared" si="77"/>
        <v>0</v>
      </c>
      <c r="AZ23" s="11">
        <f t="shared" si="77"/>
        <v>0</v>
      </c>
      <c r="BA23" s="11">
        <f t="shared" si="77"/>
        <v>0</v>
      </c>
      <c r="BB23" s="11">
        <f t="shared" si="77"/>
        <v>0</v>
      </c>
      <c r="BC23" s="11">
        <f t="shared" si="77"/>
        <v>0</v>
      </c>
      <c r="BD23" s="11">
        <f t="shared" si="77"/>
        <v>0</v>
      </c>
      <c r="BE23" s="11">
        <f t="shared" si="77"/>
        <v>0</v>
      </c>
      <c r="BF23" s="11">
        <f t="shared" si="77"/>
        <v>0</v>
      </c>
      <c r="BG23" s="71">
        <f t="shared" si="77"/>
        <v>0</v>
      </c>
      <c r="BH23" s="11">
        <f t="shared" si="77"/>
        <v>0</v>
      </c>
      <c r="BI23" s="11">
        <f t="shared" si="77"/>
        <v>0</v>
      </c>
      <c r="BJ23" s="11">
        <f t="shared" si="77"/>
        <v>0</v>
      </c>
      <c r="BK23" s="11">
        <f t="shared" si="77"/>
        <v>0</v>
      </c>
      <c r="BL23" s="11">
        <f t="shared" si="77"/>
        <v>0</v>
      </c>
      <c r="BM23" s="11">
        <f t="shared" si="77"/>
        <v>0</v>
      </c>
      <c r="BN23" s="11">
        <f t="shared" si="77"/>
        <v>0</v>
      </c>
      <c r="BO23" s="11">
        <f t="shared" si="77"/>
        <v>0</v>
      </c>
      <c r="BP23" s="11">
        <f t="shared" si="77"/>
        <v>0</v>
      </c>
      <c r="BQ23" s="11">
        <f t="shared" si="77"/>
        <v>0</v>
      </c>
      <c r="BR23" s="11">
        <f t="shared" si="77"/>
        <v>0</v>
      </c>
      <c r="BS23" s="71">
        <f t="shared" si="77"/>
        <v>0</v>
      </c>
      <c r="BT23" s="11">
        <f t="shared" ref="BT23:CE23" si="78">BT7*BT39</f>
        <v>0</v>
      </c>
      <c r="BU23" s="11">
        <f t="shared" si="78"/>
        <v>0</v>
      </c>
      <c r="BV23" s="11">
        <f t="shared" si="78"/>
        <v>0</v>
      </c>
      <c r="BW23" s="11">
        <f t="shared" si="78"/>
        <v>0</v>
      </c>
      <c r="BX23" s="11">
        <f t="shared" si="78"/>
        <v>0</v>
      </c>
      <c r="BY23" s="11">
        <f t="shared" si="78"/>
        <v>0</v>
      </c>
      <c r="BZ23" s="11">
        <f t="shared" si="78"/>
        <v>0</v>
      </c>
      <c r="CA23" s="11">
        <f t="shared" si="78"/>
        <v>0</v>
      </c>
      <c r="CB23" s="11">
        <f t="shared" si="78"/>
        <v>0</v>
      </c>
      <c r="CC23" s="11">
        <f t="shared" si="78"/>
        <v>0</v>
      </c>
      <c r="CD23" s="11">
        <f t="shared" si="78"/>
        <v>0</v>
      </c>
      <c r="CE23" s="88">
        <f t="shared" si="78"/>
        <v>0</v>
      </c>
    </row>
    <row r="24" spans="16:83" x14ac:dyDescent="0.35">
      <c r="P24" s="933"/>
      <c r="Q24" s="194" t="str">
        <f>$Q$8</f>
        <v/>
      </c>
      <c r="R24" s="199">
        <f t="shared" si="73"/>
        <v>0</v>
      </c>
      <c r="S24" s="121">
        <f t="shared" si="73"/>
        <v>0</v>
      </c>
      <c r="T24" s="121">
        <f t="shared" si="73"/>
        <v>0</v>
      </c>
      <c r="U24" s="121">
        <f t="shared" si="73"/>
        <v>0</v>
      </c>
      <c r="V24" s="200">
        <f t="shared" si="73"/>
        <v>0</v>
      </c>
      <c r="W24" s="201">
        <v>0</v>
      </c>
      <c r="X24" s="201">
        <f t="shared" ref="X24:BS24" si="79">X8*X40</f>
        <v>0</v>
      </c>
      <c r="Y24" s="11">
        <f t="shared" si="79"/>
        <v>0</v>
      </c>
      <c r="Z24" s="11">
        <f t="shared" si="79"/>
        <v>0</v>
      </c>
      <c r="AA24" s="11">
        <f t="shared" si="79"/>
        <v>0</v>
      </c>
      <c r="AB24" s="11">
        <f t="shared" si="79"/>
        <v>0</v>
      </c>
      <c r="AC24" s="11">
        <f t="shared" si="79"/>
        <v>0</v>
      </c>
      <c r="AD24" s="11">
        <f t="shared" si="79"/>
        <v>0</v>
      </c>
      <c r="AE24" s="11">
        <f t="shared" si="79"/>
        <v>0</v>
      </c>
      <c r="AF24" s="11">
        <f t="shared" si="79"/>
        <v>0</v>
      </c>
      <c r="AG24" s="11">
        <f t="shared" si="79"/>
        <v>0</v>
      </c>
      <c r="AH24" s="11">
        <f t="shared" si="79"/>
        <v>0</v>
      </c>
      <c r="AI24" s="71">
        <f t="shared" si="79"/>
        <v>0</v>
      </c>
      <c r="AJ24" s="201">
        <f t="shared" si="79"/>
        <v>0</v>
      </c>
      <c r="AK24" s="11">
        <f t="shared" si="79"/>
        <v>0</v>
      </c>
      <c r="AL24" s="11">
        <f t="shared" si="79"/>
        <v>0</v>
      </c>
      <c r="AM24" s="11">
        <f t="shared" si="79"/>
        <v>0</v>
      </c>
      <c r="AN24" s="11">
        <f t="shared" si="79"/>
        <v>0</v>
      </c>
      <c r="AO24" s="11">
        <f t="shared" si="79"/>
        <v>0</v>
      </c>
      <c r="AP24" s="11">
        <f t="shared" si="79"/>
        <v>0</v>
      </c>
      <c r="AQ24" s="11">
        <f t="shared" si="79"/>
        <v>0</v>
      </c>
      <c r="AR24" s="11">
        <f t="shared" si="79"/>
        <v>0</v>
      </c>
      <c r="AS24" s="11">
        <f t="shared" si="79"/>
        <v>0</v>
      </c>
      <c r="AT24" s="11">
        <f t="shared" si="79"/>
        <v>0</v>
      </c>
      <c r="AU24" s="71">
        <f t="shared" si="79"/>
        <v>0</v>
      </c>
      <c r="AV24" s="11">
        <f t="shared" si="79"/>
        <v>0</v>
      </c>
      <c r="AW24" s="11">
        <f t="shared" si="79"/>
        <v>0</v>
      </c>
      <c r="AX24" s="11">
        <f t="shared" si="79"/>
        <v>0</v>
      </c>
      <c r="AY24" s="11">
        <f t="shared" si="79"/>
        <v>0</v>
      </c>
      <c r="AZ24" s="11">
        <f t="shared" si="79"/>
        <v>0</v>
      </c>
      <c r="BA24" s="11">
        <f t="shared" si="79"/>
        <v>0</v>
      </c>
      <c r="BB24" s="11">
        <f t="shared" si="79"/>
        <v>0</v>
      </c>
      <c r="BC24" s="11">
        <f t="shared" si="79"/>
        <v>0</v>
      </c>
      <c r="BD24" s="11">
        <f t="shared" si="79"/>
        <v>0</v>
      </c>
      <c r="BE24" s="11">
        <f t="shared" si="79"/>
        <v>0</v>
      </c>
      <c r="BF24" s="11">
        <f t="shared" si="79"/>
        <v>0</v>
      </c>
      <c r="BG24" s="71">
        <f t="shared" si="79"/>
        <v>0</v>
      </c>
      <c r="BH24" s="11">
        <f t="shared" si="79"/>
        <v>0</v>
      </c>
      <c r="BI24" s="11">
        <f t="shared" si="79"/>
        <v>0</v>
      </c>
      <c r="BJ24" s="11">
        <f t="shared" si="79"/>
        <v>0</v>
      </c>
      <c r="BK24" s="11">
        <f t="shared" si="79"/>
        <v>0</v>
      </c>
      <c r="BL24" s="11">
        <f t="shared" si="79"/>
        <v>0</v>
      </c>
      <c r="BM24" s="11">
        <f t="shared" si="79"/>
        <v>0</v>
      </c>
      <c r="BN24" s="11">
        <f t="shared" si="79"/>
        <v>0</v>
      </c>
      <c r="BO24" s="11">
        <f t="shared" si="79"/>
        <v>0</v>
      </c>
      <c r="BP24" s="11">
        <f t="shared" si="79"/>
        <v>0</v>
      </c>
      <c r="BQ24" s="11">
        <f t="shared" si="79"/>
        <v>0</v>
      </c>
      <c r="BR24" s="11">
        <f t="shared" si="79"/>
        <v>0</v>
      </c>
      <c r="BS24" s="71">
        <f t="shared" si="79"/>
        <v>0</v>
      </c>
      <c r="BT24" s="11">
        <f t="shared" ref="BT24:CE24" si="80">BT8*BT40</f>
        <v>0</v>
      </c>
      <c r="BU24" s="11">
        <f t="shared" si="80"/>
        <v>0</v>
      </c>
      <c r="BV24" s="11">
        <f t="shared" si="80"/>
        <v>0</v>
      </c>
      <c r="BW24" s="11">
        <f t="shared" si="80"/>
        <v>0</v>
      </c>
      <c r="BX24" s="11">
        <f t="shared" si="80"/>
        <v>0</v>
      </c>
      <c r="BY24" s="11">
        <f t="shared" si="80"/>
        <v>0</v>
      </c>
      <c r="BZ24" s="11">
        <f t="shared" si="80"/>
        <v>0</v>
      </c>
      <c r="CA24" s="11">
        <f t="shared" si="80"/>
        <v>0</v>
      </c>
      <c r="CB24" s="11">
        <f t="shared" si="80"/>
        <v>0</v>
      </c>
      <c r="CC24" s="11">
        <f t="shared" si="80"/>
        <v>0</v>
      </c>
      <c r="CD24" s="11">
        <f t="shared" si="80"/>
        <v>0</v>
      </c>
      <c r="CE24" s="88">
        <f t="shared" si="80"/>
        <v>0</v>
      </c>
    </row>
    <row r="25" spans="16:83" x14ac:dyDescent="0.35">
      <c r="P25" s="933"/>
      <c r="Q25" s="194" t="str">
        <f>$Q$9</f>
        <v/>
      </c>
      <c r="R25" s="199">
        <f t="shared" si="73"/>
        <v>0</v>
      </c>
      <c r="S25" s="121">
        <f t="shared" si="73"/>
        <v>0</v>
      </c>
      <c r="T25" s="121">
        <f t="shared" si="73"/>
        <v>0</v>
      </c>
      <c r="U25" s="121">
        <f t="shared" si="73"/>
        <v>0</v>
      </c>
      <c r="V25" s="200">
        <f t="shared" si="73"/>
        <v>0</v>
      </c>
      <c r="W25" s="201">
        <v>0</v>
      </c>
      <c r="X25" s="201">
        <f t="shared" ref="X25:BS25" si="81">X9*X41</f>
        <v>0</v>
      </c>
      <c r="Y25" s="11">
        <f t="shared" si="81"/>
        <v>0</v>
      </c>
      <c r="Z25" s="11">
        <f t="shared" si="81"/>
        <v>0</v>
      </c>
      <c r="AA25" s="11">
        <f t="shared" si="81"/>
        <v>0</v>
      </c>
      <c r="AB25" s="11">
        <f t="shared" si="81"/>
        <v>0</v>
      </c>
      <c r="AC25" s="11">
        <f t="shared" si="81"/>
        <v>0</v>
      </c>
      <c r="AD25" s="11">
        <f t="shared" si="81"/>
        <v>0</v>
      </c>
      <c r="AE25" s="11">
        <f t="shared" si="81"/>
        <v>0</v>
      </c>
      <c r="AF25" s="11">
        <f t="shared" si="81"/>
        <v>0</v>
      </c>
      <c r="AG25" s="11">
        <f t="shared" si="81"/>
        <v>0</v>
      </c>
      <c r="AH25" s="11">
        <f t="shared" si="81"/>
        <v>0</v>
      </c>
      <c r="AI25" s="71">
        <f t="shared" si="81"/>
        <v>0</v>
      </c>
      <c r="AJ25" s="201">
        <f t="shared" si="81"/>
        <v>0</v>
      </c>
      <c r="AK25" s="11">
        <f t="shared" si="81"/>
        <v>0</v>
      </c>
      <c r="AL25" s="11">
        <f t="shared" si="81"/>
        <v>0</v>
      </c>
      <c r="AM25" s="11">
        <f t="shared" si="81"/>
        <v>0</v>
      </c>
      <c r="AN25" s="11">
        <f t="shared" si="81"/>
        <v>0</v>
      </c>
      <c r="AO25" s="11">
        <f t="shared" si="81"/>
        <v>0</v>
      </c>
      <c r="AP25" s="11">
        <f t="shared" si="81"/>
        <v>0</v>
      </c>
      <c r="AQ25" s="11">
        <f t="shared" si="81"/>
        <v>0</v>
      </c>
      <c r="AR25" s="11">
        <f t="shared" si="81"/>
        <v>0</v>
      </c>
      <c r="AS25" s="11">
        <f t="shared" si="81"/>
        <v>0</v>
      </c>
      <c r="AT25" s="11">
        <f t="shared" si="81"/>
        <v>0</v>
      </c>
      <c r="AU25" s="71">
        <f t="shared" si="81"/>
        <v>0</v>
      </c>
      <c r="AV25" s="11">
        <f t="shared" si="81"/>
        <v>0</v>
      </c>
      <c r="AW25" s="11">
        <f t="shared" si="81"/>
        <v>0</v>
      </c>
      <c r="AX25" s="11">
        <f t="shared" si="81"/>
        <v>0</v>
      </c>
      <c r="AY25" s="11">
        <f t="shared" si="81"/>
        <v>0</v>
      </c>
      <c r="AZ25" s="11">
        <f t="shared" si="81"/>
        <v>0</v>
      </c>
      <c r="BA25" s="11">
        <f t="shared" si="81"/>
        <v>0</v>
      </c>
      <c r="BB25" s="11">
        <f t="shared" si="81"/>
        <v>0</v>
      </c>
      <c r="BC25" s="11">
        <f t="shared" si="81"/>
        <v>0</v>
      </c>
      <c r="BD25" s="11">
        <f t="shared" si="81"/>
        <v>0</v>
      </c>
      <c r="BE25" s="11">
        <f t="shared" si="81"/>
        <v>0</v>
      </c>
      <c r="BF25" s="11">
        <f t="shared" si="81"/>
        <v>0</v>
      </c>
      <c r="BG25" s="71">
        <f t="shared" si="81"/>
        <v>0</v>
      </c>
      <c r="BH25" s="11">
        <f t="shared" si="81"/>
        <v>0</v>
      </c>
      <c r="BI25" s="11">
        <f t="shared" si="81"/>
        <v>0</v>
      </c>
      <c r="BJ25" s="11">
        <f t="shared" si="81"/>
        <v>0</v>
      </c>
      <c r="BK25" s="11">
        <f t="shared" si="81"/>
        <v>0</v>
      </c>
      <c r="BL25" s="11">
        <f t="shared" si="81"/>
        <v>0</v>
      </c>
      <c r="BM25" s="11">
        <f t="shared" si="81"/>
        <v>0</v>
      </c>
      <c r="BN25" s="11">
        <f t="shared" si="81"/>
        <v>0</v>
      </c>
      <c r="BO25" s="11">
        <f t="shared" si="81"/>
        <v>0</v>
      </c>
      <c r="BP25" s="11">
        <f t="shared" si="81"/>
        <v>0</v>
      </c>
      <c r="BQ25" s="11">
        <f t="shared" si="81"/>
        <v>0</v>
      </c>
      <c r="BR25" s="11">
        <f t="shared" si="81"/>
        <v>0</v>
      </c>
      <c r="BS25" s="71">
        <f t="shared" si="81"/>
        <v>0</v>
      </c>
      <c r="BT25" s="11">
        <f t="shared" ref="BT25:CE25" si="82">BT9*BT41</f>
        <v>0</v>
      </c>
      <c r="BU25" s="11">
        <f t="shared" si="82"/>
        <v>0</v>
      </c>
      <c r="BV25" s="11">
        <f t="shared" si="82"/>
        <v>0</v>
      </c>
      <c r="BW25" s="11">
        <f t="shared" si="82"/>
        <v>0</v>
      </c>
      <c r="BX25" s="11">
        <f t="shared" si="82"/>
        <v>0</v>
      </c>
      <c r="BY25" s="11">
        <f t="shared" si="82"/>
        <v>0</v>
      </c>
      <c r="BZ25" s="11">
        <f t="shared" si="82"/>
        <v>0</v>
      </c>
      <c r="CA25" s="11">
        <f t="shared" si="82"/>
        <v>0</v>
      </c>
      <c r="CB25" s="11">
        <f t="shared" si="82"/>
        <v>0</v>
      </c>
      <c r="CC25" s="11">
        <f t="shared" si="82"/>
        <v>0</v>
      </c>
      <c r="CD25" s="11">
        <f t="shared" si="82"/>
        <v>0</v>
      </c>
      <c r="CE25" s="88">
        <f t="shared" si="82"/>
        <v>0</v>
      </c>
    </row>
    <row r="26" spans="16:83" x14ac:dyDescent="0.35">
      <c r="P26" s="933"/>
      <c r="Q26" s="194" t="str">
        <f>$Q$10</f>
        <v/>
      </c>
      <c r="R26" s="199">
        <f t="shared" si="73"/>
        <v>0</v>
      </c>
      <c r="S26" s="121">
        <f t="shared" si="73"/>
        <v>0</v>
      </c>
      <c r="T26" s="121">
        <f t="shared" si="73"/>
        <v>0</v>
      </c>
      <c r="U26" s="121">
        <f t="shared" si="73"/>
        <v>0</v>
      </c>
      <c r="V26" s="200">
        <f t="shared" si="73"/>
        <v>0</v>
      </c>
      <c r="W26" s="201">
        <v>0</v>
      </c>
      <c r="X26" s="201">
        <f t="shared" ref="X26:BS26" si="83">X10*X42</f>
        <v>0</v>
      </c>
      <c r="Y26" s="11">
        <f t="shared" si="83"/>
        <v>0</v>
      </c>
      <c r="Z26" s="11">
        <f t="shared" si="83"/>
        <v>0</v>
      </c>
      <c r="AA26" s="11">
        <f t="shared" si="83"/>
        <v>0</v>
      </c>
      <c r="AB26" s="11">
        <f t="shared" si="83"/>
        <v>0</v>
      </c>
      <c r="AC26" s="11">
        <f t="shared" si="83"/>
        <v>0</v>
      </c>
      <c r="AD26" s="11">
        <f t="shared" si="83"/>
        <v>0</v>
      </c>
      <c r="AE26" s="11">
        <f t="shared" si="83"/>
        <v>0</v>
      </c>
      <c r="AF26" s="11">
        <f t="shared" si="83"/>
        <v>0</v>
      </c>
      <c r="AG26" s="11">
        <f t="shared" si="83"/>
        <v>0</v>
      </c>
      <c r="AH26" s="11">
        <f t="shared" si="83"/>
        <v>0</v>
      </c>
      <c r="AI26" s="71">
        <f t="shared" si="83"/>
        <v>0</v>
      </c>
      <c r="AJ26" s="201">
        <f t="shared" si="83"/>
        <v>0</v>
      </c>
      <c r="AK26" s="11">
        <f t="shared" si="83"/>
        <v>0</v>
      </c>
      <c r="AL26" s="11">
        <f t="shared" si="83"/>
        <v>0</v>
      </c>
      <c r="AM26" s="11">
        <f t="shared" si="83"/>
        <v>0</v>
      </c>
      <c r="AN26" s="11">
        <f t="shared" si="83"/>
        <v>0</v>
      </c>
      <c r="AO26" s="11">
        <f t="shared" si="83"/>
        <v>0</v>
      </c>
      <c r="AP26" s="11">
        <f t="shared" si="83"/>
        <v>0</v>
      </c>
      <c r="AQ26" s="11">
        <f t="shared" si="83"/>
        <v>0</v>
      </c>
      <c r="AR26" s="11">
        <f t="shared" si="83"/>
        <v>0</v>
      </c>
      <c r="AS26" s="11">
        <f t="shared" si="83"/>
        <v>0</v>
      </c>
      <c r="AT26" s="11">
        <f t="shared" si="83"/>
        <v>0</v>
      </c>
      <c r="AU26" s="71">
        <f t="shared" si="83"/>
        <v>0</v>
      </c>
      <c r="AV26" s="11">
        <f t="shared" si="83"/>
        <v>0</v>
      </c>
      <c r="AW26" s="11">
        <f t="shared" si="83"/>
        <v>0</v>
      </c>
      <c r="AX26" s="11">
        <f t="shared" si="83"/>
        <v>0</v>
      </c>
      <c r="AY26" s="11">
        <f t="shared" si="83"/>
        <v>0</v>
      </c>
      <c r="AZ26" s="11">
        <f t="shared" si="83"/>
        <v>0</v>
      </c>
      <c r="BA26" s="11">
        <f t="shared" si="83"/>
        <v>0</v>
      </c>
      <c r="BB26" s="11">
        <f t="shared" si="83"/>
        <v>0</v>
      </c>
      <c r="BC26" s="11">
        <f t="shared" si="83"/>
        <v>0</v>
      </c>
      <c r="BD26" s="11">
        <f t="shared" si="83"/>
        <v>0</v>
      </c>
      <c r="BE26" s="11">
        <f t="shared" si="83"/>
        <v>0</v>
      </c>
      <c r="BF26" s="11">
        <f t="shared" si="83"/>
        <v>0</v>
      </c>
      <c r="BG26" s="71">
        <f t="shared" si="83"/>
        <v>0</v>
      </c>
      <c r="BH26" s="11">
        <f t="shared" si="83"/>
        <v>0</v>
      </c>
      <c r="BI26" s="11">
        <f t="shared" si="83"/>
        <v>0</v>
      </c>
      <c r="BJ26" s="11">
        <f t="shared" si="83"/>
        <v>0</v>
      </c>
      <c r="BK26" s="11">
        <f t="shared" si="83"/>
        <v>0</v>
      </c>
      <c r="BL26" s="11">
        <f t="shared" si="83"/>
        <v>0</v>
      </c>
      <c r="BM26" s="11">
        <f t="shared" si="83"/>
        <v>0</v>
      </c>
      <c r="BN26" s="11">
        <f t="shared" si="83"/>
        <v>0</v>
      </c>
      <c r="BO26" s="11">
        <f t="shared" si="83"/>
        <v>0</v>
      </c>
      <c r="BP26" s="11">
        <f t="shared" si="83"/>
        <v>0</v>
      </c>
      <c r="BQ26" s="11">
        <f t="shared" si="83"/>
        <v>0</v>
      </c>
      <c r="BR26" s="11">
        <f t="shared" si="83"/>
        <v>0</v>
      </c>
      <c r="BS26" s="71">
        <f t="shared" si="83"/>
        <v>0</v>
      </c>
      <c r="BT26" s="11">
        <f t="shared" ref="BT26:CE26" si="84">BT10*BT42</f>
        <v>0</v>
      </c>
      <c r="BU26" s="11">
        <f t="shared" si="84"/>
        <v>0</v>
      </c>
      <c r="BV26" s="11">
        <f t="shared" si="84"/>
        <v>0</v>
      </c>
      <c r="BW26" s="11">
        <f t="shared" si="84"/>
        <v>0</v>
      </c>
      <c r="BX26" s="11">
        <f t="shared" si="84"/>
        <v>0</v>
      </c>
      <c r="BY26" s="11">
        <f t="shared" si="84"/>
        <v>0</v>
      </c>
      <c r="BZ26" s="11">
        <f t="shared" si="84"/>
        <v>0</v>
      </c>
      <c r="CA26" s="11">
        <f t="shared" si="84"/>
        <v>0</v>
      </c>
      <c r="CB26" s="11">
        <f t="shared" si="84"/>
        <v>0</v>
      </c>
      <c r="CC26" s="11">
        <f t="shared" si="84"/>
        <v>0</v>
      </c>
      <c r="CD26" s="11">
        <f t="shared" si="84"/>
        <v>0</v>
      </c>
      <c r="CE26" s="88">
        <f t="shared" si="84"/>
        <v>0</v>
      </c>
    </row>
    <row r="27" spans="16:83" x14ac:dyDescent="0.35">
      <c r="P27" s="933"/>
      <c r="Q27" s="194" t="str">
        <f>$Q$11</f>
        <v/>
      </c>
      <c r="R27" s="199">
        <f t="shared" si="73"/>
        <v>0</v>
      </c>
      <c r="S27" s="121">
        <f t="shared" si="73"/>
        <v>0</v>
      </c>
      <c r="T27" s="121">
        <f t="shared" si="73"/>
        <v>0</v>
      </c>
      <c r="U27" s="121">
        <f t="shared" si="73"/>
        <v>0</v>
      </c>
      <c r="V27" s="200">
        <f t="shared" si="73"/>
        <v>0</v>
      </c>
      <c r="W27" s="201">
        <v>0</v>
      </c>
      <c r="X27" s="201">
        <f t="shared" ref="X27:BS27" si="85">X11*X43</f>
        <v>0</v>
      </c>
      <c r="Y27" s="11">
        <f t="shared" si="85"/>
        <v>0</v>
      </c>
      <c r="Z27" s="11">
        <f t="shared" si="85"/>
        <v>0</v>
      </c>
      <c r="AA27" s="11">
        <f t="shared" si="85"/>
        <v>0</v>
      </c>
      <c r="AB27" s="11">
        <f t="shared" si="85"/>
        <v>0</v>
      </c>
      <c r="AC27" s="11">
        <f t="shared" si="85"/>
        <v>0</v>
      </c>
      <c r="AD27" s="11">
        <f t="shared" si="85"/>
        <v>0</v>
      </c>
      <c r="AE27" s="11">
        <f t="shared" si="85"/>
        <v>0</v>
      </c>
      <c r="AF27" s="11">
        <f t="shared" si="85"/>
        <v>0</v>
      </c>
      <c r="AG27" s="11">
        <f t="shared" si="85"/>
        <v>0</v>
      </c>
      <c r="AH27" s="11">
        <f t="shared" si="85"/>
        <v>0</v>
      </c>
      <c r="AI27" s="71">
        <f t="shared" si="85"/>
        <v>0</v>
      </c>
      <c r="AJ27" s="201">
        <f t="shared" si="85"/>
        <v>0</v>
      </c>
      <c r="AK27" s="11">
        <f t="shared" si="85"/>
        <v>0</v>
      </c>
      <c r="AL27" s="11">
        <f t="shared" si="85"/>
        <v>0</v>
      </c>
      <c r="AM27" s="11">
        <f t="shared" si="85"/>
        <v>0</v>
      </c>
      <c r="AN27" s="11">
        <f t="shared" si="85"/>
        <v>0</v>
      </c>
      <c r="AO27" s="11">
        <f t="shared" si="85"/>
        <v>0</v>
      </c>
      <c r="AP27" s="11">
        <f t="shared" si="85"/>
        <v>0</v>
      </c>
      <c r="AQ27" s="11">
        <f t="shared" si="85"/>
        <v>0</v>
      </c>
      <c r="AR27" s="11">
        <f t="shared" si="85"/>
        <v>0</v>
      </c>
      <c r="AS27" s="11">
        <f t="shared" si="85"/>
        <v>0</v>
      </c>
      <c r="AT27" s="11">
        <f t="shared" si="85"/>
        <v>0</v>
      </c>
      <c r="AU27" s="71">
        <f t="shared" si="85"/>
        <v>0</v>
      </c>
      <c r="AV27" s="11">
        <f t="shared" si="85"/>
        <v>0</v>
      </c>
      <c r="AW27" s="11">
        <f t="shared" si="85"/>
        <v>0</v>
      </c>
      <c r="AX27" s="11">
        <f t="shared" si="85"/>
        <v>0</v>
      </c>
      <c r="AY27" s="11">
        <f t="shared" si="85"/>
        <v>0</v>
      </c>
      <c r="AZ27" s="11">
        <f t="shared" si="85"/>
        <v>0</v>
      </c>
      <c r="BA27" s="11">
        <f t="shared" si="85"/>
        <v>0</v>
      </c>
      <c r="BB27" s="11">
        <f t="shared" si="85"/>
        <v>0</v>
      </c>
      <c r="BC27" s="11">
        <f t="shared" si="85"/>
        <v>0</v>
      </c>
      <c r="BD27" s="11">
        <f t="shared" si="85"/>
        <v>0</v>
      </c>
      <c r="BE27" s="11">
        <f t="shared" si="85"/>
        <v>0</v>
      </c>
      <c r="BF27" s="11">
        <f t="shared" si="85"/>
        <v>0</v>
      </c>
      <c r="BG27" s="71">
        <f t="shared" si="85"/>
        <v>0</v>
      </c>
      <c r="BH27" s="11">
        <f t="shared" si="85"/>
        <v>0</v>
      </c>
      <c r="BI27" s="11">
        <f t="shared" si="85"/>
        <v>0</v>
      </c>
      <c r="BJ27" s="11">
        <f t="shared" si="85"/>
        <v>0</v>
      </c>
      <c r="BK27" s="11">
        <f t="shared" si="85"/>
        <v>0</v>
      </c>
      <c r="BL27" s="11">
        <f t="shared" si="85"/>
        <v>0</v>
      </c>
      <c r="BM27" s="11">
        <f t="shared" si="85"/>
        <v>0</v>
      </c>
      <c r="BN27" s="11">
        <f t="shared" si="85"/>
        <v>0</v>
      </c>
      <c r="BO27" s="11">
        <f t="shared" si="85"/>
        <v>0</v>
      </c>
      <c r="BP27" s="11">
        <f t="shared" si="85"/>
        <v>0</v>
      </c>
      <c r="BQ27" s="11">
        <f t="shared" si="85"/>
        <v>0</v>
      </c>
      <c r="BR27" s="11">
        <f t="shared" si="85"/>
        <v>0</v>
      </c>
      <c r="BS27" s="71">
        <f t="shared" si="85"/>
        <v>0</v>
      </c>
      <c r="BT27" s="11">
        <f t="shared" ref="BT27:CE27" si="86">BT11*BT43</f>
        <v>0</v>
      </c>
      <c r="BU27" s="11">
        <f t="shared" si="86"/>
        <v>0</v>
      </c>
      <c r="BV27" s="11">
        <f t="shared" si="86"/>
        <v>0</v>
      </c>
      <c r="BW27" s="11">
        <f t="shared" si="86"/>
        <v>0</v>
      </c>
      <c r="BX27" s="11">
        <f t="shared" si="86"/>
        <v>0</v>
      </c>
      <c r="BY27" s="11">
        <f t="shared" si="86"/>
        <v>0</v>
      </c>
      <c r="BZ27" s="11">
        <f t="shared" si="86"/>
        <v>0</v>
      </c>
      <c r="CA27" s="11">
        <f t="shared" si="86"/>
        <v>0</v>
      </c>
      <c r="CB27" s="11">
        <f t="shared" si="86"/>
        <v>0</v>
      </c>
      <c r="CC27" s="11">
        <f t="shared" si="86"/>
        <v>0</v>
      </c>
      <c r="CD27" s="11">
        <f t="shared" si="86"/>
        <v>0</v>
      </c>
      <c r="CE27" s="88">
        <f t="shared" si="86"/>
        <v>0</v>
      </c>
    </row>
    <row r="28" spans="16:83" x14ac:dyDescent="0.35">
      <c r="P28" s="933"/>
      <c r="Q28" s="196" t="str">
        <f>$Q$12</f>
        <v/>
      </c>
      <c r="R28" s="199">
        <f t="shared" si="73"/>
        <v>0</v>
      </c>
      <c r="S28" s="121">
        <f t="shared" si="73"/>
        <v>0</v>
      </c>
      <c r="T28" s="121">
        <f t="shared" si="73"/>
        <v>0</v>
      </c>
      <c r="U28" s="121">
        <f t="shared" si="73"/>
        <v>0</v>
      </c>
      <c r="V28" s="200">
        <f t="shared" si="73"/>
        <v>0</v>
      </c>
      <c r="W28" s="201">
        <v>0</v>
      </c>
      <c r="X28" s="201">
        <f t="shared" ref="X28:BS28" si="87">X12*X44</f>
        <v>0</v>
      </c>
      <c r="Y28" s="11">
        <f t="shared" si="87"/>
        <v>0</v>
      </c>
      <c r="Z28" s="11">
        <f t="shared" si="87"/>
        <v>0</v>
      </c>
      <c r="AA28" s="11">
        <f t="shared" si="87"/>
        <v>0</v>
      </c>
      <c r="AB28" s="11">
        <f t="shared" si="87"/>
        <v>0</v>
      </c>
      <c r="AC28" s="11">
        <f t="shared" si="87"/>
        <v>0</v>
      </c>
      <c r="AD28" s="11">
        <f t="shared" si="87"/>
        <v>0</v>
      </c>
      <c r="AE28" s="11">
        <f t="shared" si="87"/>
        <v>0</v>
      </c>
      <c r="AF28" s="11">
        <f t="shared" si="87"/>
        <v>0</v>
      </c>
      <c r="AG28" s="11">
        <f t="shared" si="87"/>
        <v>0</v>
      </c>
      <c r="AH28" s="11">
        <f t="shared" si="87"/>
        <v>0</v>
      </c>
      <c r="AI28" s="71">
        <f t="shared" si="87"/>
        <v>0</v>
      </c>
      <c r="AJ28" s="201">
        <f t="shared" si="87"/>
        <v>0</v>
      </c>
      <c r="AK28" s="11">
        <f t="shared" si="87"/>
        <v>0</v>
      </c>
      <c r="AL28" s="11">
        <f t="shared" si="87"/>
        <v>0</v>
      </c>
      <c r="AM28" s="11">
        <f t="shared" si="87"/>
        <v>0</v>
      </c>
      <c r="AN28" s="11">
        <f t="shared" si="87"/>
        <v>0</v>
      </c>
      <c r="AO28" s="11">
        <f t="shared" si="87"/>
        <v>0</v>
      </c>
      <c r="AP28" s="11">
        <f t="shared" si="87"/>
        <v>0</v>
      </c>
      <c r="AQ28" s="11">
        <f t="shared" si="87"/>
        <v>0</v>
      </c>
      <c r="AR28" s="11">
        <f t="shared" si="87"/>
        <v>0</v>
      </c>
      <c r="AS28" s="11">
        <f t="shared" si="87"/>
        <v>0</v>
      </c>
      <c r="AT28" s="11">
        <f t="shared" si="87"/>
        <v>0</v>
      </c>
      <c r="AU28" s="71">
        <f t="shared" si="87"/>
        <v>0</v>
      </c>
      <c r="AV28" s="11">
        <f t="shared" si="87"/>
        <v>0</v>
      </c>
      <c r="AW28" s="11">
        <f t="shared" si="87"/>
        <v>0</v>
      </c>
      <c r="AX28" s="11">
        <f t="shared" si="87"/>
        <v>0</v>
      </c>
      <c r="AY28" s="11">
        <f t="shared" si="87"/>
        <v>0</v>
      </c>
      <c r="AZ28" s="11">
        <f t="shared" si="87"/>
        <v>0</v>
      </c>
      <c r="BA28" s="11">
        <f t="shared" si="87"/>
        <v>0</v>
      </c>
      <c r="BB28" s="11">
        <f t="shared" si="87"/>
        <v>0</v>
      </c>
      <c r="BC28" s="11">
        <f t="shared" si="87"/>
        <v>0</v>
      </c>
      <c r="BD28" s="11">
        <f t="shared" si="87"/>
        <v>0</v>
      </c>
      <c r="BE28" s="11">
        <f t="shared" si="87"/>
        <v>0</v>
      </c>
      <c r="BF28" s="11">
        <f t="shared" si="87"/>
        <v>0</v>
      </c>
      <c r="BG28" s="71">
        <f t="shared" si="87"/>
        <v>0</v>
      </c>
      <c r="BH28" s="11">
        <f t="shared" si="87"/>
        <v>0</v>
      </c>
      <c r="BI28" s="11">
        <f t="shared" si="87"/>
        <v>0</v>
      </c>
      <c r="BJ28" s="11">
        <f t="shared" si="87"/>
        <v>0</v>
      </c>
      <c r="BK28" s="11">
        <f t="shared" si="87"/>
        <v>0</v>
      </c>
      <c r="BL28" s="11">
        <f t="shared" si="87"/>
        <v>0</v>
      </c>
      <c r="BM28" s="11">
        <f t="shared" si="87"/>
        <v>0</v>
      </c>
      <c r="BN28" s="11">
        <f t="shared" si="87"/>
        <v>0</v>
      </c>
      <c r="BO28" s="11">
        <f t="shared" si="87"/>
        <v>0</v>
      </c>
      <c r="BP28" s="11">
        <f t="shared" si="87"/>
        <v>0</v>
      </c>
      <c r="BQ28" s="11">
        <f t="shared" si="87"/>
        <v>0</v>
      </c>
      <c r="BR28" s="11">
        <f t="shared" si="87"/>
        <v>0</v>
      </c>
      <c r="BS28" s="71">
        <f t="shared" si="87"/>
        <v>0</v>
      </c>
      <c r="BT28" s="11">
        <f t="shared" ref="BT28:CE28" si="88">BT12*BT44</f>
        <v>0</v>
      </c>
      <c r="BU28" s="11">
        <f t="shared" si="88"/>
        <v>0</v>
      </c>
      <c r="BV28" s="11">
        <f t="shared" si="88"/>
        <v>0</v>
      </c>
      <c r="BW28" s="11">
        <f t="shared" si="88"/>
        <v>0</v>
      </c>
      <c r="BX28" s="11">
        <f t="shared" si="88"/>
        <v>0</v>
      </c>
      <c r="BY28" s="11">
        <f t="shared" si="88"/>
        <v>0</v>
      </c>
      <c r="BZ28" s="11">
        <f t="shared" si="88"/>
        <v>0</v>
      </c>
      <c r="CA28" s="11">
        <f t="shared" si="88"/>
        <v>0</v>
      </c>
      <c r="CB28" s="11">
        <f t="shared" si="88"/>
        <v>0</v>
      </c>
      <c r="CC28" s="11">
        <f t="shared" si="88"/>
        <v>0</v>
      </c>
      <c r="CD28" s="11">
        <f t="shared" si="88"/>
        <v>0</v>
      </c>
      <c r="CE28" s="88">
        <f t="shared" si="88"/>
        <v>0</v>
      </c>
    </row>
    <row r="29" spans="16:83" x14ac:dyDescent="0.35">
      <c r="P29" s="933"/>
      <c r="Q29" s="196" t="str">
        <f>$Q$13</f>
        <v/>
      </c>
      <c r="R29" s="199">
        <f t="shared" si="73"/>
        <v>0</v>
      </c>
      <c r="S29" s="121">
        <f t="shared" si="73"/>
        <v>0</v>
      </c>
      <c r="T29" s="121">
        <f t="shared" si="73"/>
        <v>0</v>
      </c>
      <c r="U29" s="121">
        <f t="shared" si="73"/>
        <v>0</v>
      </c>
      <c r="V29" s="200">
        <f t="shared" si="73"/>
        <v>0</v>
      </c>
      <c r="W29" s="201">
        <v>0</v>
      </c>
      <c r="X29" s="201">
        <f t="shared" ref="X29:BS29" si="89">X13*X45</f>
        <v>0</v>
      </c>
      <c r="Y29" s="11">
        <f t="shared" si="89"/>
        <v>0</v>
      </c>
      <c r="Z29" s="11">
        <f t="shared" si="89"/>
        <v>0</v>
      </c>
      <c r="AA29" s="11">
        <f t="shared" si="89"/>
        <v>0</v>
      </c>
      <c r="AB29" s="11">
        <f t="shared" si="89"/>
        <v>0</v>
      </c>
      <c r="AC29" s="11">
        <f t="shared" si="89"/>
        <v>0</v>
      </c>
      <c r="AD29" s="11">
        <f t="shared" si="89"/>
        <v>0</v>
      </c>
      <c r="AE29" s="11">
        <f t="shared" si="89"/>
        <v>0</v>
      </c>
      <c r="AF29" s="11">
        <f t="shared" si="89"/>
        <v>0</v>
      </c>
      <c r="AG29" s="11">
        <f t="shared" si="89"/>
        <v>0</v>
      </c>
      <c r="AH29" s="11">
        <f t="shared" si="89"/>
        <v>0</v>
      </c>
      <c r="AI29" s="71">
        <f t="shared" si="89"/>
        <v>0</v>
      </c>
      <c r="AJ29" s="201">
        <f t="shared" si="89"/>
        <v>0</v>
      </c>
      <c r="AK29" s="11">
        <f t="shared" si="89"/>
        <v>0</v>
      </c>
      <c r="AL29" s="11">
        <f t="shared" si="89"/>
        <v>0</v>
      </c>
      <c r="AM29" s="11">
        <f t="shared" si="89"/>
        <v>0</v>
      </c>
      <c r="AN29" s="11">
        <f t="shared" si="89"/>
        <v>0</v>
      </c>
      <c r="AO29" s="11">
        <f t="shared" si="89"/>
        <v>0</v>
      </c>
      <c r="AP29" s="11">
        <f t="shared" si="89"/>
        <v>0</v>
      </c>
      <c r="AQ29" s="11">
        <f t="shared" si="89"/>
        <v>0</v>
      </c>
      <c r="AR29" s="11">
        <f t="shared" si="89"/>
        <v>0</v>
      </c>
      <c r="AS29" s="11">
        <f t="shared" si="89"/>
        <v>0</v>
      </c>
      <c r="AT29" s="11">
        <f t="shared" si="89"/>
        <v>0</v>
      </c>
      <c r="AU29" s="71">
        <f t="shared" si="89"/>
        <v>0</v>
      </c>
      <c r="AV29" s="11">
        <f t="shared" si="89"/>
        <v>0</v>
      </c>
      <c r="AW29" s="11">
        <f t="shared" si="89"/>
        <v>0</v>
      </c>
      <c r="AX29" s="11">
        <f t="shared" si="89"/>
        <v>0</v>
      </c>
      <c r="AY29" s="11">
        <f t="shared" si="89"/>
        <v>0</v>
      </c>
      <c r="AZ29" s="11">
        <f t="shared" si="89"/>
        <v>0</v>
      </c>
      <c r="BA29" s="11">
        <f t="shared" si="89"/>
        <v>0</v>
      </c>
      <c r="BB29" s="11">
        <f t="shared" si="89"/>
        <v>0</v>
      </c>
      <c r="BC29" s="11">
        <f t="shared" si="89"/>
        <v>0</v>
      </c>
      <c r="BD29" s="11">
        <f t="shared" si="89"/>
        <v>0</v>
      </c>
      <c r="BE29" s="11">
        <f t="shared" si="89"/>
        <v>0</v>
      </c>
      <c r="BF29" s="11">
        <f t="shared" si="89"/>
        <v>0</v>
      </c>
      <c r="BG29" s="71">
        <f t="shared" si="89"/>
        <v>0</v>
      </c>
      <c r="BH29" s="11">
        <f t="shared" si="89"/>
        <v>0</v>
      </c>
      <c r="BI29" s="11">
        <f t="shared" si="89"/>
        <v>0</v>
      </c>
      <c r="BJ29" s="11">
        <f t="shared" si="89"/>
        <v>0</v>
      </c>
      <c r="BK29" s="11">
        <f t="shared" si="89"/>
        <v>0</v>
      </c>
      <c r="BL29" s="11">
        <f t="shared" si="89"/>
        <v>0</v>
      </c>
      <c r="BM29" s="11">
        <f t="shared" si="89"/>
        <v>0</v>
      </c>
      <c r="BN29" s="11">
        <f t="shared" si="89"/>
        <v>0</v>
      </c>
      <c r="BO29" s="11">
        <f t="shared" si="89"/>
        <v>0</v>
      </c>
      <c r="BP29" s="11">
        <f t="shared" si="89"/>
        <v>0</v>
      </c>
      <c r="BQ29" s="11">
        <f t="shared" si="89"/>
        <v>0</v>
      </c>
      <c r="BR29" s="11">
        <f t="shared" si="89"/>
        <v>0</v>
      </c>
      <c r="BS29" s="71">
        <f t="shared" si="89"/>
        <v>0</v>
      </c>
      <c r="BT29" s="11">
        <f t="shared" ref="BT29:CE29" si="90">BT13*BT45</f>
        <v>0</v>
      </c>
      <c r="BU29" s="11">
        <f t="shared" si="90"/>
        <v>0</v>
      </c>
      <c r="BV29" s="11">
        <f t="shared" si="90"/>
        <v>0</v>
      </c>
      <c r="BW29" s="11">
        <f t="shared" si="90"/>
        <v>0</v>
      </c>
      <c r="BX29" s="11">
        <f t="shared" si="90"/>
        <v>0</v>
      </c>
      <c r="BY29" s="11">
        <f t="shared" si="90"/>
        <v>0</v>
      </c>
      <c r="BZ29" s="11">
        <f t="shared" si="90"/>
        <v>0</v>
      </c>
      <c r="CA29" s="11">
        <f t="shared" si="90"/>
        <v>0</v>
      </c>
      <c r="CB29" s="11">
        <f t="shared" si="90"/>
        <v>0</v>
      </c>
      <c r="CC29" s="11">
        <f t="shared" si="90"/>
        <v>0</v>
      </c>
      <c r="CD29" s="11">
        <f t="shared" si="90"/>
        <v>0</v>
      </c>
      <c r="CE29" s="88">
        <f t="shared" si="90"/>
        <v>0</v>
      </c>
    </row>
    <row r="30" spans="16:83" x14ac:dyDescent="0.35">
      <c r="P30" s="933"/>
      <c r="Q30" s="196" t="str">
        <f>$Q$14</f>
        <v/>
      </c>
      <c r="R30" s="199">
        <f t="shared" si="73"/>
        <v>0</v>
      </c>
      <c r="S30" s="121">
        <f t="shared" si="73"/>
        <v>0</v>
      </c>
      <c r="T30" s="121">
        <f t="shared" si="73"/>
        <v>0</v>
      </c>
      <c r="U30" s="121">
        <f t="shared" si="73"/>
        <v>0</v>
      </c>
      <c r="V30" s="200">
        <f t="shared" si="73"/>
        <v>0</v>
      </c>
      <c r="W30" s="201">
        <v>0</v>
      </c>
      <c r="X30" s="201">
        <f t="shared" ref="X30:BS30" si="91">X14*X46</f>
        <v>0</v>
      </c>
      <c r="Y30" s="11">
        <f t="shared" si="91"/>
        <v>0</v>
      </c>
      <c r="Z30" s="11">
        <f t="shared" si="91"/>
        <v>0</v>
      </c>
      <c r="AA30" s="11">
        <f t="shared" si="91"/>
        <v>0</v>
      </c>
      <c r="AB30" s="11">
        <f t="shared" si="91"/>
        <v>0</v>
      </c>
      <c r="AC30" s="11">
        <f t="shared" si="91"/>
        <v>0</v>
      </c>
      <c r="AD30" s="11">
        <f t="shared" si="91"/>
        <v>0</v>
      </c>
      <c r="AE30" s="11">
        <f t="shared" si="91"/>
        <v>0</v>
      </c>
      <c r="AF30" s="11">
        <f t="shared" si="91"/>
        <v>0</v>
      </c>
      <c r="AG30" s="11">
        <f t="shared" si="91"/>
        <v>0</v>
      </c>
      <c r="AH30" s="11">
        <f t="shared" si="91"/>
        <v>0</v>
      </c>
      <c r="AI30" s="71">
        <f t="shared" si="91"/>
        <v>0</v>
      </c>
      <c r="AJ30" s="201">
        <f t="shared" si="91"/>
        <v>0</v>
      </c>
      <c r="AK30" s="11">
        <f t="shared" si="91"/>
        <v>0</v>
      </c>
      <c r="AL30" s="11">
        <f t="shared" si="91"/>
        <v>0</v>
      </c>
      <c r="AM30" s="11">
        <f t="shared" si="91"/>
        <v>0</v>
      </c>
      <c r="AN30" s="11">
        <f t="shared" si="91"/>
        <v>0</v>
      </c>
      <c r="AO30" s="11">
        <f t="shared" si="91"/>
        <v>0</v>
      </c>
      <c r="AP30" s="11">
        <f t="shared" si="91"/>
        <v>0</v>
      </c>
      <c r="AQ30" s="11">
        <f t="shared" si="91"/>
        <v>0</v>
      </c>
      <c r="AR30" s="11">
        <f t="shared" si="91"/>
        <v>0</v>
      </c>
      <c r="AS30" s="11">
        <f t="shared" si="91"/>
        <v>0</v>
      </c>
      <c r="AT30" s="11">
        <f t="shared" si="91"/>
        <v>0</v>
      </c>
      <c r="AU30" s="71">
        <f t="shared" si="91"/>
        <v>0</v>
      </c>
      <c r="AV30" s="11">
        <f t="shared" si="91"/>
        <v>0</v>
      </c>
      <c r="AW30" s="11">
        <f t="shared" si="91"/>
        <v>0</v>
      </c>
      <c r="AX30" s="11">
        <f t="shared" si="91"/>
        <v>0</v>
      </c>
      <c r="AY30" s="11">
        <f t="shared" si="91"/>
        <v>0</v>
      </c>
      <c r="AZ30" s="11">
        <f t="shared" si="91"/>
        <v>0</v>
      </c>
      <c r="BA30" s="11">
        <f t="shared" si="91"/>
        <v>0</v>
      </c>
      <c r="BB30" s="11">
        <f t="shared" si="91"/>
        <v>0</v>
      </c>
      <c r="BC30" s="11">
        <f t="shared" si="91"/>
        <v>0</v>
      </c>
      <c r="BD30" s="11">
        <f t="shared" si="91"/>
        <v>0</v>
      </c>
      <c r="BE30" s="11">
        <f t="shared" si="91"/>
        <v>0</v>
      </c>
      <c r="BF30" s="11">
        <f t="shared" si="91"/>
        <v>0</v>
      </c>
      <c r="BG30" s="71">
        <f t="shared" si="91"/>
        <v>0</v>
      </c>
      <c r="BH30" s="11">
        <f t="shared" si="91"/>
        <v>0</v>
      </c>
      <c r="BI30" s="11">
        <f t="shared" si="91"/>
        <v>0</v>
      </c>
      <c r="BJ30" s="11">
        <f t="shared" si="91"/>
        <v>0</v>
      </c>
      <c r="BK30" s="11">
        <f t="shared" si="91"/>
        <v>0</v>
      </c>
      <c r="BL30" s="11">
        <f t="shared" si="91"/>
        <v>0</v>
      </c>
      <c r="BM30" s="11">
        <f t="shared" si="91"/>
        <v>0</v>
      </c>
      <c r="BN30" s="11">
        <f t="shared" si="91"/>
        <v>0</v>
      </c>
      <c r="BO30" s="11">
        <f t="shared" si="91"/>
        <v>0</v>
      </c>
      <c r="BP30" s="11">
        <f t="shared" si="91"/>
        <v>0</v>
      </c>
      <c r="BQ30" s="11">
        <f t="shared" si="91"/>
        <v>0</v>
      </c>
      <c r="BR30" s="11">
        <f t="shared" si="91"/>
        <v>0</v>
      </c>
      <c r="BS30" s="71">
        <f t="shared" si="91"/>
        <v>0</v>
      </c>
      <c r="BT30" s="11">
        <f t="shared" ref="BT30:CE30" si="92">BT14*BT46</f>
        <v>0</v>
      </c>
      <c r="BU30" s="11">
        <f t="shared" si="92"/>
        <v>0</v>
      </c>
      <c r="BV30" s="11">
        <f t="shared" si="92"/>
        <v>0</v>
      </c>
      <c r="BW30" s="11">
        <f t="shared" si="92"/>
        <v>0</v>
      </c>
      <c r="BX30" s="11">
        <f t="shared" si="92"/>
        <v>0</v>
      </c>
      <c r="BY30" s="11">
        <f t="shared" si="92"/>
        <v>0</v>
      </c>
      <c r="BZ30" s="11">
        <f t="shared" si="92"/>
        <v>0</v>
      </c>
      <c r="CA30" s="11">
        <f t="shared" si="92"/>
        <v>0</v>
      </c>
      <c r="CB30" s="11">
        <f t="shared" si="92"/>
        <v>0</v>
      </c>
      <c r="CC30" s="11">
        <f t="shared" si="92"/>
        <v>0</v>
      </c>
      <c r="CD30" s="11">
        <f t="shared" si="92"/>
        <v>0</v>
      </c>
      <c r="CE30" s="88">
        <f t="shared" si="92"/>
        <v>0</v>
      </c>
    </row>
    <row r="31" spans="16:83" x14ac:dyDescent="0.35">
      <c r="P31" s="933"/>
      <c r="Q31" s="194" t="str">
        <f>$Q$15</f>
        <v/>
      </c>
      <c r="R31" s="199">
        <f t="shared" si="73"/>
        <v>0</v>
      </c>
      <c r="S31" s="121">
        <f t="shared" si="73"/>
        <v>0</v>
      </c>
      <c r="T31" s="121">
        <f t="shared" si="73"/>
        <v>0</v>
      </c>
      <c r="U31" s="121">
        <f t="shared" si="73"/>
        <v>0</v>
      </c>
      <c r="V31" s="200">
        <f t="shared" si="73"/>
        <v>0</v>
      </c>
      <c r="W31" s="201">
        <v>0</v>
      </c>
      <c r="X31" s="201">
        <f t="shared" ref="X31:BS31" si="93">X15*X47</f>
        <v>0</v>
      </c>
      <c r="Y31" s="11">
        <f t="shared" si="93"/>
        <v>0</v>
      </c>
      <c r="Z31" s="11">
        <f t="shared" si="93"/>
        <v>0</v>
      </c>
      <c r="AA31" s="11">
        <f t="shared" si="93"/>
        <v>0</v>
      </c>
      <c r="AB31" s="11">
        <f t="shared" si="93"/>
        <v>0</v>
      </c>
      <c r="AC31" s="11">
        <f t="shared" si="93"/>
        <v>0</v>
      </c>
      <c r="AD31" s="11">
        <f t="shared" si="93"/>
        <v>0</v>
      </c>
      <c r="AE31" s="11">
        <f t="shared" si="93"/>
        <v>0</v>
      </c>
      <c r="AF31" s="11">
        <f t="shared" si="93"/>
        <v>0</v>
      </c>
      <c r="AG31" s="11">
        <f t="shared" si="93"/>
        <v>0</v>
      </c>
      <c r="AH31" s="11">
        <f t="shared" si="93"/>
        <v>0</v>
      </c>
      <c r="AI31" s="71">
        <f t="shared" si="93"/>
        <v>0</v>
      </c>
      <c r="AJ31" s="201">
        <f t="shared" si="93"/>
        <v>0</v>
      </c>
      <c r="AK31" s="11">
        <f t="shared" si="93"/>
        <v>0</v>
      </c>
      <c r="AL31" s="11">
        <f t="shared" si="93"/>
        <v>0</v>
      </c>
      <c r="AM31" s="11">
        <f t="shared" si="93"/>
        <v>0</v>
      </c>
      <c r="AN31" s="11">
        <f t="shared" si="93"/>
        <v>0</v>
      </c>
      <c r="AO31" s="11">
        <f t="shared" si="93"/>
        <v>0</v>
      </c>
      <c r="AP31" s="11">
        <f t="shared" si="93"/>
        <v>0</v>
      </c>
      <c r="AQ31" s="11">
        <f t="shared" si="93"/>
        <v>0</v>
      </c>
      <c r="AR31" s="11">
        <f t="shared" si="93"/>
        <v>0</v>
      </c>
      <c r="AS31" s="11">
        <f t="shared" si="93"/>
        <v>0</v>
      </c>
      <c r="AT31" s="11">
        <f t="shared" si="93"/>
        <v>0</v>
      </c>
      <c r="AU31" s="71">
        <f t="shared" si="93"/>
        <v>0</v>
      </c>
      <c r="AV31" s="11">
        <f t="shared" si="93"/>
        <v>0</v>
      </c>
      <c r="AW31" s="11">
        <f t="shared" si="93"/>
        <v>0</v>
      </c>
      <c r="AX31" s="11">
        <f t="shared" si="93"/>
        <v>0</v>
      </c>
      <c r="AY31" s="11">
        <f t="shared" si="93"/>
        <v>0</v>
      </c>
      <c r="AZ31" s="11">
        <f t="shared" si="93"/>
        <v>0</v>
      </c>
      <c r="BA31" s="11">
        <f t="shared" si="93"/>
        <v>0</v>
      </c>
      <c r="BB31" s="11">
        <f t="shared" si="93"/>
        <v>0</v>
      </c>
      <c r="BC31" s="11">
        <f t="shared" si="93"/>
        <v>0</v>
      </c>
      <c r="BD31" s="11">
        <f t="shared" si="93"/>
        <v>0</v>
      </c>
      <c r="BE31" s="11">
        <f t="shared" si="93"/>
        <v>0</v>
      </c>
      <c r="BF31" s="11">
        <f t="shared" si="93"/>
        <v>0</v>
      </c>
      <c r="BG31" s="71">
        <f t="shared" si="93"/>
        <v>0</v>
      </c>
      <c r="BH31" s="11">
        <f t="shared" si="93"/>
        <v>0</v>
      </c>
      <c r="BI31" s="11">
        <f t="shared" si="93"/>
        <v>0</v>
      </c>
      <c r="BJ31" s="11">
        <f t="shared" si="93"/>
        <v>0</v>
      </c>
      <c r="BK31" s="11">
        <f t="shared" si="93"/>
        <v>0</v>
      </c>
      <c r="BL31" s="11">
        <f t="shared" si="93"/>
        <v>0</v>
      </c>
      <c r="BM31" s="11">
        <f t="shared" si="93"/>
        <v>0</v>
      </c>
      <c r="BN31" s="11">
        <f t="shared" si="93"/>
        <v>0</v>
      </c>
      <c r="BO31" s="11">
        <f t="shared" si="93"/>
        <v>0</v>
      </c>
      <c r="BP31" s="11">
        <f t="shared" si="93"/>
        <v>0</v>
      </c>
      <c r="BQ31" s="11">
        <f t="shared" si="93"/>
        <v>0</v>
      </c>
      <c r="BR31" s="11">
        <f t="shared" si="93"/>
        <v>0</v>
      </c>
      <c r="BS31" s="71">
        <f t="shared" si="93"/>
        <v>0</v>
      </c>
      <c r="BT31" s="11">
        <f t="shared" ref="BT31:CE31" si="94">BT15*BT47</f>
        <v>0</v>
      </c>
      <c r="BU31" s="11">
        <f t="shared" si="94"/>
        <v>0</v>
      </c>
      <c r="BV31" s="11">
        <f t="shared" si="94"/>
        <v>0</v>
      </c>
      <c r="BW31" s="11">
        <f t="shared" si="94"/>
        <v>0</v>
      </c>
      <c r="BX31" s="11">
        <f t="shared" si="94"/>
        <v>0</v>
      </c>
      <c r="BY31" s="11">
        <f t="shared" si="94"/>
        <v>0</v>
      </c>
      <c r="BZ31" s="11">
        <f t="shared" si="94"/>
        <v>0</v>
      </c>
      <c r="CA31" s="11">
        <f t="shared" si="94"/>
        <v>0</v>
      </c>
      <c r="CB31" s="11">
        <f t="shared" si="94"/>
        <v>0</v>
      </c>
      <c r="CC31" s="11">
        <f t="shared" si="94"/>
        <v>0</v>
      </c>
      <c r="CD31" s="11">
        <f t="shared" si="94"/>
        <v>0</v>
      </c>
      <c r="CE31" s="88">
        <f t="shared" si="94"/>
        <v>0</v>
      </c>
    </row>
    <row r="32" spans="16:83" x14ac:dyDescent="0.35">
      <c r="P32" s="933"/>
      <c r="Q32" s="194" t="str">
        <f>$Q$16</f>
        <v/>
      </c>
      <c r="R32" s="199">
        <f t="shared" si="73"/>
        <v>0</v>
      </c>
      <c r="S32" s="121">
        <f t="shared" si="73"/>
        <v>0</v>
      </c>
      <c r="T32" s="121">
        <f t="shared" si="73"/>
        <v>0</v>
      </c>
      <c r="U32" s="121">
        <f t="shared" si="73"/>
        <v>0</v>
      </c>
      <c r="V32" s="200">
        <f t="shared" si="73"/>
        <v>0</v>
      </c>
      <c r="W32" s="201">
        <v>0</v>
      </c>
      <c r="X32" s="201">
        <f t="shared" ref="X32:BS32" si="95">X16*X48</f>
        <v>0</v>
      </c>
      <c r="Y32" s="11">
        <f t="shared" si="95"/>
        <v>0</v>
      </c>
      <c r="Z32" s="11">
        <f t="shared" si="95"/>
        <v>0</v>
      </c>
      <c r="AA32" s="11">
        <f t="shared" si="95"/>
        <v>0</v>
      </c>
      <c r="AB32" s="11">
        <f t="shared" si="95"/>
        <v>0</v>
      </c>
      <c r="AC32" s="11">
        <f t="shared" si="95"/>
        <v>0</v>
      </c>
      <c r="AD32" s="11">
        <f t="shared" si="95"/>
        <v>0</v>
      </c>
      <c r="AE32" s="11">
        <f t="shared" si="95"/>
        <v>0</v>
      </c>
      <c r="AF32" s="11">
        <f t="shared" si="95"/>
        <v>0</v>
      </c>
      <c r="AG32" s="11">
        <f t="shared" si="95"/>
        <v>0</v>
      </c>
      <c r="AH32" s="11">
        <f t="shared" si="95"/>
        <v>0</v>
      </c>
      <c r="AI32" s="71">
        <f t="shared" si="95"/>
        <v>0</v>
      </c>
      <c r="AJ32" s="201">
        <f t="shared" si="95"/>
        <v>0</v>
      </c>
      <c r="AK32" s="11">
        <f t="shared" si="95"/>
        <v>0</v>
      </c>
      <c r="AL32" s="11">
        <f t="shared" si="95"/>
        <v>0</v>
      </c>
      <c r="AM32" s="11">
        <f t="shared" si="95"/>
        <v>0</v>
      </c>
      <c r="AN32" s="11">
        <f t="shared" si="95"/>
        <v>0</v>
      </c>
      <c r="AO32" s="11">
        <f t="shared" si="95"/>
        <v>0</v>
      </c>
      <c r="AP32" s="11">
        <f t="shared" si="95"/>
        <v>0</v>
      </c>
      <c r="AQ32" s="11">
        <f t="shared" si="95"/>
        <v>0</v>
      </c>
      <c r="AR32" s="11">
        <f t="shared" si="95"/>
        <v>0</v>
      </c>
      <c r="AS32" s="11">
        <f t="shared" si="95"/>
        <v>0</v>
      </c>
      <c r="AT32" s="11">
        <f t="shared" si="95"/>
        <v>0</v>
      </c>
      <c r="AU32" s="71">
        <f t="shared" si="95"/>
        <v>0</v>
      </c>
      <c r="AV32" s="11">
        <f t="shared" si="95"/>
        <v>0</v>
      </c>
      <c r="AW32" s="11">
        <f t="shared" si="95"/>
        <v>0</v>
      </c>
      <c r="AX32" s="11">
        <f t="shared" si="95"/>
        <v>0</v>
      </c>
      <c r="AY32" s="11">
        <f t="shared" si="95"/>
        <v>0</v>
      </c>
      <c r="AZ32" s="11">
        <f t="shared" si="95"/>
        <v>0</v>
      </c>
      <c r="BA32" s="11">
        <f t="shared" si="95"/>
        <v>0</v>
      </c>
      <c r="BB32" s="11">
        <f t="shared" si="95"/>
        <v>0</v>
      </c>
      <c r="BC32" s="11">
        <f t="shared" si="95"/>
        <v>0</v>
      </c>
      <c r="BD32" s="11">
        <f t="shared" si="95"/>
        <v>0</v>
      </c>
      <c r="BE32" s="11">
        <f t="shared" si="95"/>
        <v>0</v>
      </c>
      <c r="BF32" s="11">
        <f t="shared" si="95"/>
        <v>0</v>
      </c>
      <c r="BG32" s="71">
        <f t="shared" si="95"/>
        <v>0</v>
      </c>
      <c r="BH32" s="11">
        <f t="shared" si="95"/>
        <v>0</v>
      </c>
      <c r="BI32" s="11">
        <f t="shared" si="95"/>
        <v>0</v>
      </c>
      <c r="BJ32" s="11">
        <f t="shared" si="95"/>
        <v>0</v>
      </c>
      <c r="BK32" s="11">
        <f t="shared" si="95"/>
        <v>0</v>
      </c>
      <c r="BL32" s="11">
        <f t="shared" si="95"/>
        <v>0</v>
      </c>
      <c r="BM32" s="11">
        <f t="shared" si="95"/>
        <v>0</v>
      </c>
      <c r="BN32" s="11">
        <f t="shared" si="95"/>
        <v>0</v>
      </c>
      <c r="BO32" s="11">
        <f t="shared" si="95"/>
        <v>0</v>
      </c>
      <c r="BP32" s="11">
        <f t="shared" si="95"/>
        <v>0</v>
      </c>
      <c r="BQ32" s="11">
        <f t="shared" si="95"/>
        <v>0</v>
      </c>
      <c r="BR32" s="11">
        <f t="shared" si="95"/>
        <v>0</v>
      </c>
      <c r="BS32" s="71">
        <f t="shared" si="95"/>
        <v>0</v>
      </c>
      <c r="BT32" s="11">
        <f t="shared" ref="BT32:CE32" si="96">BT16*BT48</f>
        <v>0</v>
      </c>
      <c r="BU32" s="11">
        <f t="shared" si="96"/>
        <v>0</v>
      </c>
      <c r="BV32" s="11">
        <f t="shared" si="96"/>
        <v>0</v>
      </c>
      <c r="BW32" s="11">
        <f t="shared" si="96"/>
        <v>0</v>
      </c>
      <c r="BX32" s="11">
        <f t="shared" si="96"/>
        <v>0</v>
      </c>
      <c r="BY32" s="11">
        <f t="shared" si="96"/>
        <v>0</v>
      </c>
      <c r="BZ32" s="11">
        <f t="shared" si="96"/>
        <v>0</v>
      </c>
      <c r="CA32" s="11">
        <f t="shared" si="96"/>
        <v>0</v>
      </c>
      <c r="CB32" s="11">
        <f t="shared" si="96"/>
        <v>0</v>
      </c>
      <c r="CC32" s="11">
        <f t="shared" si="96"/>
        <v>0</v>
      </c>
      <c r="CD32" s="11">
        <f t="shared" si="96"/>
        <v>0</v>
      </c>
      <c r="CE32" s="88">
        <f t="shared" si="96"/>
        <v>0</v>
      </c>
    </row>
    <row r="33" spans="14:83" x14ac:dyDescent="0.35">
      <c r="P33" s="933"/>
      <c r="Q33" s="196" t="str">
        <f>$Q$17</f>
        <v/>
      </c>
      <c r="R33" s="199">
        <f t="shared" si="73"/>
        <v>0</v>
      </c>
      <c r="S33" s="121">
        <f t="shared" si="73"/>
        <v>0</v>
      </c>
      <c r="T33" s="121">
        <f t="shared" si="73"/>
        <v>0</v>
      </c>
      <c r="U33" s="121">
        <f t="shared" si="73"/>
        <v>0</v>
      </c>
      <c r="V33" s="200">
        <f t="shared" si="73"/>
        <v>0</v>
      </c>
      <c r="W33" s="201">
        <v>0</v>
      </c>
      <c r="X33" s="201">
        <f t="shared" ref="X33:BS33" si="97">X17*X49</f>
        <v>0</v>
      </c>
      <c r="Y33" s="11">
        <f t="shared" si="97"/>
        <v>0</v>
      </c>
      <c r="Z33" s="11">
        <f t="shared" si="97"/>
        <v>0</v>
      </c>
      <c r="AA33" s="11">
        <f t="shared" si="97"/>
        <v>0</v>
      </c>
      <c r="AB33" s="11">
        <f t="shared" si="97"/>
        <v>0</v>
      </c>
      <c r="AC33" s="11">
        <f t="shared" si="97"/>
        <v>0</v>
      </c>
      <c r="AD33" s="11">
        <f t="shared" si="97"/>
        <v>0</v>
      </c>
      <c r="AE33" s="11">
        <f t="shared" si="97"/>
        <v>0</v>
      </c>
      <c r="AF33" s="11">
        <f t="shared" si="97"/>
        <v>0</v>
      </c>
      <c r="AG33" s="11">
        <f t="shared" si="97"/>
        <v>0</v>
      </c>
      <c r="AH33" s="11">
        <f t="shared" si="97"/>
        <v>0</v>
      </c>
      <c r="AI33" s="71">
        <f t="shared" si="97"/>
        <v>0</v>
      </c>
      <c r="AJ33" s="201">
        <f t="shared" si="97"/>
        <v>0</v>
      </c>
      <c r="AK33" s="11">
        <f t="shared" si="97"/>
        <v>0</v>
      </c>
      <c r="AL33" s="11">
        <f t="shared" si="97"/>
        <v>0</v>
      </c>
      <c r="AM33" s="11">
        <f t="shared" si="97"/>
        <v>0</v>
      </c>
      <c r="AN33" s="11">
        <f t="shared" si="97"/>
        <v>0</v>
      </c>
      <c r="AO33" s="11">
        <f t="shared" si="97"/>
        <v>0</v>
      </c>
      <c r="AP33" s="11">
        <f t="shared" si="97"/>
        <v>0</v>
      </c>
      <c r="AQ33" s="11">
        <f t="shared" si="97"/>
        <v>0</v>
      </c>
      <c r="AR33" s="11">
        <f t="shared" si="97"/>
        <v>0</v>
      </c>
      <c r="AS33" s="11">
        <f t="shared" si="97"/>
        <v>0</v>
      </c>
      <c r="AT33" s="11">
        <f t="shared" si="97"/>
        <v>0</v>
      </c>
      <c r="AU33" s="71">
        <f t="shared" si="97"/>
        <v>0</v>
      </c>
      <c r="AV33" s="11">
        <f t="shared" si="97"/>
        <v>0</v>
      </c>
      <c r="AW33" s="11">
        <f t="shared" si="97"/>
        <v>0</v>
      </c>
      <c r="AX33" s="11">
        <f t="shared" si="97"/>
        <v>0</v>
      </c>
      <c r="AY33" s="11">
        <f t="shared" si="97"/>
        <v>0</v>
      </c>
      <c r="AZ33" s="11">
        <f t="shared" si="97"/>
        <v>0</v>
      </c>
      <c r="BA33" s="11">
        <f t="shared" si="97"/>
        <v>0</v>
      </c>
      <c r="BB33" s="11">
        <f t="shared" si="97"/>
        <v>0</v>
      </c>
      <c r="BC33" s="11">
        <f t="shared" si="97"/>
        <v>0</v>
      </c>
      <c r="BD33" s="11">
        <f t="shared" si="97"/>
        <v>0</v>
      </c>
      <c r="BE33" s="11">
        <f t="shared" si="97"/>
        <v>0</v>
      </c>
      <c r="BF33" s="11">
        <f t="shared" si="97"/>
        <v>0</v>
      </c>
      <c r="BG33" s="71">
        <f t="shared" si="97"/>
        <v>0</v>
      </c>
      <c r="BH33" s="11">
        <f t="shared" si="97"/>
        <v>0</v>
      </c>
      <c r="BI33" s="11">
        <f t="shared" si="97"/>
        <v>0</v>
      </c>
      <c r="BJ33" s="11">
        <f t="shared" si="97"/>
        <v>0</v>
      </c>
      <c r="BK33" s="11">
        <f t="shared" si="97"/>
        <v>0</v>
      </c>
      <c r="BL33" s="11">
        <f t="shared" si="97"/>
        <v>0</v>
      </c>
      <c r="BM33" s="11">
        <f t="shared" si="97"/>
        <v>0</v>
      </c>
      <c r="BN33" s="11">
        <f t="shared" si="97"/>
        <v>0</v>
      </c>
      <c r="BO33" s="11">
        <f t="shared" si="97"/>
        <v>0</v>
      </c>
      <c r="BP33" s="11">
        <f t="shared" si="97"/>
        <v>0</v>
      </c>
      <c r="BQ33" s="11">
        <f t="shared" si="97"/>
        <v>0</v>
      </c>
      <c r="BR33" s="11">
        <f t="shared" si="97"/>
        <v>0</v>
      </c>
      <c r="BS33" s="71">
        <f t="shared" si="97"/>
        <v>0</v>
      </c>
      <c r="BT33" s="11">
        <f t="shared" ref="BT33:CE33" si="98">BT17*BT49</f>
        <v>0</v>
      </c>
      <c r="BU33" s="11">
        <f t="shared" si="98"/>
        <v>0</v>
      </c>
      <c r="BV33" s="11">
        <f t="shared" si="98"/>
        <v>0</v>
      </c>
      <c r="BW33" s="11">
        <f t="shared" si="98"/>
        <v>0</v>
      </c>
      <c r="BX33" s="11">
        <f t="shared" si="98"/>
        <v>0</v>
      </c>
      <c r="BY33" s="11">
        <f t="shared" si="98"/>
        <v>0</v>
      </c>
      <c r="BZ33" s="11">
        <f t="shared" si="98"/>
        <v>0</v>
      </c>
      <c r="CA33" s="11">
        <f t="shared" si="98"/>
        <v>0</v>
      </c>
      <c r="CB33" s="11">
        <f t="shared" si="98"/>
        <v>0</v>
      </c>
      <c r="CC33" s="11">
        <f t="shared" si="98"/>
        <v>0</v>
      </c>
      <c r="CD33" s="11">
        <f t="shared" si="98"/>
        <v>0</v>
      </c>
      <c r="CE33" s="88">
        <f t="shared" si="98"/>
        <v>0</v>
      </c>
    </row>
    <row r="34" spans="14:83" x14ac:dyDescent="0.35">
      <c r="P34" s="933"/>
      <c r="Q34" s="196" t="str">
        <f>$Q$18</f>
        <v/>
      </c>
      <c r="R34" s="199">
        <f t="shared" si="73"/>
        <v>0</v>
      </c>
      <c r="S34" s="121">
        <f t="shared" si="73"/>
        <v>0</v>
      </c>
      <c r="T34" s="121">
        <f t="shared" si="73"/>
        <v>0</v>
      </c>
      <c r="U34" s="121">
        <f t="shared" si="73"/>
        <v>0</v>
      </c>
      <c r="V34" s="200">
        <f t="shared" si="73"/>
        <v>0</v>
      </c>
      <c r="W34" s="201">
        <v>0</v>
      </c>
      <c r="X34" s="201">
        <f t="shared" ref="X34:BS34" si="99">X18*X50</f>
        <v>0</v>
      </c>
      <c r="Y34" s="11">
        <f t="shared" si="99"/>
        <v>0</v>
      </c>
      <c r="Z34" s="11">
        <f t="shared" si="99"/>
        <v>0</v>
      </c>
      <c r="AA34" s="11">
        <f t="shared" si="99"/>
        <v>0</v>
      </c>
      <c r="AB34" s="11">
        <f t="shared" si="99"/>
        <v>0</v>
      </c>
      <c r="AC34" s="11">
        <f t="shared" si="99"/>
        <v>0</v>
      </c>
      <c r="AD34" s="11">
        <f t="shared" si="99"/>
        <v>0</v>
      </c>
      <c r="AE34" s="11">
        <f t="shared" si="99"/>
        <v>0</v>
      </c>
      <c r="AF34" s="11">
        <f t="shared" si="99"/>
        <v>0</v>
      </c>
      <c r="AG34" s="11">
        <f t="shared" si="99"/>
        <v>0</v>
      </c>
      <c r="AH34" s="11">
        <f t="shared" si="99"/>
        <v>0</v>
      </c>
      <c r="AI34" s="71">
        <f t="shared" si="99"/>
        <v>0</v>
      </c>
      <c r="AJ34" s="201">
        <f t="shared" si="99"/>
        <v>0</v>
      </c>
      <c r="AK34" s="11">
        <f t="shared" si="99"/>
        <v>0</v>
      </c>
      <c r="AL34" s="11">
        <f t="shared" si="99"/>
        <v>0</v>
      </c>
      <c r="AM34" s="11">
        <f t="shared" si="99"/>
        <v>0</v>
      </c>
      <c r="AN34" s="11">
        <f t="shared" si="99"/>
        <v>0</v>
      </c>
      <c r="AO34" s="11">
        <f t="shared" si="99"/>
        <v>0</v>
      </c>
      <c r="AP34" s="11">
        <f t="shared" si="99"/>
        <v>0</v>
      </c>
      <c r="AQ34" s="11">
        <f t="shared" si="99"/>
        <v>0</v>
      </c>
      <c r="AR34" s="11">
        <f t="shared" si="99"/>
        <v>0</v>
      </c>
      <c r="AS34" s="11">
        <f t="shared" si="99"/>
        <v>0</v>
      </c>
      <c r="AT34" s="11">
        <f t="shared" si="99"/>
        <v>0</v>
      </c>
      <c r="AU34" s="71">
        <f t="shared" si="99"/>
        <v>0</v>
      </c>
      <c r="AV34" s="11">
        <f t="shared" si="99"/>
        <v>0</v>
      </c>
      <c r="AW34" s="11">
        <f t="shared" si="99"/>
        <v>0</v>
      </c>
      <c r="AX34" s="11">
        <f t="shared" si="99"/>
        <v>0</v>
      </c>
      <c r="AY34" s="11">
        <f t="shared" si="99"/>
        <v>0</v>
      </c>
      <c r="AZ34" s="11">
        <f t="shared" si="99"/>
        <v>0</v>
      </c>
      <c r="BA34" s="11">
        <f t="shared" si="99"/>
        <v>0</v>
      </c>
      <c r="BB34" s="11">
        <f t="shared" si="99"/>
        <v>0</v>
      </c>
      <c r="BC34" s="11">
        <f t="shared" si="99"/>
        <v>0</v>
      </c>
      <c r="BD34" s="11">
        <f t="shared" si="99"/>
        <v>0</v>
      </c>
      <c r="BE34" s="11">
        <f t="shared" si="99"/>
        <v>0</v>
      </c>
      <c r="BF34" s="11">
        <f t="shared" si="99"/>
        <v>0</v>
      </c>
      <c r="BG34" s="71">
        <f t="shared" si="99"/>
        <v>0</v>
      </c>
      <c r="BH34" s="11">
        <f t="shared" si="99"/>
        <v>0</v>
      </c>
      <c r="BI34" s="11">
        <f t="shared" si="99"/>
        <v>0</v>
      </c>
      <c r="BJ34" s="11">
        <f t="shared" si="99"/>
        <v>0</v>
      </c>
      <c r="BK34" s="11">
        <f t="shared" si="99"/>
        <v>0</v>
      </c>
      <c r="BL34" s="11">
        <f t="shared" si="99"/>
        <v>0</v>
      </c>
      <c r="BM34" s="11">
        <f t="shared" si="99"/>
        <v>0</v>
      </c>
      <c r="BN34" s="11">
        <f t="shared" si="99"/>
        <v>0</v>
      </c>
      <c r="BO34" s="11">
        <f t="shared" si="99"/>
        <v>0</v>
      </c>
      <c r="BP34" s="11">
        <f t="shared" si="99"/>
        <v>0</v>
      </c>
      <c r="BQ34" s="11">
        <f t="shared" si="99"/>
        <v>0</v>
      </c>
      <c r="BR34" s="11">
        <f t="shared" si="99"/>
        <v>0</v>
      </c>
      <c r="BS34" s="71">
        <f t="shared" si="99"/>
        <v>0</v>
      </c>
      <c r="BT34" s="11">
        <f t="shared" ref="BT34:CE34" si="100">BT18*BT50</f>
        <v>0</v>
      </c>
      <c r="BU34" s="11">
        <f t="shared" si="100"/>
        <v>0</v>
      </c>
      <c r="BV34" s="11">
        <f t="shared" si="100"/>
        <v>0</v>
      </c>
      <c r="BW34" s="11">
        <f t="shared" si="100"/>
        <v>0</v>
      </c>
      <c r="BX34" s="11">
        <f t="shared" si="100"/>
        <v>0</v>
      </c>
      <c r="BY34" s="11">
        <f t="shared" si="100"/>
        <v>0</v>
      </c>
      <c r="BZ34" s="11">
        <f t="shared" si="100"/>
        <v>0</v>
      </c>
      <c r="CA34" s="11">
        <f t="shared" si="100"/>
        <v>0</v>
      </c>
      <c r="CB34" s="11">
        <f t="shared" si="100"/>
        <v>0</v>
      </c>
      <c r="CC34" s="11">
        <f t="shared" si="100"/>
        <v>0</v>
      </c>
      <c r="CD34" s="11">
        <f t="shared" si="100"/>
        <v>0</v>
      </c>
      <c r="CE34" s="88">
        <f t="shared" si="100"/>
        <v>0</v>
      </c>
    </row>
    <row r="35" spans="14:83" x14ac:dyDescent="0.35">
      <c r="P35" s="933"/>
      <c r="Q35" s="196" t="str">
        <f>$Q$19</f>
        <v/>
      </c>
      <c r="R35" s="199">
        <f t="shared" si="73"/>
        <v>0</v>
      </c>
      <c r="S35" s="121">
        <f t="shared" si="73"/>
        <v>0</v>
      </c>
      <c r="T35" s="121">
        <f t="shared" si="73"/>
        <v>0</v>
      </c>
      <c r="U35" s="121">
        <f t="shared" si="73"/>
        <v>0</v>
      </c>
      <c r="V35" s="200">
        <f t="shared" si="73"/>
        <v>0</v>
      </c>
      <c r="W35" s="201">
        <v>0</v>
      </c>
      <c r="X35" s="201">
        <f t="shared" ref="X35:BS35" si="101">X19*X51</f>
        <v>0</v>
      </c>
      <c r="Y35" s="11">
        <f t="shared" si="101"/>
        <v>0</v>
      </c>
      <c r="Z35" s="11">
        <f t="shared" si="101"/>
        <v>0</v>
      </c>
      <c r="AA35" s="11">
        <f t="shared" si="101"/>
        <v>0</v>
      </c>
      <c r="AB35" s="11">
        <f t="shared" si="101"/>
        <v>0</v>
      </c>
      <c r="AC35" s="11">
        <f t="shared" si="101"/>
        <v>0</v>
      </c>
      <c r="AD35" s="11">
        <f t="shared" si="101"/>
        <v>0</v>
      </c>
      <c r="AE35" s="11">
        <f t="shared" si="101"/>
        <v>0</v>
      </c>
      <c r="AF35" s="11">
        <f t="shared" si="101"/>
        <v>0</v>
      </c>
      <c r="AG35" s="11">
        <f t="shared" si="101"/>
        <v>0</v>
      </c>
      <c r="AH35" s="11">
        <f t="shared" si="101"/>
        <v>0</v>
      </c>
      <c r="AI35" s="71">
        <f t="shared" si="101"/>
        <v>0</v>
      </c>
      <c r="AJ35" s="201">
        <f t="shared" si="101"/>
        <v>0</v>
      </c>
      <c r="AK35" s="11">
        <f t="shared" si="101"/>
        <v>0</v>
      </c>
      <c r="AL35" s="11">
        <f t="shared" si="101"/>
        <v>0</v>
      </c>
      <c r="AM35" s="11">
        <f t="shared" si="101"/>
        <v>0</v>
      </c>
      <c r="AN35" s="11">
        <f t="shared" si="101"/>
        <v>0</v>
      </c>
      <c r="AO35" s="11">
        <f t="shared" si="101"/>
        <v>0</v>
      </c>
      <c r="AP35" s="11">
        <f t="shared" si="101"/>
        <v>0</v>
      </c>
      <c r="AQ35" s="11">
        <f t="shared" si="101"/>
        <v>0</v>
      </c>
      <c r="AR35" s="11">
        <f t="shared" si="101"/>
        <v>0</v>
      </c>
      <c r="AS35" s="11">
        <f t="shared" si="101"/>
        <v>0</v>
      </c>
      <c r="AT35" s="11">
        <f t="shared" si="101"/>
        <v>0</v>
      </c>
      <c r="AU35" s="71">
        <f t="shared" si="101"/>
        <v>0</v>
      </c>
      <c r="AV35" s="11">
        <f t="shared" si="101"/>
        <v>0</v>
      </c>
      <c r="AW35" s="11">
        <f t="shared" si="101"/>
        <v>0</v>
      </c>
      <c r="AX35" s="11">
        <f t="shared" si="101"/>
        <v>0</v>
      </c>
      <c r="AY35" s="11">
        <f t="shared" si="101"/>
        <v>0</v>
      </c>
      <c r="AZ35" s="11">
        <f t="shared" si="101"/>
        <v>0</v>
      </c>
      <c r="BA35" s="11">
        <f t="shared" si="101"/>
        <v>0</v>
      </c>
      <c r="BB35" s="11">
        <f t="shared" si="101"/>
        <v>0</v>
      </c>
      <c r="BC35" s="11">
        <f t="shared" si="101"/>
        <v>0</v>
      </c>
      <c r="BD35" s="11">
        <f t="shared" si="101"/>
        <v>0</v>
      </c>
      <c r="BE35" s="11">
        <f t="shared" si="101"/>
        <v>0</v>
      </c>
      <c r="BF35" s="11">
        <f t="shared" si="101"/>
        <v>0</v>
      </c>
      <c r="BG35" s="71">
        <f t="shared" si="101"/>
        <v>0</v>
      </c>
      <c r="BH35" s="11">
        <f t="shared" si="101"/>
        <v>0</v>
      </c>
      <c r="BI35" s="11">
        <f t="shared" si="101"/>
        <v>0</v>
      </c>
      <c r="BJ35" s="11">
        <f t="shared" si="101"/>
        <v>0</v>
      </c>
      <c r="BK35" s="11">
        <f t="shared" si="101"/>
        <v>0</v>
      </c>
      <c r="BL35" s="11">
        <f t="shared" si="101"/>
        <v>0</v>
      </c>
      <c r="BM35" s="11">
        <f t="shared" si="101"/>
        <v>0</v>
      </c>
      <c r="BN35" s="11">
        <f t="shared" si="101"/>
        <v>0</v>
      </c>
      <c r="BO35" s="11">
        <f t="shared" si="101"/>
        <v>0</v>
      </c>
      <c r="BP35" s="11">
        <f t="shared" si="101"/>
        <v>0</v>
      </c>
      <c r="BQ35" s="11">
        <f t="shared" si="101"/>
        <v>0</v>
      </c>
      <c r="BR35" s="11">
        <f t="shared" si="101"/>
        <v>0</v>
      </c>
      <c r="BS35" s="71">
        <f t="shared" si="101"/>
        <v>0</v>
      </c>
      <c r="BT35" s="11">
        <f t="shared" ref="BT35:CE35" si="102">BT19*BT51</f>
        <v>0</v>
      </c>
      <c r="BU35" s="11">
        <f t="shared" si="102"/>
        <v>0</v>
      </c>
      <c r="BV35" s="11">
        <f t="shared" si="102"/>
        <v>0</v>
      </c>
      <c r="BW35" s="11">
        <f t="shared" si="102"/>
        <v>0</v>
      </c>
      <c r="BX35" s="11">
        <f t="shared" si="102"/>
        <v>0</v>
      </c>
      <c r="BY35" s="11">
        <f t="shared" si="102"/>
        <v>0</v>
      </c>
      <c r="BZ35" s="11">
        <f t="shared" si="102"/>
        <v>0</v>
      </c>
      <c r="CA35" s="11">
        <f t="shared" si="102"/>
        <v>0</v>
      </c>
      <c r="CB35" s="11">
        <f t="shared" si="102"/>
        <v>0</v>
      </c>
      <c r="CC35" s="11">
        <f t="shared" si="102"/>
        <v>0</v>
      </c>
      <c r="CD35" s="11">
        <f t="shared" si="102"/>
        <v>0</v>
      </c>
      <c r="CE35" s="88">
        <f t="shared" si="102"/>
        <v>0</v>
      </c>
    </row>
    <row r="36" spans="14:83" x14ac:dyDescent="0.35">
      <c r="N36" s="5"/>
      <c r="P36" s="933"/>
      <c r="Q36" s="196" t="str">
        <f>$Q$20</f>
        <v/>
      </c>
      <c r="R36" s="199">
        <f t="shared" si="73"/>
        <v>0</v>
      </c>
      <c r="S36" s="121">
        <f t="shared" si="73"/>
        <v>0</v>
      </c>
      <c r="T36" s="121">
        <f t="shared" si="73"/>
        <v>0</v>
      </c>
      <c r="U36" s="121">
        <f t="shared" si="73"/>
        <v>0</v>
      </c>
      <c r="V36" s="200">
        <f t="shared" si="73"/>
        <v>0</v>
      </c>
      <c r="W36" s="201">
        <v>0</v>
      </c>
      <c r="X36" s="201">
        <f t="shared" ref="X36:BS36" si="103">X20*X52</f>
        <v>0</v>
      </c>
      <c r="Y36" s="11">
        <f t="shared" si="103"/>
        <v>0</v>
      </c>
      <c r="Z36" s="11">
        <f t="shared" si="103"/>
        <v>0</v>
      </c>
      <c r="AA36" s="11">
        <f t="shared" si="103"/>
        <v>0</v>
      </c>
      <c r="AB36" s="11">
        <f t="shared" si="103"/>
        <v>0</v>
      </c>
      <c r="AC36" s="11">
        <f t="shared" si="103"/>
        <v>0</v>
      </c>
      <c r="AD36" s="11">
        <f t="shared" si="103"/>
        <v>0</v>
      </c>
      <c r="AE36" s="11">
        <f t="shared" si="103"/>
        <v>0</v>
      </c>
      <c r="AF36" s="11">
        <f t="shared" si="103"/>
        <v>0</v>
      </c>
      <c r="AG36" s="11">
        <f t="shared" si="103"/>
        <v>0</v>
      </c>
      <c r="AH36" s="11">
        <f t="shared" si="103"/>
        <v>0</v>
      </c>
      <c r="AI36" s="71">
        <f t="shared" si="103"/>
        <v>0</v>
      </c>
      <c r="AJ36" s="201">
        <f t="shared" si="103"/>
        <v>0</v>
      </c>
      <c r="AK36" s="11">
        <f t="shared" si="103"/>
        <v>0</v>
      </c>
      <c r="AL36" s="11">
        <f t="shared" si="103"/>
        <v>0</v>
      </c>
      <c r="AM36" s="11">
        <f t="shared" si="103"/>
        <v>0</v>
      </c>
      <c r="AN36" s="11">
        <f t="shared" si="103"/>
        <v>0</v>
      </c>
      <c r="AO36" s="11">
        <f t="shared" si="103"/>
        <v>0</v>
      </c>
      <c r="AP36" s="11">
        <f t="shared" si="103"/>
        <v>0</v>
      </c>
      <c r="AQ36" s="11">
        <f t="shared" si="103"/>
        <v>0</v>
      </c>
      <c r="AR36" s="11">
        <f t="shared" si="103"/>
        <v>0</v>
      </c>
      <c r="AS36" s="11">
        <f t="shared" si="103"/>
        <v>0</v>
      </c>
      <c r="AT36" s="11">
        <f t="shared" si="103"/>
        <v>0</v>
      </c>
      <c r="AU36" s="71">
        <f t="shared" si="103"/>
        <v>0</v>
      </c>
      <c r="AV36" s="11">
        <f t="shared" si="103"/>
        <v>0</v>
      </c>
      <c r="AW36" s="11">
        <f t="shared" si="103"/>
        <v>0</v>
      </c>
      <c r="AX36" s="11">
        <f t="shared" si="103"/>
        <v>0</v>
      </c>
      <c r="AY36" s="11">
        <f t="shared" si="103"/>
        <v>0</v>
      </c>
      <c r="AZ36" s="11">
        <f t="shared" si="103"/>
        <v>0</v>
      </c>
      <c r="BA36" s="11">
        <f t="shared" si="103"/>
        <v>0</v>
      </c>
      <c r="BB36" s="11">
        <f t="shared" si="103"/>
        <v>0</v>
      </c>
      <c r="BC36" s="11">
        <f t="shared" si="103"/>
        <v>0</v>
      </c>
      <c r="BD36" s="11">
        <f t="shared" si="103"/>
        <v>0</v>
      </c>
      <c r="BE36" s="11">
        <f t="shared" si="103"/>
        <v>0</v>
      </c>
      <c r="BF36" s="11">
        <f t="shared" si="103"/>
        <v>0</v>
      </c>
      <c r="BG36" s="71">
        <f t="shared" si="103"/>
        <v>0</v>
      </c>
      <c r="BH36" s="11">
        <f t="shared" si="103"/>
        <v>0</v>
      </c>
      <c r="BI36" s="11">
        <f t="shared" si="103"/>
        <v>0</v>
      </c>
      <c r="BJ36" s="11">
        <f t="shared" si="103"/>
        <v>0</v>
      </c>
      <c r="BK36" s="11">
        <f t="shared" si="103"/>
        <v>0</v>
      </c>
      <c r="BL36" s="11">
        <f t="shared" si="103"/>
        <v>0</v>
      </c>
      <c r="BM36" s="11">
        <f t="shared" si="103"/>
        <v>0</v>
      </c>
      <c r="BN36" s="11">
        <f t="shared" si="103"/>
        <v>0</v>
      </c>
      <c r="BO36" s="11">
        <f t="shared" si="103"/>
        <v>0</v>
      </c>
      <c r="BP36" s="11">
        <f t="shared" si="103"/>
        <v>0</v>
      </c>
      <c r="BQ36" s="11">
        <f t="shared" si="103"/>
        <v>0</v>
      </c>
      <c r="BR36" s="11">
        <f t="shared" si="103"/>
        <v>0</v>
      </c>
      <c r="BS36" s="71">
        <f t="shared" si="103"/>
        <v>0</v>
      </c>
      <c r="BT36" s="11">
        <f t="shared" ref="BT36:CE36" si="104">BT20*BT52</f>
        <v>0</v>
      </c>
      <c r="BU36" s="11">
        <f t="shared" si="104"/>
        <v>0</v>
      </c>
      <c r="BV36" s="11">
        <f t="shared" si="104"/>
        <v>0</v>
      </c>
      <c r="BW36" s="11">
        <f t="shared" si="104"/>
        <v>0</v>
      </c>
      <c r="BX36" s="11">
        <f t="shared" si="104"/>
        <v>0</v>
      </c>
      <c r="BY36" s="11">
        <f t="shared" si="104"/>
        <v>0</v>
      </c>
      <c r="BZ36" s="11">
        <f t="shared" si="104"/>
        <v>0</v>
      </c>
      <c r="CA36" s="11">
        <f t="shared" si="104"/>
        <v>0</v>
      </c>
      <c r="CB36" s="11">
        <f t="shared" si="104"/>
        <v>0</v>
      </c>
      <c r="CC36" s="11">
        <f t="shared" si="104"/>
        <v>0</v>
      </c>
      <c r="CD36" s="11">
        <f t="shared" si="104"/>
        <v>0</v>
      </c>
      <c r="CE36" s="88">
        <f t="shared" si="104"/>
        <v>0</v>
      </c>
    </row>
    <row r="37" spans="14:83" x14ac:dyDescent="0.35">
      <c r="N37" s="5"/>
      <c r="P37" s="933"/>
      <c r="Q37" s="18" t="s">
        <v>262</v>
      </c>
      <c r="R37" s="208">
        <f t="shared" ref="R37:V46" si="105">IFERROR(SUMIF($X$2:$CE$2,R$2,$X21:$CE21)/SUMIF($X$2:$CE$2,R$2,$X5:$CE5),0)</f>
        <v>0</v>
      </c>
      <c r="S37" s="209">
        <f t="shared" si="105"/>
        <v>0</v>
      </c>
      <c r="T37" s="209">
        <f t="shared" si="105"/>
        <v>0</v>
      </c>
      <c r="U37" s="209">
        <f t="shared" si="105"/>
        <v>0</v>
      </c>
      <c r="V37" s="210">
        <f t="shared" si="105"/>
        <v>0</v>
      </c>
      <c r="W37" s="208">
        <f t="shared" ref="W37" si="106">IFERROR(W21/W5,0)</f>
        <v>0</v>
      </c>
      <c r="X37" s="208">
        <f t="shared" ref="X37:BS37" si="107">IFERROR(X21/X5,0)</f>
        <v>0</v>
      </c>
      <c r="Y37" s="209">
        <f t="shared" si="107"/>
        <v>0</v>
      </c>
      <c r="Z37" s="209">
        <f t="shared" si="107"/>
        <v>0</v>
      </c>
      <c r="AA37" s="209">
        <f t="shared" si="107"/>
        <v>0</v>
      </c>
      <c r="AB37" s="209">
        <f t="shared" si="107"/>
        <v>0</v>
      </c>
      <c r="AC37" s="209">
        <f t="shared" si="107"/>
        <v>0</v>
      </c>
      <c r="AD37" s="209">
        <f t="shared" si="107"/>
        <v>0</v>
      </c>
      <c r="AE37" s="209">
        <f t="shared" si="107"/>
        <v>0</v>
      </c>
      <c r="AF37" s="209">
        <f t="shared" si="107"/>
        <v>0</v>
      </c>
      <c r="AG37" s="209">
        <f t="shared" si="107"/>
        <v>0</v>
      </c>
      <c r="AH37" s="209">
        <f t="shared" si="107"/>
        <v>0</v>
      </c>
      <c r="AI37" s="210">
        <f t="shared" si="107"/>
        <v>0</v>
      </c>
      <c r="AJ37" s="208">
        <f t="shared" si="107"/>
        <v>0</v>
      </c>
      <c r="AK37" s="209">
        <f t="shared" si="107"/>
        <v>0</v>
      </c>
      <c r="AL37" s="209">
        <f t="shared" si="107"/>
        <v>0</v>
      </c>
      <c r="AM37" s="209">
        <f t="shared" si="107"/>
        <v>0</v>
      </c>
      <c r="AN37" s="209">
        <f t="shared" si="107"/>
        <v>0</v>
      </c>
      <c r="AO37" s="209">
        <f t="shared" si="107"/>
        <v>0</v>
      </c>
      <c r="AP37" s="209">
        <f t="shared" si="107"/>
        <v>0</v>
      </c>
      <c r="AQ37" s="209">
        <f t="shared" si="107"/>
        <v>0</v>
      </c>
      <c r="AR37" s="209">
        <f t="shared" si="107"/>
        <v>0</v>
      </c>
      <c r="AS37" s="209">
        <f t="shared" si="107"/>
        <v>0</v>
      </c>
      <c r="AT37" s="209">
        <f t="shared" si="107"/>
        <v>0</v>
      </c>
      <c r="AU37" s="210">
        <f t="shared" si="107"/>
        <v>0</v>
      </c>
      <c r="AV37" s="208">
        <f t="shared" si="107"/>
        <v>0</v>
      </c>
      <c r="AW37" s="209">
        <f t="shared" si="107"/>
        <v>0</v>
      </c>
      <c r="AX37" s="209">
        <f t="shared" si="107"/>
        <v>0</v>
      </c>
      <c r="AY37" s="209">
        <f t="shared" si="107"/>
        <v>0</v>
      </c>
      <c r="AZ37" s="209">
        <f t="shared" si="107"/>
        <v>0</v>
      </c>
      <c r="BA37" s="209">
        <f t="shared" si="107"/>
        <v>0</v>
      </c>
      <c r="BB37" s="209">
        <f t="shared" si="107"/>
        <v>0</v>
      </c>
      <c r="BC37" s="209">
        <f t="shared" si="107"/>
        <v>0</v>
      </c>
      <c r="BD37" s="209">
        <f t="shared" si="107"/>
        <v>0</v>
      </c>
      <c r="BE37" s="209">
        <f t="shared" si="107"/>
        <v>0</v>
      </c>
      <c r="BF37" s="209">
        <f t="shared" si="107"/>
        <v>0</v>
      </c>
      <c r="BG37" s="210">
        <f t="shared" si="107"/>
        <v>0</v>
      </c>
      <c r="BH37" s="209">
        <f t="shared" si="107"/>
        <v>0</v>
      </c>
      <c r="BI37" s="209">
        <f t="shared" si="107"/>
        <v>0</v>
      </c>
      <c r="BJ37" s="209">
        <f t="shared" si="107"/>
        <v>0</v>
      </c>
      <c r="BK37" s="209">
        <f t="shared" si="107"/>
        <v>0</v>
      </c>
      <c r="BL37" s="209">
        <f t="shared" si="107"/>
        <v>0</v>
      </c>
      <c r="BM37" s="209">
        <f t="shared" si="107"/>
        <v>0</v>
      </c>
      <c r="BN37" s="209">
        <f t="shared" si="107"/>
        <v>0</v>
      </c>
      <c r="BO37" s="209">
        <f t="shared" si="107"/>
        <v>0</v>
      </c>
      <c r="BP37" s="209">
        <f t="shared" si="107"/>
        <v>0</v>
      </c>
      <c r="BQ37" s="209">
        <f t="shared" si="107"/>
        <v>0</v>
      </c>
      <c r="BR37" s="209">
        <f t="shared" si="107"/>
        <v>0</v>
      </c>
      <c r="BS37" s="210">
        <f t="shared" si="107"/>
        <v>0</v>
      </c>
      <c r="BT37" s="209">
        <f t="shared" ref="BT37:CE37" si="108">IFERROR(BT21/BT5,0)</f>
        <v>0</v>
      </c>
      <c r="BU37" s="209">
        <f t="shared" si="108"/>
        <v>0</v>
      </c>
      <c r="BV37" s="209">
        <f t="shared" si="108"/>
        <v>0</v>
      </c>
      <c r="BW37" s="209">
        <f t="shared" si="108"/>
        <v>0</v>
      </c>
      <c r="BX37" s="209">
        <f t="shared" si="108"/>
        <v>0</v>
      </c>
      <c r="BY37" s="209">
        <f t="shared" si="108"/>
        <v>0</v>
      </c>
      <c r="BZ37" s="209">
        <f t="shared" si="108"/>
        <v>0</v>
      </c>
      <c r="CA37" s="209">
        <f t="shared" si="108"/>
        <v>0</v>
      </c>
      <c r="CB37" s="209">
        <f t="shared" si="108"/>
        <v>0</v>
      </c>
      <c r="CC37" s="209">
        <f t="shared" si="108"/>
        <v>0</v>
      </c>
      <c r="CD37" s="209">
        <f t="shared" si="108"/>
        <v>0</v>
      </c>
      <c r="CE37" s="211">
        <f t="shared" si="108"/>
        <v>0</v>
      </c>
    </row>
    <row r="38" spans="14:83" x14ac:dyDescent="0.35">
      <c r="N38" s="5"/>
      <c r="P38" s="933"/>
      <c r="Q38" s="194" t="str">
        <f>$Q$6</f>
        <v/>
      </c>
      <c r="R38" s="199">
        <f t="shared" si="105"/>
        <v>0</v>
      </c>
      <c r="S38" s="121">
        <f t="shared" si="105"/>
        <v>0</v>
      </c>
      <c r="T38" s="121">
        <f t="shared" si="105"/>
        <v>0</v>
      </c>
      <c r="U38" s="121">
        <f t="shared" si="105"/>
        <v>0</v>
      </c>
      <c r="V38" s="200">
        <f t="shared" si="105"/>
        <v>0</v>
      </c>
      <c r="W38" s="201">
        <f>IF(SUM(R6:V6)&gt;0,'UW Model'!T28,0)</f>
        <v>0</v>
      </c>
      <c r="X38" s="201">
        <f>HLOOKUP((X$2-1)*12,$W$3:$CE$52,ROW()-2,0)*(1+(HLOOKUP(X$2,'UW Model'!$M$103:$Q$104,2,0)/12)*(X$3-((X$2-1)*12)))</f>
        <v>0</v>
      </c>
      <c r="Y38" s="11">
        <f>HLOOKUP((Y$2-1)*12,$W$3:$CE$52,ROW()-2,0)*(1+(HLOOKUP(Y$2,'UW Model'!$M$103:$Q$104,2,0)/12)*(Y$3-((Y$2-1)*12)))</f>
        <v>0</v>
      </c>
      <c r="Z38" s="11">
        <f>HLOOKUP((Z$2-1)*12,$W$3:$CE$52,ROW()-2,0)*(1+(HLOOKUP(Z$2,'UW Model'!$M$103:$Q$104,2,0)/12)*(Z$3-((Z$2-1)*12)))</f>
        <v>0</v>
      </c>
      <c r="AA38" s="11">
        <f>HLOOKUP((AA$2-1)*12,$W$3:$CE$52,ROW()-2,0)*(1+(HLOOKUP(AA$2,'UW Model'!$M$103:$Q$104,2,0)/12)*(AA$3-((AA$2-1)*12)))</f>
        <v>0</v>
      </c>
      <c r="AB38" s="11">
        <f>HLOOKUP((AB$2-1)*12,$W$3:$CE$52,ROW()-2,0)*(1+(HLOOKUP(AB$2,'UW Model'!$M$103:$Q$104,2,0)/12)*(AB$3-((AB$2-1)*12)))</f>
        <v>0</v>
      </c>
      <c r="AC38" s="11">
        <f>HLOOKUP((AC$2-1)*12,$W$3:$CE$52,ROW()-2,0)*(1+(HLOOKUP(AC$2,'UW Model'!$M$103:$Q$104,2,0)/12)*(AC$3-((AC$2-1)*12)))</f>
        <v>0</v>
      </c>
      <c r="AD38" s="11">
        <f>HLOOKUP((AD$2-1)*12,$W$3:$CE$52,ROW()-2,0)*(1+(HLOOKUP(AD$2,'UW Model'!$M$103:$Q$104,2,0)/12)*(AD$3-((AD$2-1)*12)))</f>
        <v>0</v>
      </c>
      <c r="AE38" s="11">
        <f>HLOOKUP((AE$2-1)*12,$W$3:$CE$52,ROW()-2,0)*(1+(HLOOKUP(AE$2,'UW Model'!$M$103:$Q$104,2,0)/12)*(AE$3-((AE$2-1)*12)))</f>
        <v>0</v>
      </c>
      <c r="AF38" s="11">
        <f>HLOOKUP((AF$2-1)*12,$W$3:$CE$52,ROW()-2,0)*(1+(HLOOKUP(AF$2,'UW Model'!$M$103:$Q$104,2,0)/12)*(AF$3-((AF$2-1)*12)))</f>
        <v>0</v>
      </c>
      <c r="AG38" s="11">
        <f>HLOOKUP((AG$2-1)*12,$W$3:$CE$52,ROW()-2,0)*(1+(HLOOKUP(AG$2,'UW Model'!$M$103:$Q$104,2,0)/12)*(AG$3-((AG$2-1)*12)))</f>
        <v>0</v>
      </c>
      <c r="AH38" s="11">
        <f>HLOOKUP((AH$2-1)*12,$W$3:$CE$52,ROW()-2,0)*(1+(HLOOKUP(AH$2,'UW Model'!$M$103:$Q$104,2,0)/12)*(AH$3-((AH$2-1)*12)))</f>
        <v>0</v>
      </c>
      <c r="AI38" s="71">
        <f>HLOOKUP((AI$2-1)*12,$W$3:$CE$52,ROW()-2,0)*(1+(HLOOKUP(AI$2,'UW Model'!$M$103:$Q$104,2,0)/12)*(AI$3-((AI$2-1)*12)))</f>
        <v>0</v>
      </c>
      <c r="AJ38" s="201">
        <f>HLOOKUP((AJ$2-1)*12,$W$3:$CE$52,ROW()-2,0)*(1+(HLOOKUP(AJ$2,'UW Model'!$M$103:$Q$104,2,0)/12)*(AJ$3-((AJ$2-1)*12)))</f>
        <v>0</v>
      </c>
      <c r="AK38" s="11">
        <f>HLOOKUP((AK$2-1)*12,$W$3:$CE$52,ROW()-2,0)*(1+(HLOOKUP(AK$2,'UW Model'!$M$103:$Q$104,2,0)/12)*(AK$3-((AK$2-1)*12)))</f>
        <v>0</v>
      </c>
      <c r="AL38" s="11">
        <f>HLOOKUP((AL$2-1)*12,$W$3:$CE$52,ROW()-2,0)*(1+(HLOOKUP(AL$2,'UW Model'!$M$103:$Q$104,2,0)/12)*(AL$3-((AL$2-1)*12)))</f>
        <v>0</v>
      </c>
      <c r="AM38" s="11">
        <f>HLOOKUP((AM$2-1)*12,$W$3:$CE$52,ROW()-2,0)*(1+(HLOOKUP(AM$2,'UW Model'!$M$103:$Q$104,2,0)/12)*(AM$3-((AM$2-1)*12)))</f>
        <v>0</v>
      </c>
      <c r="AN38" s="11">
        <f>HLOOKUP((AN$2-1)*12,$W$3:$CE$52,ROW()-2,0)*(1+(HLOOKUP(AN$2,'UW Model'!$M$103:$Q$104,2,0)/12)*(AN$3-((AN$2-1)*12)))</f>
        <v>0</v>
      </c>
      <c r="AO38" s="11">
        <f>HLOOKUP((AO$2-1)*12,$W$3:$CE$52,ROW()-2,0)*(1+(HLOOKUP(AO$2,'UW Model'!$M$103:$Q$104,2,0)/12)*(AO$3-((AO$2-1)*12)))</f>
        <v>0</v>
      </c>
      <c r="AP38" s="11">
        <f>HLOOKUP((AP$2-1)*12,$W$3:$CE$52,ROW()-2,0)*(1+(HLOOKUP(AP$2,'UW Model'!$M$103:$Q$104,2,0)/12)*(AP$3-((AP$2-1)*12)))</f>
        <v>0</v>
      </c>
      <c r="AQ38" s="11">
        <f>HLOOKUP((AQ$2-1)*12,$W$3:$CE$52,ROW()-2,0)*(1+(HLOOKUP(AQ$2,'UW Model'!$M$103:$Q$104,2,0)/12)*(AQ$3-((AQ$2-1)*12)))</f>
        <v>0</v>
      </c>
      <c r="AR38" s="11">
        <f>HLOOKUP((AR$2-1)*12,$W$3:$CE$52,ROW()-2,0)*(1+(HLOOKUP(AR$2,'UW Model'!$M$103:$Q$104,2,0)/12)*(AR$3-((AR$2-1)*12)))</f>
        <v>0</v>
      </c>
      <c r="AS38" s="11">
        <f>HLOOKUP((AS$2-1)*12,$W$3:$CE$52,ROW()-2,0)*(1+(HLOOKUP(AS$2,'UW Model'!$M$103:$Q$104,2,0)/12)*(AS$3-((AS$2-1)*12)))</f>
        <v>0</v>
      </c>
      <c r="AT38" s="11">
        <f>HLOOKUP((AT$2-1)*12,$W$3:$CE$52,ROW()-2,0)*(1+(HLOOKUP(AT$2,'UW Model'!$M$103:$Q$104,2,0)/12)*(AT$3-((AT$2-1)*12)))</f>
        <v>0</v>
      </c>
      <c r="AU38" s="71">
        <f>HLOOKUP((AU$2-1)*12,$W$3:$CE$52,ROW()-2,0)*(1+(HLOOKUP(AU$2,'UW Model'!$M$103:$Q$104,2,0)/12)*(AU$3-((AU$2-1)*12)))</f>
        <v>0</v>
      </c>
      <c r="AV38" s="11">
        <f>HLOOKUP((AV$2-1)*12,$W$3:$CE$52,ROW()-2,0)*(1+(HLOOKUP(AV$2,'UW Model'!$M$103:$Q$104,2,0)/12)*(AV$3-((AV$2-1)*12)))</f>
        <v>0</v>
      </c>
      <c r="AW38" s="11">
        <f>HLOOKUP((AW$2-1)*12,$W$3:$CE$52,ROW()-2,0)*(1+(HLOOKUP(AW$2,'UW Model'!$M$103:$Q$104,2,0)/12)*(AW$3-((AW$2-1)*12)))</f>
        <v>0</v>
      </c>
      <c r="AX38" s="11">
        <f>HLOOKUP((AX$2-1)*12,$W$3:$CE$52,ROW()-2,0)*(1+(HLOOKUP(AX$2,'UW Model'!$M$103:$Q$104,2,0)/12)*(AX$3-((AX$2-1)*12)))</f>
        <v>0</v>
      </c>
      <c r="AY38" s="11">
        <f>HLOOKUP((AY$2-1)*12,$W$3:$CE$52,ROW()-2,0)*(1+(HLOOKUP(AY$2,'UW Model'!$M$103:$Q$104,2,0)/12)*(AY$3-((AY$2-1)*12)))</f>
        <v>0</v>
      </c>
      <c r="AZ38" s="11">
        <f>HLOOKUP((AZ$2-1)*12,$W$3:$CE$52,ROW()-2,0)*(1+(HLOOKUP(AZ$2,'UW Model'!$M$103:$Q$104,2,0)/12)*(AZ$3-((AZ$2-1)*12)))</f>
        <v>0</v>
      </c>
      <c r="BA38" s="11">
        <f>HLOOKUP((BA$2-1)*12,$W$3:$CE$52,ROW()-2,0)*(1+(HLOOKUP(BA$2,'UW Model'!$M$103:$Q$104,2,0)/12)*(BA$3-((BA$2-1)*12)))</f>
        <v>0</v>
      </c>
      <c r="BB38" s="11">
        <f>HLOOKUP((BB$2-1)*12,$W$3:$CE$52,ROW()-2,0)*(1+(HLOOKUP(BB$2,'UW Model'!$M$103:$Q$104,2,0)/12)*(BB$3-((BB$2-1)*12)))</f>
        <v>0</v>
      </c>
      <c r="BC38" s="11">
        <f>HLOOKUP((BC$2-1)*12,$W$3:$CE$52,ROW()-2,0)*(1+(HLOOKUP(BC$2,'UW Model'!$M$103:$Q$104,2,0)/12)*(BC$3-((BC$2-1)*12)))</f>
        <v>0</v>
      </c>
      <c r="BD38" s="11">
        <f>HLOOKUP((BD$2-1)*12,$W$3:$CE$52,ROW()-2,0)*(1+(HLOOKUP(BD$2,'UW Model'!$M$103:$Q$104,2,0)/12)*(BD$3-((BD$2-1)*12)))</f>
        <v>0</v>
      </c>
      <c r="BE38" s="11">
        <f>HLOOKUP((BE$2-1)*12,$W$3:$CE$52,ROW()-2,0)*(1+(HLOOKUP(BE$2,'UW Model'!$M$103:$Q$104,2,0)/12)*(BE$3-((BE$2-1)*12)))</f>
        <v>0</v>
      </c>
      <c r="BF38" s="11">
        <f>HLOOKUP((BF$2-1)*12,$W$3:$CE$52,ROW()-2,0)*(1+(HLOOKUP(BF$2,'UW Model'!$M$103:$Q$104,2,0)/12)*(BF$3-((BF$2-1)*12)))</f>
        <v>0</v>
      </c>
      <c r="BG38" s="71">
        <f>HLOOKUP((BG$2-1)*12,$W$3:$CE$52,ROW()-2,0)*(1+(HLOOKUP(BG$2,'UW Model'!$M$103:$Q$104,2,0)/12)*(BG$3-((BG$2-1)*12)))</f>
        <v>0</v>
      </c>
      <c r="BH38" s="11">
        <f>HLOOKUP((BH$2-1)*12,$W$3:$CE$52,ROW()-2,0)*(1+(HLOOKUP(BH$2,'UW Model'!$M$103:$Q$104,2,0)/12)*(BH$3-((BH$2-1)*12)))</f>
        <v>0</v>
      </c>
      <c r="BI38" s="11">
        <f>HLOOKUP((BI$2-1)*12,$W$3:$CE$52,ROW()-2,0)*(1+(HLOOKUP(BI$2,'UW Model'!$M$103:$Q$104,2,0)/12)*(BI$3-((BI$2-1)*12)))</f>
        <v>0</v>
      </c>
      <c r="BJ38" s="11">
        <f>HLOOKUP((BJ$2-1)*12,$W$3:$CE$52,ROW()-2,0)*(1+(HLOOKUP(BJ$2,'UW Model'!$M$103:$Q$104,2,0)/12)*(BJ$3-((BJ$2-1)*12)))</f>
        <v>0</v>
      </c>
      <c r="BK38" s="11">
        <f>HLOOKUP((BK$2-1)*12,$W$3:$CE$52,ROW()-2,0)*(1+(HLOOKUP(BK$2,'UW Model'!$M$103:$Q$104,2,0)/12)*(BK$3-((BK$2-1)*12)))</f>
        <v>0</v>
      </c>
      <c r="BL38" s="11">
        <f>HLOOKUP((BL$2-1)*12,$W$3:$CE$52,ROW()-2,0)*(1+(HLOOKUP(BL$2,'UW Model'!$M$103:$Q$104,2,0)/12)*(BL$3-((BL$2-1)*12)))</f>
        <v>0</v>
      </c>
      <c r="BM38" s="11">
        <f>HLOOKUP((BM$2-1)*12,$W$3:$CE$52,ROW()-2,0)*(1+(HLOOKUP(BM$2,'UW Model'!$M$103:$Q$104,2,0)/12)*(BM$3-((BM$2-1)*12)))</f>
        <v>0</v>
      </c>
      <c r="BN38" s="11">
        <f>HLOOKUP((BN$2-1)*12,$W$3:$CE$52,ROW()-2,0)*(1+(HLOOKUP(BN$2,'UW Model'!$M$103:$Q$104,2,0)/12)*(BN$3-((BN$2-1)*12)))</f>
        <v>0</v>
      </c>
      <c r="BO38" s="11">
        <f>HLOOKUP((BO$2-1)*12,$W$3:$CE$52,ROW()-2,0)*(1+(HLOOKUP(BO$2,'UW Model'!$M$103:$Q$104,2,0)/12)*(BO$3-((BO$2-1)*12)))</f>
        <v>0</v>
      </c>
      <c r="BP38" s="11">
        <f>HLOOKUP((BP$2-1)*12,$W$3:$CE$52,ROW()-2,0)*(1+(HLOOKUP(BP$2,'UW Model'!$M$103:$Q$104,2,0)/12)*(BP$3-((BP$2-1)*12)))</f>
        <v>0</v>
      </c>
      <c r="BQ38" s="11">
        <f>HLOOKUP((BQ$2-1)*12,$W$3:$CE$52,ROW()-2,0)*(1+(HLOOKUP(BQ$2,'UW Model'!$M$103:$Q$104,2,0)/12)*(BQ$3-((BQ$2-1)*12)))</f>
        <v>0</v>
      </c>
      <c r="BR38" s="11">
        <f>HLOOKUP((BR$2-1)*12,$W$3:$CE$52,ROW()-2,0)*(1+(HLOOKUP(BR$2,'UW Model'!$M$103:$Q$104,2,0)/12)*(BR$3-((BR$2-1)*12)))</f>
        <v>0</v>
      </c>
      <c r="BS38" s="71">
        <f>HLOOKUP((BS$2-1)*12,$W$3:$CE$52,ROW()-2,0)*(1+(HLOOKUP(BS$2,'UW Model'!$M$103:$Q$104,2,0)/12)*(BS$3-((BS$2-1)*12)))</f>
        <v>0</v>
      </c>
      <c r="BT38" s="11">
        <f>HLOOKUP((BT$2-1)*12,$W$3:$CE$52,ROW()-2,0)*(1+(HLOOKUP(BT$2,'UW Model'!$M$103:$Q$104,2,0)/12)*(BT$3-((BT$2-1)*12)))</f>
        <v>0</v>
      </c>
      <c r="BU38" s="11">
        <f>HLOOKUP((BU$2-1)*12,$W$3:$CE$52,ROW()-2,0)*(1+(HLOOKUP(BU$2,'UW Model'!$M$103:$Q$104,2,0)/12)*(BU$3-((BU$2-1)*12)))</f>
        <v>0</v>
      </c>
      <c r="BV38" s="11">
        <f>HLOOKUP((BV$2-1)*12,$W$3:$CE$52,ROW()-2,0)*(1+(HLOOKUP(BV$2,'UW Model'!$M$103:$Q$104,2,0)/12)*(BV$3-((BV$2-1)*12)))</f>
        <v>0</v>
      </c>
      <c r="BW38" s="11">
        <f>HLOOKUP((BW$2-1)*12,$W$3:$CE$52,ROW()-2,0)*(1+(HLOOKUP(BW$2,'UW Model'!$M$103:$Q$104,2,0)/12)*(BW$3-((BW$2-1)*12)))</f>
        <v>0</v>
      </c>
      <c r="BX38" s="11">
        <f>HLOOKUP((BX$2-1)*12,$W$3:$CE$52,ROW()-2,0)*(1+(HLOOKUP(BX$2,'UW Model'!$M$103:$Q$104,2,0)/12)*(BX$3-((BX$2-1)*12)))</f>
        <v>0</v>
      </c>
      <c r="BY38" s="11">
        <f>HLOOKUP((BY$2-1)*12,$W$3:$CE$52,ROW()-2,0)*(1+(HLOOKUP(BY$2,'UW Model'!$M$103:$Q$104,2,0)/12)*(BY$3-((BY$2-1)*12)))</f>
        <v>0</v>
      </c>
      <c r="BZ38" s="11">
        <f>HLOOKUP((BZ$2-1)*12,$W$3:$CE$52,ROW()-2,0)*(1+(HLOOKUP(BZ$2,'UW Model'!$M$103:$Q$104,2,0)/12)*(BZ$3-((BZ$2-1)*12)))</f>
        <v>0</v>
      </c>
      <c r="CA38" s="11">
        <f>HLOOKUP((CA$2-1)*12,$W$3:$CE$52,ROW()-2,0)*(1+(HLOOKUP(CA$2,'UW Model'!$M$103:$Q$104,2,0)/12)*(CA$3-((CA$2-1)*12)))</f>
        <v>0</v>
      </c>
      <c r="CB38" s="11">
        <f>HLOOKUP((CB$2-1)*12,$W$3:$CE$52,ROW()-2,0)*(1+(HLOOKUP(CB$2,'UW Model'!$M$103:$Q$104,2,0)/12)*(CB$3-((CB$2-1)*12)))</f>
        <v>0</v>
      </c>
      <c r="CC38" s="11">
        <f>HLOOKUP((CC$2-1)*12,$W$3:$CE$52,ROW()-2,0)*(1+(HLOOKUP(CC$2,'UW Model'!$M$103:$Q$104,2,0)/12)*(CC$3-((CC$2-1)*12)))</f>
        <v>0</v>
      </c>
      <c r="CD38" s="11">
        <f>HLOOKUP((CD$2-1)*12,$W$3:$CE$52,ROW()-2,0)*(1+(HLOOKUP(CD$2,'UW Model'!$M$103:$Q$104,2,0)/12)*(CD$3-((CD$2-1)*12)))</f>
        <v>0</v>
      </c>
      <c r="CE38" s="88">
        <f>HLOOKUP((CE$2-1)*12,$W$3:$CE$52,ROW()-2,0)*(1+(HLOOKUP(CE$2,'UW Model'!$M$103:$Q$104,2,0)/12)*(CE$3-((CE$2-1)*12)))</f>
        <v>0</v>
      </c>
    </row>
    <row r="39" spans="14:83" x14ac:dyDescent="0.35">
      <c r="N39" s="5"/>
      <c r="P39" s="933"/>
      <c r="Q39" s="194" t="str">
        <f>$Q$7</f>
        <v/>
      </c>
      <c r="R39" s="199">
        <f t="shared" si="105"/>
        <v>0</v>
      </c>
      <c r="S39" s="121">
        <f t="shared" si="105"/>
        <v>0</v>
      </c>
      <c r="T39" s="121">
        <f t="shared" si="105"/>
        <v>0</v>
      </c>
      <c r="U39" s="121">
        <f t="shared" si="105"/>
        <v>0</v>
      </c>
      <c r="V39" s="200">
        <f t="shared" si="105"/>
        <v>0</v>
      </c>
      <c r="W39" s="201">
        <f>IF(SUM(R7:V7)&gt;0,'UW Model'!T29,0)</f>
        <v>0</v>
      </c>
      <c r="X39" s="201">
        <f>HLOOKUP((X$2-1)*12,$W$3:$CE$52,ROW()-2,0)*(1+(HLOOKUP(X$2,'UW Model'!$M$103:$Q$104,2,0)/12)*(X$3-((X$2-1)*12)))</f>
        <v>0</v>
      </c>
      <c r="Y39" s="11">
        <f>HLOOKUP((Y$2-1)*12,$W$3:$CE$52,ROW()-2,0)*(1+(HLOOKUP(Y$2,'UW Model'!$M$103:$Q$104,2,0)/12)*(Y$3-((Y$2-1)*12)))</f>
        <v>0</v>
      </c>
      <c r="Z39" s="11">
        <f>HLOOKUP((Z$2-1)*12,$W$3:$CE$52,ROW()-2,0)*(1+(HLOOKUP(Z$2,'UW Model'!$M$103:$Q$104,2,0)/12)*(Z$3-((Z$2-1)*12)))</f>
        <v>0</v>
      </c>
      <c r="AA39" s="11">
        <f>HLOOKUP((AA$2-1)*12,$W$3:$CE$52,ROW()-2,0)*(1+(HLOOKUP(AA$2,'UW Model'!$M$103:$Q$104,2,0)/12)*(AA$3-((AA$2-1)*12)))</f>
        <v>0</v>
      </c>
      <c r="AB39" s="11">
        <f>HLOOKUP((AB$2-1)*12,$W$3:$CE$52,ROW()-2,0)*(1+(HLOOKUP(AB$2,'UW Model'!$M$103:$Q$104,2,0)/12)*(AB$3-((AB$2-1)*12)))</f>
        <v>0</v>
      </c>
      <c r="AC39" s="11">
        <f>HLOOKUP((AC$2-1)*12,$W$3:$CE$52,ROW()-2,0)*(1+(HLOOKUP(AC$2,'UW Model'!$M$103:$Q$104,2,0)/12)*(AC$3-((AC$2-1)*12)))</f>
        <v>0</v>
      </c>
      <c r="AD39" s="11">
        <f>HLOOKUP((AD$2-1)*12,$W$3:$CE$52,ROW()-2,0)*(1+(HLOOKUP(AD$2,'UW Model'!$M$103:$Q$104,2,0)/12)*(AD$3-((AD$2-1)*12)))</f>
        <v>0</v>
      </c>
      <c r="AE39" s="11">
        <f>HLOOKUP((AE$2-1)*12,$W$3:$CE$52,ROW()-2,0)*(1+(HLOOKUP(AE$2,'UW Model'!$M$103:$Q$104,2,0)/12)*(AE$3-((AE$2-1)*12)))</f>
        <v>0</v>
      </c>
      <c r="AF39" s="11">
        <f>HLOOKUP((AF$2-1)*12,$W$3:$CE$52,ROW()-2,0)*(1+(HLOOKUP(AF$2,'UW Model'!$M$103:$Q$104,2,0)/12)*(AF$3-((AF$2-1)*12)))</f>
        <v>0</v>
      </c>
      <c r="AG39" s="11">
        <f>HLOOKUP((AG$2-1)*12,$W$3:$CE$52,ROW()-2,0)*(1+(HLOOKUP(AG$2,'UW Model'!$M$103:$Q$104,2,0)/12)*(AG$3-((AG$2-1)*12)))</f>
        <v>0</v>
      </c>
      <c r="AH39" s="11">
        <f>HLOOKUP((AH$2-1)*12,$W$3:$CE$52,ROW()-2,0)*(1+(HLOOKUP(AH$2,'UW Model'!$M$103:$Q$104,2,0)/12)*(AH$3-((AH$2-1)*12)))</f>
        <v>0</v>
      </c>
      <c r="AI39" s="71">
        <f>HLOOKUP((AI$2-1)*12,$W$3:$CE$52,ROW()-2,0)*(1+(HLOOKUP(AI$2,'UW Model'!$M$103:$Q$104,2,0)/12)*(AI$3-((AI$2-1)*12)))</f>
        <v>0</v>
      </c>
      <c r="AJ39" s="201">
        <f>HLOOKUP((AJ$2-1)*12,$W$3:$CE$52,ROW()-2,0)*(1+(HLOOKUP(AJ$2,'UW Model'!$M$103:$Q$104,2,0)/12)*(AJ$3-((AJ$2-1)*12)))</f>
        <v>0</v>
      </c>
      <c r="AK39" s="11">
        <f>HLOOKUP((AK$2-1)*12,$W$3:$CE$52,ROW()-2,0)*(1+(HLOOKUP(AK$2,'UW Model'!$M$103:$Q$104,2,0)/12)*(AK$3-((AK$2-1)*12)))</f>
        <v>0</v>
      </c>
      <c r="AL39" s="11">
        <f>HLOOKUP((AL$2-1)*12,$W$3:$CE$52,ROW()-2,0)*(1+(HLOOKUP(AL$2,'UW Model'!$M$103:$Q$104,2,0)/12)*(AL$3-((AL$2-1)*12)))</f>
        <v>0</v>
      </c>
      <c r="AM39" s="11">
        <f>HLOOKUP((AM$2-1)*12,$W$3:$CE$52,ROW()-2,0)*(1+(HLOOKUP(AM$2,'UW Model'!$M$103:$Q$104,2,0)/12)*(AM$3-((AM$2-1)*12)))</f>
        <v>0</v>
      </c>
      <c r="AN39" s="11">
        <f>HLOOKUP((AN$2-1)*12,$W$3:$CE$52,ROW()-2,0)*(1+(HLOOKUP(AN$2,'UW Model'!$M$103:$Q$104,2,0)/12)*(AN$3-((AN$2-1)*12)))</f>
        <v>0</v>
      </c>
      <c r="AO39" s="11">
        <f>HLOOKUP((AO$2-1)*12,$W$3:$CE$52,ROW()-2,0)*(1+(HLOOKUP(AO$2,'UW Model'!$M$103:$Q$104,2,0)/12)*(AO$3-((AO$2-1)*12)))</f>
        <v>0</v>
      </c>
      <c r="AP39" s="11">
        <f>HLOOKUP((AP$2-1)*12,$W$3:$CE$52,ROW()-2,0)*(1+(HLOOKUP(AP$2,'UW Model'!$M$103:$Q$104,2,0)/12)*(AP$3-((AP$2-1)*12)))</f>
        <v>0</v>
      </c>
      <c r="AQ39" s="11">
        <f>HLOOKUP((AQ$2-1)*12,$W$3:$CE$52,ROW()-2,0)*(1+(HLOOKUP(AQ$2,'UW Model'!$M$103:$Q$104,2,0)/12)*(AQ$3-((AQ$2-1)*12)))</f>
        <v>0</v>
      </c>
      <c r="AR39" s="11">
        <f>HLOOKUP((AR$2-1)*12,$W$3:$CE$52,ROW()-2,0)*(1+(HLOOKUP(AR$2,'UW Model'!$M$103:$Q$104,2,0)/12)*(AR$3-((AR$2-1)*12)))</f>
        <v>0</v>
      </c>
      <c r="AS39" s="11">
        <f>HLOOKUP((AS$2-1)*12,$W$3:$CE$52,ROW()-2,0)*(1+(HLOOKUP(AS$2,'UW Model'!$M$103:$Q$104,2,0)/12)*(AS$3-((AS$2-1)*12)))</f>
        <v>0</v>
      </c>
      <c r="AT39" s="11">
        <f>HLOOKUP((AT$2-1)*12,$W$3:$CE$52,ROW()-2,0)*(1+(HLOOKUP(AT$2,'UW Model'!$M$103:$Q$104,2,0)/12)*(AT$3-((AT$2-1)*12)))</f>
        <v>0</v>
      </c>
      <c r="AU39" s="71">
        <f>HLOOKUP((AU$2-1)*12,$W$3:$CE$52,ROW()-2,0)*(1+(HLOOKUP(AU$2,'UW Model'!$M$103:$Q$104,2,0)/12)*(AU$3-((AU$2-1)*12)))</f>
        <v>0</v>
      </c>
      <c r="AV39" s="11">
        <f>HLOOKUP((AV$2-1)*12,$W$3:$CE$52,ROW()-2,0)*(1+(HLOOKUP(AV$2,'UW Model'!$M$103:$Q$104,2,0)/12)*(AV$3-((AV$2-1)*12)))</f>
        <v>0</v>
      </c>
      <c r="AW39" s="11">
        <f>HLOOKUP((AW$2-1)*12,$W$3:$CE$52,ROW()-2,0)*(1+(HLOOKUP(AW$2,'UW Model'!$M$103:$Q$104,2,0)/12)*(AW$3-((AW$2-1)*12)))</f>
        <v>0</v>
      </c>
      <c r="AX39" s="11">
        <f>HLOOKUP((AX$2-1)*12,$W$3:$CE$52,ROW()-2,0)*(1+(HLOOKUP(AX$2,'UW Model'!$M$103:$Q$104,2,0)/12)*(AX$3-((AX$2-1)*12)))</f>
        <v>0</v>
      </c>
      <c r="AY39" s="11">
        <f>HLOOKUP((AY$2-1)*12,$W$3:$CE$52,ROW()-2,0)*(1+(HLOOKUP(AY$2,'UW Model'!$M$103:$Q$104,2,0)/12)*(AY$3-((AY$2-1)*12)))</f>
        <v>0</v>
      </c>
      <c r="AZ39" s="11">
        <f>HLOOKUP((AZ$2-1)*12,$W$3:$CE$52,ROW()-2,0)*(1+(HLOOKUP(AZ$2,'UW Model'!$M$103:$Q$104,2,0)/12)*(AZ$3-((AZ$2-1)*12)))</f>
        <v>0</v>
      </c>
      <c r="BA39" s="11">
        <f>HLOOKUP((BA$2-1)*12,$W$3:$CE$52,ROW()-2,0)*(1+(HLOOKUP(BA$2,'UW Model'!$M$103:$Q$104,2,0)/12)*(BA$3-((BA$2-1)*12)))</f>
        <v>0</v>
      </c>
      <c r="BB39" s="11">
        <f>HLOOKUP((BB$2-1)*12,$W$3:$CE$52,ROW()-2,0)*(1+(HLOOKUP(BB$2,'UW Model'!$M$103:$Q$104,2,0)/12)*(BB$3-((BB$2-1)*12)))</f>
        <v>0</v>
      </c>
      <c r="BC39" s="11">
        <f>HLOOKUP((BC$2-1)*12,$W$3:$CE$52,ROW()-2,0)*(1+(HLOOKUP(BC$2,'UW Model'!$M$103:$Q$104,2,0)/12)*(BC$3-((BC$2-1)*12)))</f>
        <v>0</v>
      </c>
      <c r="BD39" s="11">
        <f>HLOOKUP((BD$2-1)*12,$W$3:$CE$52,ROW()-2,0)*(1+(HLOOKUP(BD$2,'UW Model'!$M$103:$Q$104,2,0)/12)*(BD$3-((BD$2-1)*12)))</f>
        <v>0</v>
      </c>
      <c r="BE39" s="11">
        <f>HLOOKUP((BE$2-1)*12,$W$3:$CE$52,ROW()-2,0)*(1+(HLOOKUP(BE$2,'UW Model'!$M$103:$Q$104,2,0)/12)*(BE$3-((BE$2-1)*12)))</f>
        <v>0</v>
      </c>
      <c r="BF39" s="11">
        <f>HLOOKUP((BF$2-1)*12,$W$3:$CE$52,ROW()-2,0)*(1+(HLOOKUP(BF$2,'UW Model'!$M$103:$Q$104,2,0)/12)*(BF$3-((BF$2-1)*12)))</f>
        <v>0</v>
      </c>
      <c r="BG39" s="71">
        <f>HLOOKUP((BG$2-1)*12,$W$3:$CE$52,ROW()-2,0)*(1+(HLOOKUP(BG$2,'UW Model'!$M$103:$Q$104,2,0)/12)*(BG$3-((BG$2-1)*12)))</f>
        <v>0</v>
      </c>
      <c r="BH39" s="11">
        <f>HLOOKUP((BH$2-1)*12,$W$3:$CE$52,ROW()-2,0)*(1+(HLOOKUP(BH$2,'UW Model'!$M$103:$Q$104,2,0)/12)*(BH$3-((BH$2-1)*12)))</f>
        <v>0</v>
      </c>
      <c r="BI39" s="11">
        <f>HLOOKUP((BI$2-1)*12,$W$3:$CE$52,ROW()-2,0)*(1+(HLOOKUP(BI$2,'UW Model'!$M$103:$Q$104,2,0)/12)*(BI$3-((BI$2-1)*12)))</f>
        <v>0</v>
      </c>
      <c r="BJ39" s="11">
        <f>HLOOKUP((BJ$2-1)*12,$W$3:$CE$52,ROW()-2,0)*(1+(HLOOKUP(BJ$2,'UW Model'!$M$103:$Q$104,2,0)/12)*(BJ$3-((BJ$2-1)*12)))</f>
        <v>0</v>
      </c>
      <c r="BK39" s="11">
        <f>HLOOKUP((BK$2-1)*12,$W$3:$CE$52,ROW()-2,0)*(1+(HLOOKUP(BK$2,'UW Model'!$M$103:$Q$104,2,0)/12)*(BK$3-((BK$2-1)*12)))</f>
        <v>0</v>
      </c>
      <c r="BL39" s="11">
        <f>HLOOKUP((BL$2-1)*12,$W$3:$CE$52,ROW()-2,0)*(1+(HLOOKUP(BL$2,'UW Model'!$M$103:$Q$104,2,0)/12)*(BL$3-((BL$2-1)*12)))</f>
        <v>0</v>
      </c>
      <c r="BM39" s="11">
        <f>HLOOKUP((BM$2-1)*12,$W$3:$CE$52,ROW()-2,0)*(1+(HLOOKUP(BM$2,'UW Model'!$M$103:$Q$104,2,0)/12)*(BM$3-((BM$2-1)*12)))</f>
        <v>0</v>
      </c>
      <c r="BN39" s="11">
        <f>HLOOKUP((BN$2-1)*12,$W$3:$CE$52,ROW()-2,0)*(1+(HLOOKUP(BN$2,'UW Model'!$M$103:$Q$104,2,0)/12)*(BN$3-((BN$2-1)*12)))</f>
        <v>0</v>
      </c>
      <c r="BO39" s="11">
        <f>HLOOKUP((BO$2-1)*12,$W$3:$CE$52,ROW()-2,0)*(1+(HLOOKUP(BO$2,'UW Model'!$M$103:$Q$104,2,0)/12)*(BO$3-((BO$2-1)*12)))</f>
        <v>0</v>
      </c>
      <c r="BP39" s="11">
        <f>HLOOKUP((BP$2-1)*12,$W$3:$CE$52,ROW()-2,0)*(1+(HLOOKUP(BP$2,'UW Model'!$M$103:$Q$104,2,0)/12)*(BP$3-((BP$2-1)*12)))</f>
        <v>0</v>
      </c>
      <c r="BQ39" s="11">
        <f>HLOOKUP((BQ$2-1)*12,$W$3:$CE$52,ROW()-2,0)*(1+(HLOOKUP(BQ$2,'UW Model'!$M$103:$Q$104,2,0)/12)*(BQ$3-((BQ$2-1)*12)))</f>
        <v>0</v>
      </c>
      <c r="BR39" s="11">
        <f>HLOOKUP((BR$2-1)*12,$W$3:$CE$52,ROW()-2,0)*(1+(HLOOKUP(BR$2,'UW Model'!$M$103:$Q$104,2,0)/12)*(BR$3-((BR$2-1)*12)))</f>
        <v>0</v>
      </c>
      <c r="BS39" s="71">
        <f>HLOOKUP((BS$2-1)*12,$W$3:$CE$52,ROW()-2,0)*(1+(HLOOKUP(BS$2,'UW Model'!$M$103:$Q$104,2,0)/12)*(BS$3-((BS$2-1)*12)))</f>
        <v>0</v>
      </c>
      <c r="BT39" s="11">
        <f>HLOOKUP((BT$2-1)*12,$W$3:$CE$52,ROW()-2,0)*(1+(HLOOKUP(BT$2,'UW Model'!$M$103:$Q$104,2,0)/12)*(BT$3-((BT$2-1)*12)))</f>
        <v>0</v>
      </c>
      <c r="BU39" s="11">
        <f>HLOOKUP((BU$2-1)*12,$W$3:$CE$52,ROW()-2,0)*(1+(HLOOKUP(BU$2,'UW Model'!$M$103:$Q$104,2,0)/12)*(BU$3-((BU$2-1)*12)))</f>
        <v>0</v>
      </c>
      <c r="BV39" s="11">
        <f>HLOOKUP((BV$2-1)*12,$W$3:$CE$52,ROW()-2,0)*(1+(HLOOKUP(BV$2,'UW Model'!$M$103:$Q$104,2,0)/12)*(BV$3-((BV$2-1)*12)))</f>
        <v>0</v>
      </c>
      <c r="BW39" s="11">
        <f>HLOOKUP((BW$2-1)*12,$W$3:$CE$52,ROW()-2,0)*(1+(HLOOKUP(BW$2,'UW Model'!$M$103:$Q$104,2,0)/12)*(BW$3-((BW$2-1)*12)))</f>
        <v>0</v>
      </c>
      <c r="BX39" s="11">
        <f>HLOOKUP((BX$2-1)*12,$W$3:$CE$52,ROW()-2,0)*(1+(HLOOKUP(BX$2,'UW Model'!$M$103:$Q$104,2,0)/12)*(BX$3-((BX$2-1)*12)))</f>
        <v>0</v>
      </c>
      <c r="BY39" s="11">
        <f>HLOOKUP((BY$2-1)*12,$W$3:$CE$52,ROW()-2,0)*(1+(HLOOKUP(BY$2,'UW Model'!$M$103:$Q$104,2,0)/12)*(BY$3-((BY$2-1)*12)))</f>
        <v>0</v>
      </c>
      <c r="BZ39" s="11">
        <f>HLOOKUP((BZ$2-1)*12,$W$3:$CE$52,ROW()-2,0)*(1+(HLOOKUP(BZ$2,'UW Model'!$M$103:$Q$104,2,0)/12)*(BZ$3-((BZ$2-1)*12)))</f>
        <v>0</v>
      </c>
      <c r="CA39" s="11">
        <f>HLOOKUP((CA$2-1)*12,$W$3:$CE$52,ROW()-2,0)*(1+(HLOOKUP(CA$2,'UW Model'!$M$103:$Q$104,2,0)/12)*(CA$3-((CA$2-1)*12)))</f>
        <v>0</v>
      </c>
      <c r="CB39" s="11">
        <f>HLOOKUP((CB$2-1)*12,$W$3:$CE$52,ROW()-2,0)*(1+(HLOOKUP(CB$2,'UW Model'!$M$103:$Q$104,2,0)/12)*(CB$3-((CB$2-1)*12)))</f>
        <v>0</v>
      </c>
      <c r="CC39" s="11">
        <f>HLOOKUP((CC$2-1)*12,$W$3:$CE$52,ROW()-2,0)*(1+(HLOOKUP(CC$2,'UW Model'!$M$103:$Q$104,2,0)/12)*(CC$3-((CC$2-1)*12)))</f>
        <v>0</v>
      </c>
      <c r="CD39" s="11">
        <f>HLOOKUP((CD$2-1)*12,$W$3:$CE$52,ROW()-2,0)*(1+(HLOOKUP(CD$2,'UW Model'!$M$103:$Q$104,2,0)/12)*(CD$3-((CD$2-1)*12)))</f>
        <v>0</v>
      </c>
      <c r="CE39" s="88">
        <f>HLOOKUP((CE$2-1)*12,$W$3:$CE$52,ROW()-2,0)*(1+(HLOOKUP(CE$2,'UW Model'!$M$103:$Q$104,2,0)/12)*(CE$3-((CE$2-1)*12)))</f>
        <v>0</v>
      </c>
    </row>
    <row r="40" spans="14:83" x14ac:dyDescent="0.35">
      <c r="N40" s="5"/>
      <c r="P40" s="933"/>
      <c r="Q40" s="194" t="str">
        <f>$Q$8</f>
        <v/>
      </c>
      <c r="R40" s="199">
        <f t="shared" si="105"/>
        <v>0</v>
      </c>
      <c r="S40" s="121">
        <f t="shared" si="105"/>
        <v>0</v>
      </c>
      <c r="T40" s="121">
        <f t="shared" si="105"/>
        <v>0</v>
      </c>
      <c r="U40" s="121">
        <f t="shared" si="105"/>
        <v>0</v>
      </c>
      <c r="V40" s="200">
        <f t="shared" si="105"/>
        <v>0</v>
      </c>
      <c r="W40" s="201">
        <f>IF(SUM(R8:V8)&gt;0,'UW Model'!T30,0)</f>
        <v>0</v>
      </c>
      <c r="X40" s="201">
        <f>HLOOKUP((X$2-1)*12,$W$3:$CE$52,ROW()-2,0)*(1+(HLOOKUP(X$2,'UW Model'!$M$103:$Q$104,2,0)/12)*(X$3-((X$2-1)*12)))</f>
        <v>0</v>
      </c>
      <c r="Y40" s="11">
        <f>HLOOKUP((Y$2-1)*12,$W$3:$CE$52,ROW()-2,0)*(1+(HLOOKUP(Y$2,'UW Model'!$M$103:$Q$104,2,0)/12)*(Y$3-((Y$2-1)*12)))</f>
        <v>0</v>
      </c>
      <c r="Z40" s="11">
        <f>HLOOKUP((Z$2-1)*12,$W$3:$CE$52,ROW()-2,0)*(1+(HLOOKUP(Z$2,'UW Model'!$M$103:$Q$104,2,0)/12)*(Z$3-((Z$2-1)*12)))</f>
        <v>0</v>
      </c>
      <c r="AA40" s="11">
        <f>HLOOKUP((AA$2-1)*12,$W$3:$CE$52,ROW()-2,0)*(1+(HLOOKUP(AA$2,'UW Model'!$M$103:$Q$104,2,0)/12)*(AA$3-((AA$2-1)*12)))</f>
        <v>0</v>
      </c>
      <c r="AB40" s="11">
        <f>HLOOKUP((AB$2-1)*12,$W$3:$CE$52,ROW()-2,0)*(1+(HLOOKUP(AB$2,'UW Model'!$M$103:$Q$104,2,0)/12)*(AB$3-((AB$2-1)*12)))</f>
        <v>0</v>
      </c>
      <c r="AC40" s="11">
        <f>HLOOKUP((AC$2-1)*12,$W$3:$CE$52,ROW()-2,0)*(1+(HLOOKUP(AC$2,'UW Model'!$M$103:$Q$104,2,0)/12)*(AC$3-((AC$2-1)*12)))</f>
        <v>0</v>
      </c>
      <c r="AD40" s="11">
        <f>HLOOKUP((AD$2-1)*12,$W$3:$CE$52,ROW()-2,0)*(1+(HLOOKUP(AD$2,'UW Model'!$M$103:$Q$104,2,0)/12)*(AD$3-((AD$2-1)*12)))</f>
        <v>0</v>
      </c>
      <c r="AE40" s="11">
        <f>HLOOKUP((AE$2-1)*12,$W$3:$CE$52,ROW()-2,0)*(1+(HLOOKUP(AE$2,'UW Model'!$M$103:$Q$104,2,0)/12)*(AE$3-((AE$2-1)*12)))</f>
        <v>0</v>
      </c>
      <c r="AF40" s="11">
        <f>HLOOKUP((AF$2-1)*12,$W$3:$CE$52,ROW()-2,0)*(1+(HLOOKUP(AF$2,'UW Model'!$M$103:$Q$104,2,0)/12)*(AF$3-((AF$2-1)*12)))</f>
        <v>0</v>
      </c>
      <c r="AG40" s="11">
        <f>HLOOKUP((AG$2-1)*12,$W$3:$CE$52,ROW()-2,0)*(1+(HLOOKUP(AG$2,'UW Model'!$M$103:$Q$104,2,0)/12)*(AG$3-((AG$2-1)*12)))</f>
        <v>0</v>
      </c>
      <c r="AH40" s="11">
        <f>HLOOKUP((AH$2-1)*12,$W$3:$CE$52,ROW()-2,0)*(1+(HLOOKUP(AH$2,'UW Model'!$M$103:$Q$104,2,0)/12)*(AH$3-((AH$2-1)*12)))</f>
        <v>0</v>
      </c>
      <c r="AI40" s="71">
        <f>HLOOKUP((AI$2-1)*12,$W$3:$CE$52,ROW()-2,0)*(1+(HLOOKUP(AI$2,'UW Model'!$M$103:$Q$104,2,0)/12)*(AI$3-((AI$2-1)*12)))</f>
        <v>0</v>
      </c>
      <c r="AJ40" s="201">
        <f>HLOOKUP((AJ$2-1)*12,$W$3:$CE$52,ROW()-2,0)*(1+(HLOOKUP(AJ$2,'UW Model'!$M$103:$Q$104,2,0)/12)*(AJ$3-((AJ$2-1)*12)))</f>
        <v>0</v>
      </c>
      <c r="AK40" s="11">
        <f>HLOOKUP((AK$2-1)*12,$W$3:$CE$52,ROW()-2,0)*(1+(HLOOKUP(AK$2,'UW Model'!$M$103:$Q$104,2,0)/12)*(AK$3-((AK$2-1)*12)))</f>
        <v>0</v>
      </c>
      <c r="AL40" s="11">
        <f>HLOOKUP((AL$2-1)*12,$W$3:$CE$52,ROW()-2,0)*(1+(HLOOKUP(AL$2,'UW Model'!$M$103:$Q$104,2,0)/12)*(AL$3-((AL$2-1)*12)))</f>
        <v>0</v>
      </c>
      <c r="AM40" s="11">
        <f>HLOOKUP((AM$2-1)*12,$W$3:$CE$52,ROW()-2,0)*(1+(HLOOKUP(AM$2,'UW Model'!$M$103:$Q$104,2,0)/12)*(AM$3-((AM$2-1)*12)))</f>
        <v>0</v>
      </c>
      <c r="AN40" s="11">
        <f>HLOOKUP((AN$2-1)*12,$W$3:$CE$52,ROW()-2,0)*(1+(HLOOKUP(AN$2,'UW Model'!$M$103:$Q$104,2,0)/12)*(AN$3-((AN$2-1)*12)))</f>
        <v>0</v>
      </c>
      <c r="AO40" s="11">
        <f>HLOOKUP((AO$2-1)*12,$W$3:$CE$52,ROW()-2,0)*(1+(HLOOKUP(AO$2,'UW Model'!$M$103:$Q$104,2,0)/12)*(AO$3-((AO$2-1)*12)))</f>
        <v>0</v>
      </c>
      <c r="AP40" s="11">
        <f>HLOOKUP((AP$2-1)*12,$W$3:$CE$52,ROW()-2,0)*(1+(HLOOKUP(AP$2,'UW Model'!$M$103:$Q$104,2,0)/12)*(AP$3-((AP$2-1)*12)))</f>
        <v>0</v>
      </c>
      <c r="AQ40" s="11">
        <f>HLOOKUP((AQ$2-1)*12,$W$3:$CE$52,ROW()-2,0)*(1+(HLOOKUP(AQ$2,'UW Model'!$M$103:$Q$104,2,0)/12)*(AQ$3-((AQ$2-1)*12)))</f>
        <v>0</v>
      </c>
      <c r="AR40" s="11">
        <f>HLOOKUP((AR$2-1)*12,$W$3:$CE$52,ROW()-2,0)*(1+(HLOOKUP(AR$2,'UW Model'!$M$103:$Q$104,2,0)/12)*(AR$3-((AR$2-1)*12)))</f>
        <v>0</v>
      </c>
      <c r="AS40" s="11">
        <f>HLOOKUP((AS$2-1)*12,$W$3:$CE$52,ROW()-2,0)*(1+(HLOOKUP(AS$2,'UW Model'!$M$103:$Q$104,2,0)/12)*(AS$3-((AS$2-1)*12)))</f>
        <v>0</v>
      </c>
      <c r="AT40" s="11">
        <f>HLOOKUP((AT$2-1)*12,$W$3:$CE$52,ROW()-2,0)*(1+(HLOOKUP(AT$2,'UW Model'!$M$103:$Q$104,2,0)/12)*(AT$3-((AT$2-1)*12)))</f>
        <v>0</v>
      </c>
      <c r="AU40" s="71">
        <f>HLOOKUP((AU$2-1)*12,$W$3:$CE$52,ROW()-2,0)*(1+(HLOOKUP(AU$2,'UW Model'!$M$103:$Q$104,2,0)/12)*(AU$3-((AU$2-1)*12)))</f>
        <v>0</v>
      </c>
      <c r="AV40" s="11">
        <f>HLOOKUP((AV$2-1)*12,$W$3:$CE$52,ROW()-2,0)*(1+(HLOOKUP(AV$2,'UW Model'!$M$103:$Q$104,2,0)/12)*(AV$3-((AV$2-1)*12)))</f>
        <v>0</v>
      </c>
      <c r="AW40" s="11">
        <f>HLOOKUP((AW$2-1)*12,$W$3:$CE$52,ROW()-2,0)*(1+(HLOOKUP(AW$2,'UW Model'!$M$103:$Q$104,2,0)/12)*(AW$3-((AW$2-1)*12)))</f>
        <v>0</v>
      </c>
      <c r="AX40" s="11">
        <f>HLOOKUP((AX$2-1)*12,$W$3:$CE$52,ROW()-2,0)*(1+(HLOOKUP(AX$2,'UW Model'!$M$103:$Q$104,2,0)/12)*(AX$3-((AX$2-1)*12)))</f>
        <v>0</v>
      </c>
      <c r="AY40" s="11">
        <f>HLOOKUP((AY$2-1)*12,$W$3:$CE$52,ROW()-2,0)*(1+(HLOOKUP(AY$2,'UW Model'!$M$103:$Q$104,2,0)/12)*(AY$3-((AY$2-1)*12)))</f>
        <v>0</v>
      </c>
      <c r="AZ40" s="11">
        <f>HLOOKUP((AZ$2-1)*12,$W$3:$CE$52,ROW()-2,0)*(1+(HLOOKUP(AZ$2,'UW Model'!$M$103:$Q$104,2,0)/12)*(AZ$3-((AZ$2-1)*12)))</f>
        <v>0</v>
      </c>
      <c r="BA40" s="11">
        <f>HLOOKUP((BA$2-1)*12,$W$3:$CE$52,ROW()-2,0)*(1+(HLOOKUP(BA$2,'UW Model'!$M$103:$Q$104,2,0)/12)*(BA$3-((BA$2-1)*12)))</f>
        <v>0</v>
      </c>
      <c r="BB40" s="11">
        <f>HLOOKUP((BB$2-1)*12,$W$3:$CE$52,ROW()-2,0)*(1+(HLOOKUP(BB$2,'UW Model'!$M$103:$Q$104,2,0)/12)*(BB$3-((BB$2-1)*12)))</f>
        <v>0</v>
      </c>
      <c r="BC40" s="11">
        <f>HLOOKUP((BC$2-1)*12,$W$3:$CE$52,ROW()-2,0)*(1+(HLOOKUP(BC$2,'UW Model'!$M$103:$Q$104,2,0)/12)*(BC$3-((BC$2-1)*12)))</f>
        <v>0</v>
      </c>
      <c r="BD40" s="11">
        <f>HLOOKUP((BD$2-1)*12,$W$3:$CE$52,ROW()-2,0)*(1+(HLOOKUP(BD$2,'UW Model'!$M$103:$Q$104,2,0)/12)*(BD$3-((BD$2-1)*12)))</f>
        <v>0</v>
      </c>
      <c r="BE40" s="11">
        <f>HLOOKUP((BE$2-1)*12,$W$3:$CE$52,ROW()-2,0)*(1+(HLOOKUP(BE$2,'UW Model'!$M$103:$Q$104,2,0)/12)*(BE$3-((BE$2-1)*12)))</f>
        <v>0</v>
      </c>
      <c r="BF40" s="11">
        <f>HLOOKUP((BF$2-1)*12,$W$3:$CE$52,ROW()-2,0)*(1+(HLOOKUP(BF$2,'UW Model'!$M$103:$Q$104,2,0)/12)*(BF$3-((BF$2-1)*12)))</f>
        <v>0</v>
      </c>
      <c r="BG40" s="71">
        <f>HLOOKUP((BG$2-1)*12,$W$3:$CE$52,ROW()-2,0)*(1+(HLOOKUP(BG$2,'UW Model'!$M$103:$Q$104,2,0)/12)*(BG$3-((BG$2-1)*12)))</f>
        <v>0</v>
      </c>
      <c r="BH40" s="11">
        <f>HLOOKUP((BH$2-1)*12,$W$3:$CE$52,ROW()-2,0)*(1+(HLOOKUP(BH$2,'UW Model'!$M$103:$Q$104,2,0)/12)*(BH$3-((BH$2-1)*12)))</f>
        <v>0</v>
      </c>
      <c r="BI40" s="11">
        <f>HLOOKUP((BI$2-1)*12,$W$3:$CE$52,ROW()-2,0)*(1+(HLOOKUP(BI$2,'UW Model'!$M$103:$Q$104,2,0)/12)*(BI$3-((BI$2-1)*12)))</f>
        <v>0</v>
      </c>
      <c r="BJ40" s="11">
        <f>HLOOKUP((BJ$2-1)*12,$W$3:$CE$52,ROW()-2,0)*(1+(HLOOKUP(BJ$2,'UW Model'!$M$103:$Q$104,2,0)/12)*(BJ$3-((BJ$2-1)*12)))</f>
        <v>0</v>
      </c>
      <c r="BK40" s="11">
        <f>HLOOKUP((BK$2-1)*12,$W$3:$CE$52,ROW()-2,0)*(1+(HLOOKUP(BK$2,'UW Model'!$M$103:$Q$104,2,0)/12)*(BK$3-((BK$2-1)*12)))</f>
        <v>0</v>
      </c>
      <c r="BL40" s="11">
        <f>HLOOKUP((BL$2-1)*12,$W$3:$CE$52,ROW()-2,0)*(1+(HLOOKUP(BL$2,'UW Model'!$M$103:$Q$104,2,0)/12)*(BL$3-((BL$2-1)*12)))</f>
        <v>0</v>
      </c>
      <c r="BM40" s="11">
        <f>HLOOKUP((BM$2-1)*12,$W$3:$CE$52,ROW()-2,0)*(1+(HLOOKUP(BM$2,'UW Model'!$M$103:$Q$104,2,0)/12)*(BM$3-((BM$2-1)*12)))</f>
        <v>0</v>
      </c>
      <c r="BN40" s="11">
        <f>HLOOKUP((BN$2-1)*12,$W$3:$CE$52,ROW()-2,0)*(1+(HLOOKUP(BN$2,'UW Model'!$M$103:$Q$104,2,0)/12)*(BN$3-((BN$2-1)*12)))</f>
        <v>0</v>
      </c>
      <c r="BO40" s="11">
        <f>HLOOKUP((BO$2-1)*12,$W$3:$CE$52,ROW()-2,0)*(1+(HLOOKUP(BO$2,'UW Model'!$M$103:$Q$104,2,0)/12)*(BO$3-((BO$2-1)*12)))</f>
        <v>0</v>
      </c>
      <c r="BP40" s="11">
        <f>HLOOKUP((BP$2-1)*12,$W$3:$CE$52,ROW()-2,0)*(1+(HLOOKUP(BP$2,'UW Model'!$M$103:$Q$104,2,0)/12)*(BP$3-((BP$2-1)*12)))</f>
        <v>0</v>
      </c>
      <c r="BQ40" s="11">
        <f>HLOOKUP((BQ$2-1)*12,$W$3:$CE$52,ROW()-2,0)*(1+(HLOOKUP(BQ$2,'UW Model'!$M$103:$Q$104,2,0)/12)*(BQ$3-((BQ$2-1)*12)))</f>
        <v>0</v>
      </c>
      <c r="BR40" s="11">
        <f>HLOOKUP((BR$2-1)*12,$W$3:$CE$52,ROW()-2,0)*(1+(HLOOKUP(BR$2,'UW Model'!$M$103:$Q$104,2,0)/12)*(BR$3-((BR$2-1)*12)))</f>
        <v>0</v>
      </c>
      <c r="BS40" s="71">
        <f>HLOOKUP((BS$2-1)*12,$W$3:$CE$52,ROW()-2,0)*(1+(HLOOKUP(BS$2,'UW Model'!$M$103:$Q$104,2,0)/12)*(BS$3-((BS$2-1)*12)))</f>
        <v>0</v>
      </c>
      <c r="BT40" s="11">
        <f>HLOOKUP((BT$2-1)*12,$W$3:$CE$52,ROW()-2,0)*(1+(HLOOKUP(BT$2,'UW Model'!$M$103:$Q$104,2,0)/12)*(BT$3-((BT$2-1)*12)))</f>
        <v>0</v>
      </c>
      <c r="BU40" s="11">
        <f>HLOOKUP((BU$2-1)*12,$W$3:$CE$52,ROW()-2,0)*(1+(HLOOKUP(BU$2,'UW Model'!$M$103:$Q$104,2,0)/12)*(BU$3-((BU$2-1)*12)))</f>
        <v>0</v>
      </c>
      <c r="BV40" s="11">
        <f>HLOOKUP((BV$2-1)*12,$W$3:$CE$52,ROW()-2,0)*(1+(HLOOKUP(BV$2,'UW Model'!$M$103:$Q$104,2,0)/12)*(BV$3-((BV$2-1)*12)))</f>
        <v>0</v>
      </c>
      <c r="BW40" s="11">
        <f>HLOOKUP((BW$2-1)*12,$W$3:$CE$52,ROW()-2,0)*(1+(HLOOKUP(BW$2,'UW Model'!$M$103:$Q$104,2,0)/12)*(BW$3-((BW$2-1)*12)))</f>
        <v>0</v>
      </c>
      <c r="BX40" s="11">
        <f>HLOOKUP((BX$2-1)*12,$W$3:$CE$52,ROW()-2,0)*(1+(HLOOKUP(BX$2,'UW Model'!$M$103:$Q$104,2,0)/12)*(BX$3-((BX$2-1)*12)))</f>
        <v>0</v>
      </c>
      <c r="BY40" s="11">
        <f>HLOOKUP((BY$2-1)*12,$W$3:$CE$52,ROW()-2,0)*(1+(HLOOKUP(BY$2,'UW Model'!$M$103:$Q$104,2,0)/12)*(BY$3-((BY$2-1)*12)))</f>
        <v>0</v>
      </c>
      <c r="BZ40" s="11">
        <f>HLOOKUP((BZ$2-1)*12,$W$3:$CE$52,ROW()-2,0)*(1+(HLOOKUP(BZ$2,'UW Model'!$M$103:$Q$104,2,0)/12)*(BZ$3-((BZ$2-1)*12)))</f>
        <v>0</v>
      </c>
      <c r="CA40" s="11">
        <f>HLOOKUP((CA$2-1)*12,$W$3:$CE$52,ROW()-2,0)*(1+(HLOOKUP(CA$2,'UW Model'!$M$103:$Q$104,2,0)/12)*(CA$3-((CA$2-1)*12)))</f>
        <v>0</v>
      </c>
      <c r="CB40" s="11">
        <f>HLOOKUP((CB$2-1)*12,$W$3:$CE$52,ROW()-2,0)*(1+(HLOOKUP(CB$2,'UW Model'!$M$103:$Q$104,2,0)/12)*(CB$3-((CB$2-1)*12)))</f>
        <v>0</v>
      </c>
      <c r="CC40" s="11">
        <f>HLOOKUP((CC$2-1)*12,$W$3:$CE$52,ROW()-2,0)*(1+(HLOOKUP(CC$2,'UW Model'!$M$103:$Q$104,2,0)/12)*(CC$3-((CC$2-1)*12)))</f>
        <v>0</v>
      </c>
      <c r="CD40" s="11">
        <f>HLOOKUP((CD$2-1)*12,$W$3:$CE$52,ROW()-2,0)*(1+(HLOOKUP(CD$2,'UW Model'!$M$103:$Q$104,2,0)/12)*(CD$3-((CD$2-1)*12)))</f>
        <v>0</v>
      </c>
      <c r="CE40" s="88">
        <f>HLOOKUP((CE$2-1)*12,$W$3:$CE$52,ROW()-2,0)*(1+(HLOOKUP(CE$2,'UW Model'!$M$103:$Q$104,2,0)/12)*(CE$3-((CE$2-1)*12)))</f>
        <v>0</v>
      </c>
    </row>
    <row r="41" spans="14:83" x14ac:dyDescent="0.35">
      <c r="N41" s="5"/>
      <c r="P41" s="933"/>
      <c r="Q41" s="194" t="str">
        <f>$Q$9</f>
        <v/>
      </c>
      <c r="R41" s="199">
        <f t="shared" si="105"/>
        <v>0</v>
      </c>
      <c r="S41" s="121">
        <f t="shared" si="105"/>
        <v>0</v>
      </c>
      <c r="T41" s="121">
        <f t="shared" si="105"/>
        <v>0</v>
      </c>
      <c r="U41" s="121">
        <f t="shared" si="105"/>
        <v>0</v>
      </c>
      <c r="V41" s="200">
        <f t="shared" si="105"/>
        <v>0</v>
      </c>
      <c r="W41" s="201">
        <f>IF(SUM(R9:V9)&gt;0,'UW Model'!T31,0)</f>
        <v>0</v>
      </c>
      <c r="X41" s="201">
        <f>HLOOKUP((X$2-1)*12,$W$3:$CE$52,ROW()-2,0)*(1+(HLOOKUP(X$2,'UW Model'!$M$103:$Q$104,2,0)/12)*(X$3-((X$2-1)*12)))</f>
        <v>0</v>
      </c>
      <c r="Y41" s="11">
        <f>HLOOKUP((Y$2-1)*12,$W$3:$CE$52,ROW()-2,0)*(1+(HLOOKUP(Y$2,'UW Model'!$M$103:$Q$104,2,0)/12)*(Y$3-((Y$2-1)*12)))</f>
        <v>0</v>
      </c>
      <c r="Z41" s="11">
        <f>HLOOKUP((Z$2-1)*12,$W$3:$CE$52,ROW()-2,0)*(1+(HLOOKUP(Z$2,'UW Model'!$M$103:$Q$104,2,0)/12)*(Z$3-((Z$2-1)*12)))</f>
        <v>0</v>
      </c>
      <c r="AA41" s="11">
        <f>HLOOKUP((AA$2-1)*12,$W$3:$CE$52,ROW()-2,0)*(1+(HLOOKUP(AA$2,'UW Model'!$M$103:$Q$104,2,0)/12)*(AA$3-((AA$2-1)*12)))</f>
        <v>0</v>
      </c>
      <c r="AB41" s="11">
        <f>HLOOKUP((AB$2-1)*12,$W$3:$CE$52,ROW()-2,0)*(1+(HLOOKUP(AB$2,'UW Model'!$M$103:$Q$104,2,0)/12)*(AB$3-((AB$2-1)*12)))</f>
        <v>0</v>
      </c>
      <c r="AC41" s="11">
        <f>HLOOKUP((AC$2-1)*12,$W$3:$CE$52,ROW()-2,0)*(1+(HLOOKUP(AC$2,'UW Model'!$M$103:$Q$104,2,0)/12)*(AC$3-((AC$2-1)*12)))</f>
        <v>0</v>
      </c>
      <c r="AD41" s="11">
        <f>HLOOKUP((AD$2-1)*12,$W$3:$CE$52,ROW()-2,0)*(1+(HLOOKUP(AD$2,'UW Model'!$M$103:$Q$104,2,0)/12)*(AD$3-((AD$2-1)*12)))</f>
        <v>0</v>
      </c>
      <c r="AE41" s="11">
        <f>HLOOKUP((AE$2-1)*12,$W$3:$CE$52,ROW()-2,0)*(1+(HLOOKUP(AE$2,'UW Model'!$M$103:$Q$104,2,0)/12)*(AE$3-((AE$2-1)*12)))</f>
        <v>0</v>
      </c>
      <c r="AF41" s="11">
        <f>HLOOKUP((AF$2-1)*12,$W$3:$CE$52,ROW()-2,0)*(1+(HLOOKUP(AF$2,'UW Model'!$M$103:$Q$104,2,0)/12)*(AF$3-((AF$2-1)*12)))</f>
        <v>0</v>
      </c>
      <c r="AG41" s="11">
        <f>HLOOKUP((AG$2-1)*12,$W$3:$CE$52,ROW()-2,0)*(1+(HLOOKUP(AG$2,'UW Model'!$M$103:$Q$104,2,0)/12)*(AG$3-((AG$2-1)*12)))</f>
        <v>0</v>
      </c>
      <c r="AH41" s="11">
        <f>HLOOKUP((AH$2-1)*12,$W$3:$CE$52,ROW()-2,0)*(1+(HLOOKUP(AH$2,'UW Model'!$M$103:$Q$104,2,0)/12)*(AH$3-((AH$2-1)*12)))</f>
        <v>0</v>
      </c>
      <c r="AI41" s="71">
        <f>HLOOKUP((AI$2-1)*12,$W$3:$CE$52,ROW()-2,0)*(1+(HLOOKUP(AI$2,'UW Model'!$M$103:$Q$104,2,0)/12)*(AI$3-((AI$2-1)*12)))</f>
        <v>0</v>
      </c>
      <c r="AJ41" s="201">
        <f>HLOOKUP((AJ$2-1)*12,$W$3:$CE$52,ROW()-2,0)*(1+(HLOOKUP(AJ$2,'UW Model'!$M$103:$Q$104,2,0)/12)*(AJ$3-((AJ$2-1)*12)))</f>
        <v>0</v>
      </c>
      <c r="AK41" s="11">
        <f>HLOOKUP((AK$2-1)*12,$W$3:$CE$52,ROW()-2,0)*(1+(HLOOKUP(AK$2,'UW Model'!$M$103:$Q$104,2,0)/12)*(AK$3-((AK$2-1)*12)))</f>
        <v>0</v>
      </c>
      <c r="AL41" s="11">
        <f>HLOOKUP((AL$2-1)*12,$W$3:$CE$52,ROW()-2,0)*(1+(HLOOKUP(AL$2,'UW Model'!$M$103:$Q$104,2,0)/12)*(AL$3-((AL$2-1)*12)))</f>
        <v>0</v>
      </c>
      <c r="AM41" s="11">
        <f>HLOOKUP((AM$2-1)*12,$W$3:$CE$52,ROW()-2,0)*(1+(HLOOKUP(AM$2,'UW Model'!$M$103:$Q$104,2,0)/12)*(AM$3-((AM$2-1)*12)))</f>
        <v>0</v>
      </c>
      <c r="AN41" s="11">
        <f>HLOOKUP((AN$2-1)*12,$W$3:$CE$52,ROW()-2,0)*(1+(HLOOKUP(AN$2,'UW Model'!$M$103:$Q$104,2,0)/12)*(AN$3-((AN$2-1)*12)))</f>
        <v>0</v>
      </c>
      <c r="AO41" s="11">
        <f>HLOOKUP((AO$2-1)*12,$W$3:$CE$52,ROW()-2,0)*(1+(HLOOKUP(AO$2,'UW Model'!$M$103:$Q$104,2,0)/12)*(AO$3-((AO$2-1)*12)))</f>
        <v>0</v>
      </c>
      <c r="AP41" s="11">
        <f>HLOOKUP((AP$2-1)*12,$W$3:$CE$52,ROW()-2,0)*(1+(HLOOKUP(AP$2,'UW Model'!$M$103:$Q$104,2,0)/12)*(AP$3-((AP$2-1)*12)))</f>
        <v>0</v>
      </c>
      <c r="AQ41" s="11">
        <f>HLOOKUP((AQ$2-1)*12,$W$3:$CE$52,ROW()-2,0)*(1+(HLOOKUP(AQ$2,'UW Model'!$M$103:$Q$104,2,0)/12)*(AQ$3-((AQ$2-1)*12)))</f>
        <v>0</v>
      </c>
      <c r="AR41" s="11">
        <f>HLOOKUP((AR$2-1)*12,$W$3:$CE$52,ROW()-2,0)*(1+(HLOOKUP(AR$2,'UW Model'!$M$103:$Q$104,2,0)/12)*(AR$3-((AR$2-1)*12)))</f>
        <v>0</v>
      </c>
      <c r="AS41" s="11">
        <f>HLOOKUP((AS$2-1)*12,$W$3:$CE$52,ROW()-2,0)*(1+(HLOOKUP(AS$2,'UW Model'!$M$103:$Q$104,2,0)/12)*(AS$3-((AS$2-1)*12)))</f>
        <v>0</v>
      </c>
      <c r="AT41" s="11">
        <f>HLOOKUP((AT$2-1)*12,$W$3:$CE$52,ROW()-2,0)*(1+(HLOOKUP(AT$2,'UW Model'!$M$103:$Q$104,2,0)/12)*(AT$3-((AT$2-1)*12)))</f>
        <v>0</v>
      </c>
      <c r="AU41" s="71">
        <f>HLOOKUP((AU$2-1)*12,$W$3:$CE$52,ROW()-2,0)*(1+(HLOOKUP(AU$2,'UW Model'!$M$103:$Q$104,2,0)/12)*(AU$3-((AU$2-1)*12)))</f>
        <v>0</v>
      </c>
      <c r="AV41" s="11">
        <f>HLOOKUP((AV$2-1)*12,$W$3:$CE$52,ROW()-2,0)*(1+(HLOOKUP(AV$2,'UW Model'!$M$103:$Q$104,2,0)/12)*(AV$3-((AV$2-1)*12)))</f>
        <v>0</v>
      </c>
      <c r="AW41" s="11">
        <f>HLOOKUP((AW$2-1)*12,$W$3:$CE$52,ROW()-2,0)*(1+(HLOOKUP(AW$2,'UW Model'!$M$103:$Q$104,2,0)/12)*(AW$3-((AW$2-1)*12)))</f>
        <v>0</v>
      </c>
      <c r="AX41" s="11">
        <f>HLOOKUP((AX$2-1)*12,$W$3:$CE$52,ROW()-2,0)*(1+(HLOOKUP(AX$2,'UW Model'!$M$103:$Q$104,2,0)/12)*(AX$3-((AX$2-1)*12)))</f>
        <v>0</v>
      </c>
      <c r="AY41" s="11">
        <f>HLOOKUP((AY$2-1)*12,$W$3:$CE$52,ROW()-2,0)*(1+(HLOOKUP(AY$2,'UW Model'!$M$103:$Q$104,2,0)/12)*(AY$3-((AY$2-1)*12)))</f>
        <v>0</v>
      </c>
      <c r="AZ41" s="11">
        <f>HLOOKUP((AZ$2-1)*12,$W$3:$CE$52,ROW()-2,0)*(1+(HLOOKUP(AZ$2,'UW Model'!$M$103:$Q$104,2,0)/12)*(AZ$3-((AZ$2-1)*12)))</f>
        <v>0</v>
      </c>
      <c r="BA41" s="11">
        <f>HLOOKUP((BA$2-1)*12,$W$3:$CE$52,ROW()-2,0)*(1+(HLOOKUP(BA$2,'UW Model'!$M$103:$Q$104,2,0)/12)*(BA$3-((BA$2-1)*12)))</f>
        <v>0</v>
      </c>
      <c r="BB41" s="11">
        <f>HLOOKUP((BB$2-1)*12,$W$3:$CE$52,ROW()-2,0)*(1+(HLOOKUP(BB$2,'UW Model'!$M$103:$Q$104,2,0)/12)*(BB$3-((BB$2-1)*12)))</f>
        <v>0</v>
      </c>
      <c r="BC41" s="11">
        <f>HLOOKUP((BC$2-1)*12,$W$3:$CE$52,ROW()-2,0)*(1+(HLOOKUP(BC$2,'UW Model'!$M$103:$Q$104,2,0)/12)*(BC$3-((BC$2-1)*12)))</f>
        <v>0</v>
      </c>
      <c r="BD41" s="11">
        <f>HLOOKUP((BD$2-1)*12,$W$3:$CE$52,ROW()-2,0)*(1+(HLOOKUP(BD$2,'UW Model'!$M$103:$Q$104,2,0)/12)*(BD$3-((BD$2-1)*12)))</f>
        <v>0</v>
      </c>
      <c r="BE41" s="11">
        <f>HLOOKUP((BE$2-1)*12,$W$3:$CE$52,ROW()-2,0)*(1+(HLOOKUP(BE$2,'UW Model'!$M$103:$Q$104,2,0)/12)*(BE$3-((BE$2-1)*12)))</f>
        <v>0</v>
      </c>
      <c r="BF41" s="11">
        <f>HLOOKUP((BF$2-1)*12,$W$3:$CE$52,ROW()-2,0)*(1+(HLOOKUP(BF$2,'UW Model'!$M$103:$Q$104,2,0)/12)*(BF$3-((BF$2-1)*12)))</f>
        <v>0</v>
      </c>
      <c r="BG41" s="71">
        <f>HLOOKUP((BG$2-1)*12,$W$3:$CE$52,ROW()-2,0)*(1+(HLOOKUP(BG$2,'UW Model'!$M$103:$Q$104,2,0)/12)*(BG$3-((BG$2-1)*12)))</f>
        <v>0</v>
      </c>
      <c r="BH41" s="11">
        <f>HLOOKUP((BH$2-1)*12,$W$3:$CE$52,ROW()-2,0)*(1+(HLOOKUP(BH$2,'UW Model'!$M$103:$Q$104,2,0)/12)*(BH$3-((BH$2-1)*12)))</f>
        <v>0</v>
      </c>
      <c r="BI41" s="11">
        <f>HLOOKUP((BI$2-1)*12,$W$3:$CE$52,ROW()-2,0)*(1+(HLOOKUP(BI$2,'UW Model'!$M$103:$Q$104,2,0)/12)*(BI$3-((BI$2-1)*12)))</f>
        <v>0</v>
      </c>
      <c r="BJ41" s="11">
        <f>HLOOKUP((BJ$2-1)*12,$W$3:$CE$52,ROW()-2,0)*(1+(HLOOKUP(BJ$2,'UW Model'!$M$103:$Q$104,2,0)/12)*(BJ$3-((BJ$2-1)*12)))</f>
        <v>0</v>
      </c>
      <c r="BK41" s="11">
        <f>HLOOKUP((BK$2-1)*12,$W$3:$CE$52,ROW()-2,0)*(1+(HLOOKUP(BK$2,'UW Model'!$M$103:$Q$104,2,0)/12)*(BK$3-((BK$2-1)*12)))</f>
        <v>0</v>
      </c>
      <c r="BL41" s="11">
        <f>HLOOKUP((BL$2-1)*12,$W$3:$CE$52,ROW()-2,0)*(1+(HLOOKUP(BL$2,'UW Model'!$M$103:$Q$104,2,0)/12)*(BL$3-((BL$2-1)*12)))</f>
        <v>0</v>
      </c>
      <c r="BM41" s="11">
        <f>HLOOKUP((BM$2-1)*12,$W$3:$CE$52,ROW()-2,0)*(1+(HLOOKUP(BM$2,'UW Model'!$M$103:$Q$104,2,0)/12)*(BM$3-((BM$2-1)*12)))</f>
        <v>0</v>
      </c>
      <c r="BN41" s="11">
        <f>HLOOKUP((BN$2-1)*12,$W$3:$CE$52,ROW()-2,0)*(1+(HLOOKUP(BN$2,'UW Model'!$M$103:$Q$104,2,0)/12)*(BN$3-((BN$2-1)*12)))</f>
        <v>0</v>
      </c>
      <c r="BO41" s="11">
        <f>HLOOKUP((BO$2-1)*12,$W$3:$CE$52,ROW()-2,0)*(1+(HLOOKUP(BO$2,'UW Model'!$M$103:$Q$104,2,0)/12)*(BO$3-((BO$2-1)*12)))</f>
        <v>0</v>
      </c>
      <c r="BP41" s="11">
        <f>HLOOKUP((BP$2-1)*12,$W$3:$CE$52,ROW()-2,0)*(1+(HLOOKUP(BP$2,'UW Model'!$M$103:$Q$104,2,0)/12)*(BP$3-((BP$2-1)*12)))</f>
        <v>0</v>
      </c>
      <c r="BQ41" s="11">
        <f>HLOOKUP((BQ$2-1)*12,$W$3:$CE$52,ROW()-2,0)*(1+(HLOOKUP(BQ$2,'UW Model'!$M$103:$Q$104,2,0)/12)*(BQ$3-((BQ$2-1)*12)))</f>
        <v>0</v>
      </c>
      <c r="BR41" s="11">
        <f>HLOOKUP((BR$2-1)*12,$W$3:$CE$52,ROW()-2,0)*(1+(HLOOKUP(BR$2,'UW Model'!$M$103:$Q$104,2,0)/12)*(BR$3-((BR$2-1)*12)))</f>
        <v>0</v>
      </c>
      <c r="BS41" s="71">
        <f>HLOOKUP((BS$2-1)*12,$W$3:$CE$52,ROW()-2,0)*(1+(HLOOKUP(BS$2,'UW Model'!$M$103:$Q$104,2,0)/12)*(BS$3-((BS$2-1)*12)))</f>
        <v>0</v>
      </c>
      <c r="BT41" s="11">
        <f>HLOOKUP((BT$2-1)*12,$W$3:$CE$52,ROW()-2,0)*(1+(HLOOKUP(BT$2,'UW Model'!$M$103:$Q$104,2,0)/12)*(BT$3-((BT$2-1)*12)))</f>
        <v>0</v>
      </c>
      <c r="BU41" s="11">
        <f>HLOOKUP((BU$2-1)*12,$W$3:$CE$52,ROW()-2,0)*(1+(HLOOKUP(BU$2,'UW Model'!$M$103:$Q$104,2,0)/12)*(BU$3-((BU$2-1)*12)))</f>
        <v>0</v>
      </c>
      <c r="BV41" s="11">
        <f>HLOOKUP((BV$2-1)*12,$W$3:$CE$52,ROW()-2,0)*(1+(HLOOKUP(BV$2,'UW Model'!$M$103:$Q$104,2,0)/12)*(BV$3-((BV$2-1)*12)))</f>
        <v>0</v>
      </c>
      <c r="BW41" s="11">
        <f>HLOOKUP((BW$2-1)*12,$W$3:$CE$52,ROW()-2,0)*(1+(HLOOKUP(BW$2,'UW Model'!$M$103:$Q$104,2,0)/12)*(BW$3-((BW$2-1)*12)))</f>
        <v>0</v>
      </c>
      <c r="BX41" s="11">
        <f>HLOOKUP((BX$2-1)*12,$W$3:$CE$52,ROW()-2,0)*(1+(HLOOKUP(BX$2,'UW Model'!$M$103:$Q$104,2,0)/12)*(BX$3-((BX$2-1)*12)))</f>
        <v>0</v>
      </c>
      <c r="BY41" s="11">
        <f>HLOOKUP((BY$2-1)*12,$W$3:$CE$52,ROW()-2,0)*(1+(HLOOKUP(BY$2,'UW Model'!$M$103:$Q$104,2,0)/12)*(BY$3-((BY$2-1)*12)))</f>
        <v>0</v>
      </c>
      <c r="BZ41" s="11">
        <f>HLOOKUP((BZ$2-1)*12,$W$3:$CE$52,ROW()-2,0)*(1+(HLOOKUP(BZ$2,'UW Model'!$M$103:$Q$104,2,0)/12)*(BZ$3-((BZ$2-1)*12)))</f>
        <v>0</v>
      </c>
      <c r="CA41" s="11">
        <f>HLOOKUP((CA$2-1)*12,$W$3:$CE$52,ROW()-2,0)*(1+(HLOOKUP(CA$2,'UW Model'!$M$103:$Q$104,2,0)/12)*(CA$3-((CA$2-1)*12)))</f>
        <v>0</v>
      </c>
      <c r="CB41" s="11">
        <f>HLOOKUP((CB$2-1)*12,$W$3:$CE$52,ROW()-2,0)*(1+(HLOOKUP(CB$2,'UW Model'!$M$103:$Q$104,2,0)/12)*(CB$3-((CB$2-1)*12)))</f>
        <v>0</v>
      </c>
      <c r="CC41" s="11">
        <f>HLOOKUP((CC$2-1)*12,$W$3:$CE$52,ROW()-2,0)*(1+(HLOOKUP(CC$2,'UW Model'!$M$103:$Q$104,2,0)/12)*(CC$3-((CC$2-1)*12)))</f>
        <v>0</v>
      </c>
      <c r="CD41" s="11">
        <f>HLOOKUP((CD$2-1)*12,$W$3:$CE$52,ROW()-2,0)*(1+(HLOOKUP(CD$2,'UW Model'!$M$103:$Q$104,2,0)/12)*(CD$3-((CD$2-1)*12)))</f>
        <v>0</v>
      </c>
      <c r="CE41" s="88">
        <f>HLOOKUP((CE$2-1)*12,$W$3:$CE$52,ROW()-2,0)*(1+(HLOOKUP(CE$2,'UW Model'!$M$103:$Q$104,2,0)/12)*(CE$3-((CE$2-1)*12)))</f>
        <v>0</v>
      </c>
    </row>
    <row r="42" spans="14:83" x14ac:dyDescent="0.35">
      <c r="N42" s="5"/>
      <c r="P42" s="933"/>
      <c r="Q42" s="194" t="str">
        <f>$Q$10</f>
        <v/>
      </c>
      <c r="R42" s="199">
        <f t="shared" si="105"/>
        <v>0</v>
      </c>
      <c r="S42" s="121">
        <f t="shared" si="105"/>
        <v>0</v>
      </c>
      <c r="T42" s="121">
        <f t="shared" si="105"/>
        <v>0</v>
      </c>
      <c r="U42" s="121">
        <f t="shared" si="105"/>
        <v>0</v>
      </c>
      <c r="V42" s="200">
        <f t="shared" si="105"/>
        <v>0</v>
      </c>
      <c r="W42" s="201">
        <f>IF(SUM(R10:V10)&gt;0,'UW Model'!T32,0)</f>
        <v>0</v>
      </c>
      <c r="X42" s="201">
        <f>HLOOKUP((X$2-1)*12,$W$3:$CE$52,ROW()-2,0)*(1+(HLOOKUP(X$2,'UW Model'!$M$103:$Q$104,2,0)/12)*(X$3-((X$2-1)*12)))</f>
        <v>0</v>
      </c>
      <c r="Y42" s="11">
        <f>HLOOKUP((Y$2-1)*12,$W$3:$CE$52,ROW()-2,0)*(1+(HLOOKUP(Y$2,'UW Model'!$M$103:$Q$104,2,0)/12)*(Y$3-((Y$2-1)*12)))</f>
        <v>0</v>
      </c>
      <c r="Z42" s="11">
        <f>HLOOKUP((Z$2-1)*12,$W$3:$CE$52,ROW()-2,0)*(1+(HLOOKUP(Z$2,'UW Model'!$M$103:$Q$104,2,0)/12)*(Z$3-((Z$2-1)*12)))</f>
        <v>0</v>
      </c>
      <c r="AA42" s="11">
        <f>HLOOKUP((AA$2-1)*12,$W$3:$CE$52,ROW()-2,0)*(1+(HLOOKUP(AA$2,'UW Model'!$M$103:$Q$104,2,0)/12)*(AA$3-((AA$2-1)*12)))</f>
        <v>0</v>
      </c>
      <c r="AB42" s="11">
        <f>HLOOKUP((AB$2-1)*12,$W$3:$CE$52,ROW()-2,0)*(1+(HLOOKUP(AB$2,'UW Model'!$M$103:$Q$104,2,0)/12)*(AB$3-((AB$2-1)*12)))</f>
        <v>0</v>
      </c>
      <c r="AC42" s="11">
        <f>HLOOKUP((AC$2-1)*12,$W$3:$CE$52,ROW()-2,0)*(1+(HLOOKUP(AC$2,'UW Model'!$M$103:$Q$104,2,0)/12)*(AC$3-((AC$2-1)*12)))</f>
        <v>0</v>
      </c>
      <c r="AD42" s="11">
        <f>HLOOKUP((AD$2-1)*12,$W$3:$CE$52,ROW()-2,0)*(1+(HLOOKUP(AD$2,'UW Model'!$M$103:$Q$104,2,0)/12)*(AD$3-((AD$2-1)*12)))</f>
        <v>0</v>
      </c>
      <c r="AE42" s="11">
        <f>HLOOKUP((AE$2-1)*12,$W$3:$CE$52,ROW()-2,0)*(1+(HLOOKUP(AE$2,'UW Model'!$M$103:$Q$104,2,0)/12)*(AE$3-((AE$2-1)*12)))</f>
        <v>0</v>
      </c>
      <c r="AF42" s="11">
        <f>HLOOKUP((AF$2-1)*12,$W$3:$CE$52,ROW()-2,0)*(1+(HLOOKUP(AF$2,'UW Model'!$M$103:$Q$104,2,0)/12)*(AF$3-((AF$2-1)*12)))</f>
        <v>0</v>
      </c>
      <c r="AG42" s="11">
        <f>HLOOKUP((AG$2-1)*12,$W$3:$CE$52,ROW()-2,0)*(1+(HLOOKUP(AG$2,'UW Model'!$M$103:$Q$104,2,0)/12)*(AG$3-((AG$2-1)*12)))</f>
        <v>0</v>
      </c>
      <c r="AH42" s="11">
        <f>HLOOKUP((AH$2-1)*12,$W$3:$CE$52,ROW()-2,0)*(1+(HLOOKUP(AH$2,'UW Model'!$M$103:$Q$104,2,0)/12)*(AH$3-((AH$2-1)*12)))</f>
        <v>0</v>
      </c>
      <c r="AI42" s="71">
        <f>HLOOKUP((AI$2-1)*12,$W$3:$CE$52,ROW()-2,0)*(1+(HLOOKUP(AI$2,'UW Model'!$M$103:$Q$104,2,0)/12)*(AI$3-((AI$2-1)*12)))</f>
        <v>0</v>
      </c>
      <c r="AJ42" s="201">
        <f>HLOOKUP((AJ$2-1)*12,$W$3:$CE$52,ROW()-2,0)*(1+(HLOOKUP(AJ$2,'UW Model'!$M$103:$Q$104,2,0)/12)*(AJ$3-((AJ$2-1)*12)))</f>
        <v>0</v>
      </c>
      <c r="AK42" s="11">
        <f>HLOOKUP((AK$2-1)*12,$W$3:$CE$52,ROW()-2,0)*(1+(HLOOKUP(AK$2,'UW Model'!$M$103:$Q$104,2,0)/12)*(AK$3-((AK$2-1)*12)))</f>
        <v>0</v>
      </c>
      <c r="AL42" s="11">
        <f>HLOOKUP((AL$2-1)*12,$W$3:$CE$52,ROW()-2,0)*(1+(HLOOKUP(AL$2,'UW Model'!$M$103:$Q$104,2,0)/12)*(AL$3-((AL$2-1)*12)))</f>
        <v>0</v>
      </c>
      <c r="AM42" s="11">
        <f>HLOOKUP((AM$2-1)*12,$W$3:$CE$52,ROW()-2,0)*(1+(HLOOKUP(AM$2,'UW Model'!$M$103:$Q$104,2,0)/12)*(AM$3-((AM$2-1)*12)))</f>
        <v>0</v>
      </c>
      <c r="AN42" s="11">
        <f>HLOOKUP((AN$2-1)*12,$W$3:$CE$52,ROW()-2,0)*(1+(HLOOKUP(AN$2,'UW Model'!$M$103:$Q$104,2,0)/12)*(AN$3-((AN$2-1)*12)))</f>
        <v>0</v>
      </c>
      <c r="AO42" s="11">
        <f>HLOOKUP((AO$2-1)*12,$W$3:$CE$52,ROW()-2,0)*(1+(HLOOKUP(AO$2,'UW Model'!$M$103:$Q$104,2,0)/12)*(AO$3-((AO$2-1)*12)))</f>
        <v>0</v>
      </c>
      <c r="AP42" s="11">
        <f>HLOOKUP((AP$2-1)*12,$W$3:$CE$52,ROW()-2,0)*(1+(HLOOKUP(AP$2,'UW Model'!$M$103:$Q$104,2,0)/12)*(AP$3-((AP$2-1)*12)))</f>
        <v>0</v>
      </c>
      <c r="AQ42" s="11">
        <f>HLOOKUP((AQ$2-1)*12,$W$3:$CE$52,ROW()-2,0)*(1+(HLOOKUP(AQ$2,'UW Model'!$M$103:$Q$104,2,0)/12)*(AQ$3-((AQ$2-1)*12)))</f>
        <v>0</v>
      </c>
      <c r="AR42" s="11">
        <f>HLOOKUP((AR$2-1)*12,$W$3:$CE$52,ROW()-2,0)*(1+(HLOOKUP(AR$2,'UW Model'!$M$103:$Q$104,2,0)/12)*(AR$3-((AR$2-1)*12)))</f>
        <v>0</v>
      </c>
      <c r="AS42" s="11">
        <f>HLOOKUP((AS$2-1)*12,$W$3:$CE$52,ROW()-2,0)*(1+(HLOOKUP(AS$2,'UW Model'!$M$103:$Q$104,2,0)/12)*(AS$3-((AS$2-1)*12)))</f>
        <v>0</v>
      </c>
      <c r="AT42" s="11">
        <f>HLOOKUP((AT$2-1)*12,$W$3:$CE$52,ROW()-2,0)*(1+(HLOOKUP(AT$2,'UW Model'!$M$103:$Q$104,2,0)/12)*(AT$3-((AT$2-1)*12)))</f>
        <v>0</v>
      </c>
      <c r="AU42" s="71">
        <f>HLOOKUP((AU$2-1)*12,$W$3:$CE$52,ROW()-2,0)*(1+(HLOOKUP(AU$2,'UW Model'!$M$103:$Q$104,2,0)/12)*(AU$3-((AU$2-1)*12)))</f>
        <v>0</v>
      </c>
      <c r="AV42" s="11">
        <f>HLOOKUP((AV$2-1)*12,$W$3:$CE$52,ROW()-2,0)*(1+(HLOOKUP(AV$2,'UW Model'!$M$103:$Q$104,2,0)/12)*(AV$3-((AV$2-1)*12)))</f>
        <v>0</v>
      </c>
      <c r="AW42" s="11">
        <f>HLOOKUP((AW$2-1)*12,$W$3:$CE$52,ROW()-2,0)*(1+(HLOOKUP(AW$2,'UW Model'!$M$103:$Q$104,2,0)/12)*(AW$3-((AW$2-1)*12)))</f>
        <v>0</v>
      </c>
      <c r="AX42" s="11">
        <f>HLOOKUP((AX$2-1)*12,$W$3:$CE$52,ROW()-2,0)*(1+(HLOOKUP(AX$2,'UW Model'!$M$103:$Q$104,2,0)/12)*(AX$3-((AX$2-1)*12)))</f>
        <v>0</v>
      </c>
      <c r="AY42" s="11">
        <f>HLOOKUP((AY$2-1)*12,$W$3:$CE$52,ROW()-2,0)*(1+(HLOOKUP(AY$2,'UW Model'!$M$103:$Q$104,2,0)/12)*(AY$3-((AY$2-1)*12)))</f>
        <v>0</v>
      </c>
      <c r="AZ42" s="11">
        <f>HLOOKUP((AZ$2-1)*12,$W$3:$CE$52,ROW()-2,0)*(1+(HLOOKUP(AZ$2,'UW Model'!$M$103:$Q$104,2,0)/12)*(AZ$3-((AZ$2-1)*12)))</f>
        <v>0</v>
      </c>
      <c r="BA42" s="11">
        <f>HLOOKUP((BA$2-1)*12,$W$3:$CE$52,ROW()-2,0)*(1+(HLOOKUP(BA$2,'UW Model'!$M$103:$Q$104,2,0)/12)*(BA$3-((BA$2-1)*12)))</f>
        <v>0</v>
      </c>
      <c r="BB42" s="11">
        <f>HLOOKUP((BB$2-1)*12,$W$3:$CE$52,ROW()-2,0)*(1+(HLOOKUP(BB$2,'UW Model'!$M$103:$Q$104,2,0)/12)*(BB$3-((BB$2-1)*12)))</f>
        <v>0</v>
      </c>
      <c r="BC42" s="11">
        <f>HLOOKUP((BC$2-1)*12,$W$3:$CE$52,ROW()-2,0)*(1+(HLOOKUP(BC$2,'UW Model'!$M$103:$Q$104,2,0)/12)*(BC$3-((BC$2-1)*12)))</f>
        <v>0</v>
      </c>
      <c r="BD42" s="11">
        <f>HLOOKUP((BD$2-1)*12,$W$3:$CE$52,ROW()-2,0)*(1+(HLOOKUP(BD$2,'UW Model'!$M$103:$Q$104,2,0)/12)*(BD$3-((BD$2-1)*12)))</f>
        <v>0</v>
      </c>
      <c r="BE42" s="11">
        <f>HLOOKUP((BE$2-1)*12,$W$3:$CE$52,ROW()-2,0)*(1+(HLOOKUP(BE$2,'UW Model'!$M$103:$Q$104,2,0)/12)*(BE$3-((BE$2-1)*12)))</f>
        <v>0</v>
      </c>
      <c r="BF42" s="11">
        <f>HLOOKUP((BF$2-1)*12,$W$3:$CE$52,ROW()-2,0)*(1+(HLOOKUP(BF$2,'UW Model'!$M$103:$Q$104,2,0)/12)*(BF$3-((BF$2-1)*12)))</f>
        <v>0</v>
      </c>
      <c r="BG42" s="71">
        <f>HLOOKUP((BG$2-1)*12,$W$3:$CE$52,ROW()-2,0)*(1+(HLOOKUP(BG$2,'UW Model'!$M$103:$Q$104,2,0)/12)*(BG$3-((BG$2-1)*12)))</f>
        <v>0</v>
      </c>
      <c r="BH42" s="11">
        <f>HLOOKUP((BH$2-1)*12,$W$3:$CE$52,ROW()-2,0)*(1+(HLOOKUP(BH$2,'UW Model'!$M$103:$Q$104,2,0)/12)*(BH$3-((BH$2-1)*12)))</f>
        <v>0</v>
      </c>
      <c r="BI42" s="11">
        <f>HLOOKUP((BI$2-1)*12,$W$3:$CE$52,ROW()-2,0)*(1+(HLOOKUP(BI$2,'UW Model'!$M$103:$Q$104,2,0)/12)*(BI$3-((BI$2-1)*12)))</f>
        <v>0</v>
      </c>
      <c r="BJ42" s="11">
        <f>HLOOKUP((BJ$2-1)*12,$W$3:$CE$52,ROW()-2,0)*(1+(HLOOKUP(BJ$2,'UW Model'!$M$103:$Q$104,2,0)/12)*(BJ$3-((BJ$2-1)*12)))</f>
        <v>0</v>
      </c>
      <c r="BK42" s="11">
        <f>HLOOKUP((BK$2-1)*12,$W$3:$CE$52,ROW()-2,0)*(1+(HLOOKUP(BK$2,'UW Model'!$M$103:$Q$104,2,0)/12)*(BK$3-((BK$2-1)*12)))</f>
        <v>0</v>
      </c>
      <c r="BL42" s="11">
        <f>HLOOKUP((BL$2-1)*12,$W$3:$CE$52,ROW()-2,0)*(1+(HLOOKUP(BL$2,'UW Model'!$M$103:$Q$104,2,0)/12)*(BL$3-((BL$2-1)*12)))</f>
        <v>0</v>
      </c>
      <c r="BM42" s="11">
        <f>HLOOKUP((BM$2-1)*12,$W$3:$CE$52,ROW()-2,0)*(1+(HLOOKUP(BM$2,'UW Model'!$M$103:$Q$104,2,0)/12)*(BM$3-((BM$2-1)*12)))</f>
        <v>0</v>
      </c>
      <c r="BN42" s="11">
        <f>HLOOKUP((BN$2-1)*12,$W$3:$CE$52,ROW()-2,0)*(1+(HLOOKUP(BN$2,'UW Model'!$M$103:$Q$104,2,0)/12)*(BN$3-((BN$2-1)*12)))</f>
        <v>0</v>
      </c>
      <c r="BO42" s="11">
        <f>HLOOKUP((BO$2-1)*12,$W$3:$CE$52,ROW()-2,0)*(1+(HLOOKUP(BO$2,'UW Model'!$M$103:$Q$104,2,0)/12)*(BO$3-((BO$2-1)*12)))</f>
        <v>0</v>
      </c>
      <c r="BP42" s="11">
        <f>HLOOKUP((BP$2-1)*12,$W$3:$CE$52,ROW()-2,0)*(1+(HLOOKUP(BP$2,'UW Model'!$M$103:$Q$104,2,0)/12)*(BP$3-((BP$2-1)*12)))</f>
        <v>0</v>
      </c>
      <c r="BQ42" s="11">
        <f>HLOOKUP((BQ$2-1)*12,$W$3:$CE$52,ROW()-2,0)*(1+(HLOOKUP(BQ$2,'UW Model'!$M$103:$Q$104,2,0)/12)*(BQ$3-((BQ$2-1)*12)))</f>
        <v>0</v>
      </c>
      <c r="BR42" s="11">
        <f>HLOOKUP((BR$2-1)*12,$W$3:$CE$52,ROW()-2,0)*(1+(HLOOKUP(BR$2,'UW Model'!$M$103:$Q$104,2,0)/12)*(BR$3-((BR$2-1)*12)))</f>
        <v>0</v>
      </c>
      <c r="BS42" s="71">
        <f>HLOOKUP((BS$2-1)*12,$W$3:$CE$52,ROW()-2,0)*(1+(HLOOKUP(BS$2,'UW Model'!$M$103:$Q$104,2,0)/12)*(BS$3-((BS$2-1)*12)))</f>
        <v>0</v>
      </c>
      <c r="BT42" s="11">
        <f>HLOOKUP((BT$2-1)*12,$W$3:$CE$52,ROW()-2,0)*(1+(HLOOKUP(BT$2,'UW Model'!$M$103:$Q$104,2,0)/12)*(BT$3-((BT$2-1)*12)))</f>
        <v>0</v>
      </c>
      <c r="BU42" s="11">
        <f>HLOOKUP((BU$2-1)*12,$W$3:$CE$52,ROW()-2,0)*(1+(HLOOKUP(BU$2,'UW Model'!$M$103:$Q$104,2,0)/12)*(BU$3-((BU$2-1)*12)))</f>
        <v>0</v>
      </c>
      <c r="BV42" s="11">
        <f>HLOOKUP((BV$2-1)*12,$W$3:$CE$52,ROW()-2,0)*(1+(HLOOKUP(BV$2,'UW Model'!$M$103:$Q$104,2,0)/12)*(BV$3-((BV$2-1)*12)))</f>
        <v>0</v>
      </c>
      <c r="BW42" s="11">
        <f>HLOOKUP((BW$2-1)*12,$W$3:$CE$52,ROW()-2,0)*(1+(HLOOKUP(BW$2,'UW Model'!$M$103:$Q$104,2,0)/12)*(BW$3-((BW$2-1)*12)))</f>
        <v>0</v>
      </c>
      <c r="BX42" s="11">
        <f>HLOOKUP((BX$2-1)*12,$W$3:$CE$52,ROW()-2,0)*(1+(HLOOKUP(BX$2,'UW Model'!$M$103:$Q$104,2,0)/12)*(BX$3-((BX$2-1)*12)))</f>
        <v>0</v>
      </c>
      <c r="BY42" s="11">
        <f>HLOOKUP((BY$2-1)*12,$W$3:$CE$52,ROW()-2,0)*(1+(HLOOKUP(BY$2,'UW Model'!$M$103:$Q$104,2,0)/12)*(BY$3-((BY$2-1)*12)))</f>
        <v>0</v>
      </c>
      <c r="BZ42" s="11">
        <f>HLOOKUP((BZ$2-1)*12,$W$3:$CE$52,ROW()-2,0)*(1+(HLOOKUP(BZ$2,'UW Model'!$M$103:$Q$104,2,0)/12)*(BZ$3-((BZ$2-1)*12)))</f>
        <v>0</v>
      </c>
      <c r="CA42" s="11">
        <f>HLOOKUP((CA$2-1)*12,$W$3:$CE$52,ROW()-2,0)*(1+(HLOOKUP(CA$2,'UW Model'!$M$103:$Q$104,2,0)/12)*(CA$3-((CA$2-1)*12)))</f>
        <v>0</v>
      </c>
      <c r="CB42" s="11">
        <f>HLOOKUP((CB$2-1)*12,$W$3:$CE$52,ROW()-2,0)*(1+(HLOOKUP(CB$2,'UW Model'!$M$103:$Q$104,2,0)/12)*(CB$3-((CB$2-1)*12)))</f>
        <v>0</v>
      </c>
      <c r="CC42" s="11">
        <f>HLOOKUP((CC$2-1)*12,$W$3:$CE$52,ROW()-2,0)*(1+(HLOOKUP(CC$2,'UW Model'!$M$103:$Q$104,2,0)/12)*(CC$3-((CC$2-1)*12)))</f>
        <v>0</v>
      </c>
      <c r="CD42" s="11">
        <f>HLOOKUP((CD$2-1)*12,$W$3:$CE$52,ROW()-2,0)*(1+(HLOOKUP(CD$2,'UW Model'!$M$103:$Q$104,2,0)/12)*(CD$3-((CD$2-1)*12)))</f>
        <v>0</v>
      </c>
      <c r="CE42" s="88">
        <f>HLOOKUP((CE$2-1)*12,$W$3:$CE$52,ROW()-2,0)*(1+(HLOOKUP(CE$2,'UW Model'!$M$103:$Q$104,2,0)/12)*(CE$3-((CE$2-1)*12)))</f>
        <v>0</v>
      </c>
    </row>
    <row r="43" spans="14:83" x14ac:dyDescent="0.35">
      <c r="P43" s="933"/>
      <c r="Q43" s="194" t="str">
        <f>$Q$11</f>
        <v/>
      </c>
      <c r="R43" s="199">
        <f t="shared" si="105"/>
        <v>0</v>
      </c>
      <c r="S43" s="121">
        <f t="shared" si="105"/>
        <v>0</v>
      </c>
      <c r="T43" s="121">
        <f t="shared" si="105"/>
        <v>0</v>
      </c>
      <c r="U43" s="121">
        <f t="shared" si="105"/>
        <v>0</v>
      </c>
      <c r="V43" s="200">
        <f t="shared" si="105"/>
        <v>0</v>
      </c>
      <c r="W43" s="201">
        <f>IF(SUM(R11:V11)&gt;0,'UW Model'!T33,0)</f>
        <v>0</v>
      </c>
      <c r="X43" s="201">
        <f>HLOOKUP((X$2-1)*12,$W$3:$CE$52,ROW()-2,0)*(1+(HLOOKUP(X$2,'UW Model'!$M$103:$Q$104,2,0)/12)*(X$3-((X$2-1)*12)))</f>
        <v>0</v>
      </c>
      <c r="Y43" s="11">
        <f>HLOOKUP((Y$2-1)*12,$W$3:$CE$52,ROW()-2,0)*(1+(HLOOKUP(Y$2,'UW Model'!$M$103:$Q$104,2,0)/12)*(Y$3-((Y$2-1)*12)))</f>
        <v>0</v>
      </c>
      <c r="Z43" s="11">
        <f>HLOOKUP((Z$2-1)*12,$W$3:$CE$52,ROW()-2,0)*(1+(HLOOKUP(Z$2,'UW Model'!$M$103:$Q$104,2,0)/12)*(Z$3-((Z$2-1)*12)))</f>
        <v>0</v>
      </c>
      <c r="AA43" s="11">
        <f>HLOOKUP((AA$2-1)*12,$W$3:$CE$52,ROW()-2,0)*(1+(HLOOKUP(AA$2,'UW Model'!$M$103:$Q$104,2,0)/12)*(AA$3-((AA$2-1)*12)))</f>
        <v>0</v>
      </c>
      <c r="AB43" s="11">
        <f>HLOOKUP((AB$2-1)*12,$W$3:$CE$52,ROW()-2,0)*(1+(HLOOKUP(AB$2,'UW Model'!$M$103:$Q$104,2,0)/12)*(AB$3-((AB$2-1)*12)))</f>
        <v>0</v>
      </c>
      <c r="AC43" s="11">
        <f>HLOOKUP((AC$2-1)*12,$W$3:$CE$52,ROW()-2,0)*(1+(HLOOKUP(AC$2,'UW Model'!$M$103:$Q$104,2,0)/12)*(AC$3-((AC$2-1)*12)))</f>
        <v>0</v>
      </c>
      <c r="AD43" s="11">
        <f>HLOOKUP((AD$2-1)*12,$W$3:$CE$52,ROW()-2,0)*(1+(HLOOKUP(AD$2,'UW Model'!$M$103:$Q$104,2,0)/12)*(AD$3-((AD$2-1)*12)))</f>
        <v>0</v>
      </c>
      <c r="AE43" s="11">
        <f>HLOOKUP((AE$2-1)*12,$W$3:$CE$52,ROW()-2,0)*(1+(HLOOKUP(AE$2,'UW Model'!$M$103:$Q$104,2,0)/12)*(AE$3-((AE$2-1)*12)))</f>
        <v>0</v>
      </c>
      <c r="AF43" s="11">
        <f>HLOOKUP((AF$2-1)*12,$W$3:$CE$52,ROW()-2,0)*(1+(HLOOKUP(AF$2,'UW Model'!$M$103:$Q$104,2,0)/12)*(AF$3-((AF$2-1)*12)))</f>
        <v>0</v>
      </c>
      <c r="AG43" s="11">
        <f>HLOOKUP((AG$2-1)*12,$W$3:$CE$52,ROW()-2,0)*(1+(HLOOKUP(AG$2,'UW Model'!$M$103:$Q$104,2,0)/12)*(AG$3-((AG$2-1)*12)))</f>
        <v>0</v>
      </c>
      <c r="AH43" s="11">
        <f>HLOOKUP((AH$2-1)*12,$W$3:$CE$52,ROW()-2,0)*(1+(HLOOKUP(AH$2,'UW Model'!$M$103:$Q$104,2,0)/12)*(AH$3-((AH$2-1)*12)))</f>
        <v>0</v>
      </c>
      <c r="AI43" s="71">
        <f>HLOOKUP((AI$2-1)*12,$W$3:$CE$52,ROW()-2,0)*(1+(HLOOKUP(AI$2,'UW Model'!$M$103:$Q$104,2,0)/12)*(AI$3-((AI$2-1)*12)))</f>
        <v>0</v>
      </c>
      <c r="AJ43" s="201">
        <f>HLOOKUP((AJ$2-1)*12,$W$3:$CE$52,ROW()-2,0)*(1+(HLOOKUP(AJ$2,'UW Model'!$M$103:$Q$104,2,0)/12)*(AJ$3-((AJ$2-1)*12)))</f>
        <v>0</v>
      </c>
      <c r="AK43" s="11">
        <f>HLOOKUP((AK$2-1)*12,$W$3:$CE$52,ROW()-2,0)*(1+(HLOOKUP(AK$2,'UW Model'!$M$103:$Q$104,2,0)/12)*(AK$3-((AK$2-1)*12)))</f>
        <v>0</v>
      </c>
      <c r="AL43" s="11">
        <f>HLOOKUP((AL$2-1)*12,$W$3:$CE$52,ROW()-2,0)*(1+(HLOOKUP(AL$2,'UW Model'!$M$103:$Q$104,2,0)/12)*(AL$3-((AL$2-1)*12)))</f>
        <v>0</v>
      </c>
      <c r="AM43" s="11">
        <f>HLOOKUP((AM$2-1)*12,$W$3:$CE$52,ROW()-2,0)*(1+(HLOOKUP(AM$2,'UW Model'!$M$103:$Q$104,2,0)/12)*(AM$3-((AM$2-1)*12)))</f>
        <v>0</v>
      </c>
      <c r="AN43" s="11">
        <f>HLOOKUP((AN$2-1)*12,$W$3:$CE$52,ROW()-2,0)*(1+(HLOOKUP(AN$2,'UW Model'!$M$103:$Q$104,2,0)/12)*(AN$3-((AN$2-1)*12)))</f>
        <v>0</v>
      </c>
      <c r="AO43" s="11">
        <f>HLOOKUP((AO$2-1)*12,$W$3:$CE$52,ROW()-2,0)*(1+(HLOOKUP(AO$2,'UW Model'!$M$103:$Q$104,2,0)/12)*(AO$3-((AO$2-1)*12)))</f>
        <v>0</v>
      </c>
      <c r="AP43" s="11">
        <f>HLOOKUP((AP$2-1)*12,$W$3:$CE$52,ROW()-2,0)*(1+(HLOOKUP(AP$2,'UW Model'!$M$103:$Q$104,2,0)/12)*(AP$3-((AP$2-1)*12)))</f>
        <v>0</v>
      </c>
      <c r="AQ43" s="11">
        <f>HLOOKUP((AQ$2-1)*12,$W$3:$CE$52,ROW()-2,0)*(1+(HLOOKUP(AQ$2,'UW Model'!$M$103:$Q$104,2,0)/12)*(AQ$3-((AQ$2-1)*12)))</f>
        <v>0</v>
      </c>
      <c r="AR43" s="11">
        <f>HLOOKUP((AR$2-1)*12,$W$3:$CE$52,ROW()-2,0)*(1+(HLOOKUP(AR$2,'UW Model'!$M$103:$Q$104,2,0)/12)*(AR$3-((AR$2-1)*12)))</f>
        <v>0</v>
      </c>
      <c r="AS43" s="11">
        <f>HLOOKUP((AS$2-1)*12,$W$3:$CE$52,ROW()-2,0)*(1+(HLOOKUP(AS$2,'UW Model'!$M$103:$Q$104,2,0)/12)*(AS$3-((AS$2-1)*12)))</f>
        <v>0</v>
      </c>
      <c r="AT43" s="11">
        <f>HLOOKUP((AT$2-1)*12,$W$3:$CE$52,ROW()-2,0)*(1+(HLOOKUP(AT$2,'UW Model'!$M$103:$Q$104,2,0)/12)*(AT$3-((AT$2-1)*12)))</f>
        <v>0</v>
      </c>
      <c r="AU43" s="71">
        <f>HLOOKUP((AU$2-1)*12,$W$3:$CE$52,ROW()-2,0)*(1+(HLOOKUP(AU$2,'UW Model'!$M$103:$Q$104,2,0)/12)*(AU$3-((AU$2-1)*12)))</f>
        <v>0</v>
      </c>
      <c r="AV43" s="11">
        <f>HLOOKUP((AV$2-1)*12,$W$3:$CE$52,ROW()-2,0)*(1+(HLOOKUP(AV$2,'UW Model'!$M$103:$Q$104,2,0)/12)*(AV$3-((AV$2-1)*12)))</f>
        <v>0</v>
      </c>
      <c r="AW43" s="11">
        <f>HLOOKUP((AW$2-1)*12,$W$3:$CE$52,ROW()-2,0)*(1+(HLOOKUP(AW$2,'UW Model'!$M$103:$Q$104,2,0)/12)*(AW$3-((AW$2-1)*12)))</f>
        <v>0</v>
      </c>
      <c r="AX43" s="11">
        <f>HLOOKUP((AX$2-1)*12,$W$3:$CE$52,ROW()-2,0)*(1+(HLOOKUP(AX$2,'UW Model'!$M$103:$Q$104,2,0)/12)*(AX$3-((AX$2-1)*12)))</f>
        <v>0</v>
      </c>
      <c r="AY43" s="11">
        <f>HLOOKUP((AY$2-1)*12,$W$3:$CE$52,ROW()-2,0)*(1+(HLOOKUP(AY$2,'UW Model'!$M$103:$Q$104,2,0)/12)*(AY$3-((AY$2-1)*12)))</f>
        <v>0</v>
      </c>
      <c r="AZ43" s="11">
        <f>HLOOKUP((AZ$2-1)*12,$W$3:$CE$52,ROW()-2,0)*(1+(HLOOKUP(AZ$2,'UW Model'!$M$103:$Q$104,2,0)/12)*(AZ$3-((AZ$2-1)*12)))</f>
        <v>0</v>
      </c>
      <c r="BA43" s="11">
        <f>HLOOKUP((BA$2-1)*12,$W$3:$CE$52,ROW()-2,0)*(1+(HLOOKUP(BA$2,'UW Model'!$M$103:$Q$104,2,0)/12)*(BA$3-((BA$2-1)*12)))</f>
        <v>0</v>
      </c>
      <c r="BB43" s="11">
        <f>HLOOKUP((BB$2-1)*12,$W$3:$CE$52,ROW()-2,0)*(1+(HLOOKUP(BB$2,'UW Model'!$M$103:$Q$104,2,0)/12)*(BB$3-((BB$2-1)*12)))</f>
        <v>0</v>
      </c>
      <c r="BC43" s="11">
        <f>HLOOKUP((BC$2-1)*12,$W$3:$CE$52,ROW()-2,0)*(1+(HLOOKUP(BC$2,'UW Model'!$M$103:$Q$104,2,0)/12)*(BC$3-((BC$2-1)*12)))</f>
        <v>0</v>
      </c>
      <c r="BD43" s="11">
        <f>HLOOKUP((BD$2-1)*12,$W$3:$CE$52,ROW()-2,0)*(1+(HLOOKUP(BD$2,'UW Model'!$M$103:$Q$104,2,0)/12)*(BD$3-((BD$2-1)*12)))</f>
        <v>0</v>
      </c>
      <c r="BE43" s="11">
        <f>HLOOKUP((BE$2-1)*12,$W$3:$CE$52,ROW()-2,0)*(1+(HLOOKUP(BE$2,'UW Model'!$M$103:$Q$104,2,0)/12)*(BE$3-((BE$2-1)*12)))</f>
        <v>0</v>
      </c>
      <c r="BF43" s="11">
        <f>HLOOKUP((BF$2-1)*12,$W$3:$CE$52,ROW()-2,0)*(1+(HLOOKUP(BF$2,'UW Model'!$M$103:$Q$104,2,0)/12)*(BF$3-((BF$2-1)*12)))</f>
        <v>0</v>
      </c>
      <c r="BG43" s="71">
        <f>HLOOKUP((BG$2-1)*12,$W$3:$CE$52,ROW()-2,0)*(1+(HLOOKUP(BG$2,'UW Model'!$M$103:$Q$104,2,0)/12)*(BG$3-((BG$2-1)*12)))</f>
        <v>0</v>
      </c>
      <c r="BH43" s="11">
        <f>HLOOKUP((BH$2-1)*12,$W$3:$CE$52,ROW()-2,0)*(1+(HLOOKUP(BH$2,'UW Model'!$M$103:$Q$104,2,0)/12)*(BH$3-((BH$2-1)*12)))</f>
        <v>0</v>
      </c>
      <c r="BI43" s="11">
        <f>HLOOKUP((BI$2-1)*12,$W$3:$CE$52,ROW()-2,0)*(1+(HLOOKUP(BI$2,'UW Model'!$M$103:$Q$104,2,0)/12)*(BI$3-((BI$2-1)*12)))</f>
        <v>0</v>
      </c>
      <c r="BJ43" s="11">
        <f>HLOOKUP((BJ$2-1)*12,$W$3:$CE$52,ROW()-2,0)*(1+(HLOOKUP(BJ$2,'UW Model'!$M$103:$Q$104,2,0)/12)*(BJ$3-((BJ$2-1)*12)))</f>
        <v>0</v>
      </c>
      <c r="BK43" s="11">
        <f>HLOOKUP((BK$2-1)*12,$W$3:$CE$52,ROW()-2,0)*(1+(HLOOKUP(BK$2,'UW Model'!$M$103:$Q$104,2,0)/12)*(BK$3-((BK$2-1)*12)))</f>
        <v>0</v>
      </c>
      <c r="BL43" s="11">
        <f>HLOOKUP((BL$2-1)*12,$W$3:$CE$52,ROW()-2,0)*(1+(HLOOKUP(BL$2,'UW Model'!$M$103:$Q$104,2,0)/12)*(BL$3-((BL$2-1)*12)))</f>
        <v>0</v>
      </c>
      <c r="BM43" s="11">
        <f>HLOOKUP((BM$2-1)*12,$W$3:$CE$52,ROW()-2,0)*(1+(HLOOKUP(BM$2,'UW Model'!$M$103:$Q$104,2,0)/12)*(BM$3-((BM$2-1)*12)))</f>
        <v>0</v>
      </c>
      <c r="BN43" s="11">
        <f>HLOOKUP((BN$2-1)*12,$W$3:$CE$52,ROW()-2,0)*(1+(HLOOKUP(BN$2,'UW Model'!$M$103:$Q$104,2,0)/12)*(BN$3-((BN$2-1)*12)))</f>
        <v>0</v>
      </c>
      <c r="BO43" s="11">
        <f>HLOOKUP((BO$2-1)*12,$W$3:$CE$52,ROW()-2,0)*(1+(HLOOKUP(BO$2,'UW Model'!$M$103:$Q$104,2,0)/12)*(BO$3-((BO$2-1)*12)))</f>
        <v>0</v>
      </c>
      <c r="BP43" s="11">
        <f>HLOOKUP((BP$2-1)*12,$W$3:$CE$52,ROW()-2,0)*(1+(HLOOKUP(BP$2,'UW Model'!$M$103:$Q$104,2,0)/12)*(BP$3-((BP$2-1)*12)))</f>
        <v>0</v>
      </c>
      <c r="BQ43" s="11">
        <f>HLOOKUP((BQ$2-1)*12,$W$3:$CE$52,ROW()-2,0)*(1+(HLOOKUP(BQ$2,'UW Model'!$M$103:$Q$104,2,0)/12)*(BQ$3-((BQ$2-1)*12)))</f>
        <v>0</v>
      </c>
      <c r="BR43" s="11">
        <f>HLOOKUP((BR$2-1)*12,$W$3:$CE$52,ROW()-2,0)*(1+(HLOOKUP(BR$2,'UW Model'!$M$103:$Q$104,2,0)/12)*(BR$3-((BR$2-1)*12)))</f>
        <v>0</v>
      </c>
      <c r="BS43" s="71">
        <f>HLOOKUP((BS$2-1)*12,$W$3:$CE$52,ROW()-2,0)*(1+(HLOOKUP(BS$2,'UW Model'!$M$103:$Q$104,2,0)/12)*(BS$3-((BS$2-1)*12)))</f>
        <v>0</v>
      </c>
      <c r="BT43" s="11">
        <f>HLOOKUP((BT$2-1)*12,$W$3:$CE$52,ROW()-2,0)*(1+(HLOOKUP(BT$2,'UW Model'!$M$103:$Q$104,2,0)/12)*(BT$3-((BT$2-1)*12)))</f>
        <v>0</v>
      </c>
      <c r="BU43" s="11">
        <f>HLOOKUP((BU$2-1)*12,$W$3:$CE$52,ROW()-2,0)*(1+(HLOOKUP(BU$2,'UW Model'!$M$103:$Q$104,2,0)/12)*(BU$3-((BU$2-1)*12)))</f>
        <v>0</v>
      </c>
      <c r="BV43" s="11">
        <f>HLOOKUP((BV$2-1)*12,$W$3:$CE$52,ROW()-2,0)*(1+(HLOOKUP(BV$2,'UW Model'!$M$103:$Q$104,2,0)/12)*(BV$3-((BV$2-1)*12)))</f>
        <v>0</v>
      </c>
      <c r="BW43" s="11">
        <f>HLOOKUP((BW$2-1)*12,$W$3:$CE$52,ROW()-2,0)*(1+(HLOOKUP(BW$2,'UW Model'!$M$103:$Q$104,2,0)/12)*(BW$3-((BW$2-1)*12)))</f>
        <v>0</v>
      </c>
      <c r="BX43" s="11">
        <f>HLOOKUP((BX$2-1)*12,$W$3:$CE$52,ROW()-2,0)*(1+(HLOOKUP(BX$2,'UW Model'!$M$103:$Q$104,2,0)/12)*(BX$3-((BX$2-1)*12)))</f>
        <v>0</v>
      </c>
      <c r="BY43" s="11">
        <f>HLOOKUP((BY$2-1)*12,$W$3:$CE$52,ROW()-2,0)*(1+(HLOOKUP(BY$2,'UW Model'!$M$103:$Q$104,2,0)/12)*(BY$3-((BY$2-1)*12)))</f>
        <v>0</v>
      </c>
      <c r="BZ43" s="11">
        <f>HLOOKUP((BZ$2-1)*12,$W$3:$CE$52,ROW()-2,0)*(1+(HLOOKUP(BZ$2,'UW Model'!$M$103:$Q$104,2,0)/12)*(BZ$3-((BZ$2-1)*12)))</f>
        <v>0</v>
      </c>
      <c r="CA43" s="11">
        <f>HLOOKUP((CA$2-1)*12,$W$3:$CE$52,ROW()-2,0)*(1+(HLOOKUP(CA$2,'UW Model'!$M$103:$Q$104,2,0)/12)*(CA$3-((CA$2-1)*12)))</f>
        <v>0</v>
      </c>
      <c r="CB43" s="11">
        <f>HLOOKUP((CB$2-1)*12,$W$3:$CE$52,ROW()-2,0)*(1+(HLOOKUP(CB$2,'UW Model'!$M$103:$Q$104,2,0)/12)*(CB$3-((CB$2-1)*12)))</f>
        <v>0</v>
      </c>
      <c r="CC43" s="11">
        <f>HLOOKUP((CC$2-1)*12,$W$3:$CE$52,ROW()-2,0)*(1+(HLOOKUP(CC$2,'UW Model'!$M$103:$Q$104,2,0)/12)*(CC$3-((CC$2-1)*12)))</f>
        <v>0</v>
      </c>
      <c r="CD43" s="11">
        <f>HLOOKUP((CD$2-1)*12,$W$3:$CE$52,ROW()-2,0)*(1+(HLOOKUP(CD$2,'UW Model'!$M$103:$Q$104,2,0)/12)*(CD$3-((CD$2-1)*12)))</f>
        <v>0</v>
      </c>
      <c r="CE43" s="88">
        <f>HLOOKUP((CE$2-1)*12,$W$3:$CE$52,ROW()-2,0)*(1+(HLOOKUP(CE$2,'UW Model'!$M$103:$Q$104,2,0)/12)*(CE$3-((CE$2-1)*12)))</f>
        <v>0</v>
      </c>
    </row>
    <row r="44" spans="14:83" x14ac:dyDescent="0.35">
      <c r="P44" s="933"/>
      <c r="Q44" s="196" t="str">
        <f>$Q$12</f>
        <v/>
      </c>
      <c r="R44" s="199">
        <f t="shared" si="105"/>
        <v>0</v>
      </c>
      <c r="S44" s="121">
        <f t="shared" si="105"/>
        <v>0</v>
      </c>
      <c r="T44" s="121">
        <f t="shared" si="105"/>
        <v>0</v>
      </c>
      <c r="U44" s="121">
        <f t="shared" si="105"/>
        <v>0</v>
      </c>
      <c r="V44" s="200">
        <f t="shared" si="105"/>
        <v>0</v>
      </c>
      <c r="W44" s="201">
        <f>IF(SUM(R12:V12)&gt;0,'UW Model'!T34,0)</f>
        <v>0</v>
      </c>
      <c r="X44" s="201">
        <f>HLOOKUP((X$2-1)*12,$W$3:$CE$52,ROW()-2,0)*(1+(HLOOKUP(X$2,'UW Model'!$M$103:$Q$104,2,0)/12)*(X$3-((X$2-1)*12)))</f>
        <v>0</v>
      </c>
      <c r="Y44" s="11">
        <f>HLOOKUP((Y$2-1)*12,$W$3:$CE$52,ROW()-2,0)*(1+(HLOOKUP(Y$2,'UW Model'!$M$103:$Q$104,2,0)/12)*(Y$3-((Y$2-1)*12)))</f>
        <v>0</v>
      </c>
      <c r="Z44" s="11">
        <f>HLOOKUP((Z$2-1)*12,$W$3:$CE$52,ROW()-2,0)*(1+(HLOOKUP(Z$2,'UW Model'!$M$103:$Q$104,2,0)/12)*(Z$3-((Z$2-1)*12)))</f>
        <v>0</v>
      </c>
      <c r="AA44" s="11">
        <f>HLOOKUP((AA$2-1)*12,$W$3:$CE$52,ROW()-2,0)*(1+(HLOOKUP(AA$2,'UW Model'!$M$103:$Q$104,2,0)/12)*(AA$3-((AA$2-1)*12)))</f>
        <v>0</v>
      </c>
      <c r="AB44" s="11">
        <f>HLOOKUP((AB$2-1)*12,$W$3:$CE$52,ROW()-2,0)*(1+(HLOOKUP(AB$2,'UW Model'!$M$103:$Q$104,2,0)/12)*(AB$3-((AB$2-1)*12)))</f>
        <v>0</v>
      </c>
      <c r="AC44" s="11">
        <f>HLOOKUP((AC$2-1)*12,$W$3:$CE$52,ROW()-2,0)*(1+(HLOOKUP(AC$2,'UW Model'!$M$103:$Q$104,2,0)/12)*(AC$3-((AC$2-1)*12)))</f>
        <v>0</v>
      </c>
      <c r="AD44" s="11">
        <f>HLOOKUP((AD$2-1)*12,$W$3:$CE$52,ROW()-2,0)*(1+(HLOOKUP(AD$2,'UW Model'!$M$103:$Q$104,2,0)/12)*(AD$3-((AD$2-1)*12)))</f>
        <v>0</v>
      </c>
      <c r="AE44" s="11">
        <f>HLOOKUP((AE$2-1)*12,$W$3:$CE$52,ROW()-2,0)*(1+(HLOOKUP(AE$2,'UW Model'!$M$103:$Q$104,2,0)/12)*(AE$3-((AE$2-1)*12)))</f>
        <v>0</v>
      </c>
      <c r="AF44" s="11">
        <f>HLOOKUP((AF$2-1)*12,$W$3:$CE$52,ROW()-2,0)*(1+(HLOOKUP(AF$2,'UW Model'!$M$103:$Q$104,2,0)/12)*(AF$3-((AF$2-1)*12)))</f>
        <v>0</v>
      </c>
      <c r="AG44" s="11">
        <f>HLOOKUP((AG$2-1)*12,$W$3:$CE$52,ROW()-2,0)*(1+(HLOOKUP(AG$2,'UW Model'!$M$103:$Q$104,2,0)/12)*(AG$3-((AG$2-1)*12)))</f>
        <v>0</v>
      </c>
      <c r="AH44" s="11">
        <f>HLOOKUP((AH$2-1)*12,$W$3:$CE$52,ROW()-2,0)*(1+(HLOOKUP(AH$2,'UW Model'!$M$103:$Q$104,2,0)/12)*(AH$3-((AH$2-1)*12)))</f>
        <v>0</v>
      </c>
      <c r="AI44" s="71">
        <f>HLOOKUP((AI$2-1)*12,$W$3:$CE$52,ROW()-2,0)*(1+(HLOOKUP(AI$2,'UW Model'!$M$103:$Q$104,2,0)/12)*(AI$3-((AI$2-1)*12)))</f>
        <v>0</v>
      </c>
      <c r="AJ44" s="201">
        <f>HLOOKUP((AJ$2-1)*12,$W$3:$CE$52,ROW()-2,0)*(1+(HLOOKUP(AJ$2,'UW Model'!$M$103:$Q$104,2,0)/12)*(AJ$3-((AJ$2-1)*12)))</f>
        <v>0</v>
      </c>
      <c r="AK44" s="11">
        <f>HLOOKUP((AK$2-1)*12,$W$3:$CE$52,ROW()-2,0)*(1+(HLOOKUP(AK$2,'UW Model'!$M$103:$Q$104,2,0)/12)*(AK$3-((AK$2-1)*12)))</f>
        <v>0</v>
      </c>
      <c r="AL44" s="11">
        <f>HLOOKUP((AL$2-1)*12,$W$3:$CE$52,ROW()-2,0)*(1+(HLOOKUP(AL$2,'UW Model'!$M$103:$Q$104,2,0)/12)*(AL$3-((AL$2-1)*12)))</f>
        <v>0</v>
      </c>
      <c r="AM44" s="11">
        <f>HLOOKUP((AM$2-1)*12,$W$3:$CE$52,ROW()-2,0)*(1+(HLOOKUP(AM$2,'UW Model'!$M$103:$Q$104,2,0)/12)*(AM$3-((AM$2-1)*12)))</f>
        <v>0</v>
      </c>
      <c r="AN44" s="11">
        <f>HLOOKUP((AN$2-1)*12,$W$3:$CE$52,ROW()-2,0)*(1+(HLOOKUP(AN$2,'UW Model'!$M$103:$Q$104,2,0)/12)*(AN$3-((AN$2-1)*12)))</f>
        <v>0</v>
      </c>
      <c r="AO44" s="11">
        <f>HLOOKUP((AO$2-1)*12,$W$3:$CE$52,ROW()-2,0)*(1+(HLOOKUP(AO$2,'UW Model'!$M$103:$Q$104,2,0)/12)*(AO$3-((AO$2-1)*12)))</f>
        <v>0</v>
      </c>
      <c r="AP44" s="11">
        <f>HLOOKUP((AP$2-1)*12,$W$3:$CE$52,ROW()-2,0)*(1+(HLOOKUP(AP$2,'UW Model'!$M$103:$Q$104,2,0)/12)*(AP$3-((AP$2-1)*12)))</f>
        <v>0</v>
      </c>
      <c r="AQ44" s="11">
        <f>HLOOKUP((AQ$2-1)*12,$W$3:$CE$52,ROW()-2,0)*(1+(HLOOKUP(AQ$2,'UW Model'!$M$103:$Q$104,2,0)/12)*(AQ$3-((AQ$2-1)*12)))</f>
        <v>0</v>
      </c>
      <c r="AR44" s="11">
        <f>HLOOKUP((AR$2-1)*12,$W$3:$CE$52,ROW()-2,0)*(1+(HLOOKUP(AR$2,'UW Model'!$M$103:$Q$104,2,0)/12)*(AR$3-((AR$2-1)*12)))</f>
        <v>0</v>
      </c>
      <c r="AS44" s="11">
        <f>HLOOKUP((AS$2-1)*12,$W$3:$CE$52,ROW()-2,0)*(1+(HLOOKUP(AS$2,'UW Model'!$M$103:$Q$104,2,0)/12)*(AS$3-((AS$2-1)*12)))</f>
        <v>0</v>
      </c>
      <c r="AT44" s="11">
        <f>HLOOKUP((AT$2-1)*12,$W$3:$CE$52,ROW()-2,0)*(1+(HLOOKUP(AT$2,'UW Model'!$M$103:$Q$104,2,0)/12)*(AT$3-((AT$2-1)*12)))</f>
        <v>0</v>
      </c>
      <c r="AU44" s="71">
        <f>HLOOKUP((AU$2-1)*12,$W$3:$CE$52,ROW()-2,0)*(1+(HLOOKUP(AU$2,'UW Model'!$M$103:$Q$104,2,0)/12)*(AU$3-((AU$2-1)*12)))</f>
        <v>0</v>
      </c>
      <c r="AV44" s="11">
        <f>HLOOKUP((AV$2-1)*12,$W$3:$CE$52,ROW()-2,0)*(1+(HLOOKUP(AV$2,'UW Model'!$M$103:$Q$104,2,0)/12)*(AV$3-((AV$2-1)*12)))</f>
        <v>0</v>
      </c>
      <c r="AW44" s="11">
        <f>HLOOKUP((AW$2-1)*12,$W$3:$CE$52,ROW()-2,0)*(1+(HLOOKUP(AW$2,'UW Model'!$M$103:$Q$104,2,0)/12)*(AW$3-((AW$2-1)*12)))</f>
        <v>0</v>
      </c>
      <c r="AX44" s="11">
        <f>HLOOKUP((AX$2-1)*12,$W$3:$CE$52,ROW()-2,0)*(1+(HLOOKUP(AX$2,'UW Model'!$M$103:$Q$104,2,0)/12)*(AX$3-((AX$2-1)*12)))</f>
        <v>0</v>
      </c>
      <c r="AY44" s="11">
        <f>HLOOKUP((AY$2-1)*12,$W$3:$CE$52,ROW()-2,0)*(1+(HLOOKUP(AY$2,'UW Model'!$M$103:$Q$104,2,0)/12)*(AY$3-((AY$2-1)*12)))</f>
        <v>0</v>
      </c>
      <c r="AZ44" s="11">
        <f>HLOOKUP((AZ$2-1)*12,$W$3:$CE$52,ROW()-2,0)*(1+(HLOOKUP(AZ$2,'UW Model'!$M$103:$Q$104,2,0)/12)*(AZ$3-((AZ$2-1)*12)))</f>
        <v>0</v>
      </c>
      <c r="BA44" s="11">
        <f>HLOOKUP((BA$2-1)*12,$W$3:$CE$52,ROW()-2,0)*(1+(HLOOKUP(BA$2,'UW Model'!$M$103:$Q$104,2,0)/12)*(BA$3-((BA$2-1)*12)))</f>
        <v>0</v>
      </c>
      <c r="BB44" s="11">
        <f>HLOOKUP((BB$2-1)*12,$W$3:$CE$52,ROW()-2,0)*(1+(HLOOKUP(BB$2,'UW Model'!$M$103:$Q$104,2,0)/12)*(BB$3-((BB$2-1)*12)))</f>
        <v>0</v>
      </c>
      <c r="BC44" s="11">
        <f>HLOOKUP((BC$2-1)*12,$W$3:$CE$52,ROW()-2,0)*(1+(HLOOKUP(BC$2,'UW Model'!$M$103:$Q$104,2,0)/12)*(BC$3-((BC$2-1)*12)))</f>
        <v>0</v>
      </c>
      <c r="BD44" s="11">
        <f>HLOOKUP((BD$2-1)*12,$W$3:$CE$52,ROW()-2,0)*(1+(HLOOKUP(BD$2,'UW Model'!$M$103:$Q$104,2,0)/12)*(BD$3-((BD$2-1)*12)))</f>
        <v>0</v>
      </c>
      <c r="BE44" s="11">
        <f>HLOOKUP((BE$2-1)*12,$W$3:$CE$52,ROW()-2,0)*(1+(HLOOKUP(BE$2,'UW Model'!$M$103:$Q$104,2,0)/12)*(BE$3-((BE$2-1)*12)))</f>
        <v>0</v>
      </c>
      <c r="BF44" s="11">
        <f>HLOOKUP((BF$2-1)*12,$W$3:$CE$52,ROW()-2,0)*(1+(HLOOKUP(BF$2,'UW Model'!$M$103:$Q$104,2,0)/12)*(BF$3-((BF$2-1)*12)))</f>
        <v>0</v>
      </c>
      <c r="BG44" s="71">
        <f>HLOOKUP((BG$2-1)*12,$W$3:$CE$52,ROW()-2,0)*(1+(HLOOKUP(BG$2,'UW Model'!$M$103:$Q$104,2,0)/12)*(BG$3-((BG$2-1)*12)))</f>
        <v>0</v>
      </c>
      <c r="BH44" s="11">
        <f>HLOOKUP((BH$2-1)*12,$W$3:$CE$52,ROW()-2,0)*(1+(HLOOKUP(BH$2,'UW Model'!$M$103:$Q$104,2,0)/12)*(BH$3-((BH$2-1)*12)))</f>
        <v>0</v>
      </c>
      <c r="BI44" s="11">
        <f>HLOOKUP((BI$2-1)*12,$W$3:$CE$52,ROW()-2,0)*(1+(HLOOKUP(BI$2,'UW Model'!$M$103:$Q$104,2,0)/12)*(BI$3-((BI$2-1)*12)))</f>
        <v>0</v>
      </c>
      <c r="BJ44" s="11">
        <f>HLOOKUP((BJ$2-1)*12,$W$3:$CE$52,ROW()-2,0)*(1+(HLOOKUP(BJ$2,'UW Model'!$M$103:$Q$104,2,0)/12)*(BJ$3-((BJ$2-1)*12)))</f>
        <v>0</v>
      </c>
      <c r="BK44" s="11">
        <f>HLOOKUP((BK$2-1)*12,$W$3:$CE$52,ROW()-2,0)*(1+(HLOOKUP(BK$2,'UW Model'!$M$103:$Q$104,2,0)/12)*(BK$3-((BK$2-1)*12)))</f>
        <v>0</v>
      </c>
      <c r="BL44" s="11">
        <f>HLOOKUP((BL$2-1)*12,$W$3:$CE$52,ROW()-2,0)*(1+(HLOOKUP(BL$2,'UW Model'!$M$103:$Q$104,2,0)/12)*(BL$3-((BL$2-1)*12)))</f>
        <v>0</v>
      </c>
      <c r="BM44" s="11">
        <f>HLOOKUP((BM$2-1)*12,$W$3:$CE$52,ROW()-2,0)*(1+(HLOOKUP(BM$2,'UW Model'!$M$103:$Q$104,2,0)/12)*(BM$3-((BM$2-1)*12)))</f>
        <v>0</v>
      </c>
      <c r="BN44" s="11">
        <f>HLOOKUP((BN$2-1)*12,$W$3:$CE$52,ROW()-2,0)*(1+(HLOOKUP(BN$2,'UW Model'!$M$103:$Q$104,2,0)/12)*(BN$3-((BN$2-1)*12)))</f>
        <v>0</v>
      </c>
      <c r="BO44" s="11">
        <f>HLOOKUP((BO$2-1)*12,$W$3:$CE$52,ROW()-2,0)*(1+(HLOOKUP(BO$2,'UW Model'!$M$103:$Q$104,2,0)/12)*(BO$3-((BO$2-1)*12)))</f>
        <v>0</v>
      </c>
      <c r="BP44" s="11">
        <f>HLOOKUP((BP$2-1)*12,$W$3:$CE$52,ROW()-2,0)*(1+(HLOOKUP(BP$2,'UW Model'!$M$103:$Q$104,2,0)/12)*(BP$3-((BP$2-1)*12)))</f>
        <v>0</v>
      </c>
      <c r="BQ44" s="11">
        <f>HLOOKUP((BQ$2-1)*12,$W$3:$CE$52,ROW()-2,0)*(1+(HLOOKUP(BQ$2,'UW Model'!$M$103:$Q$104,2,0)/12)*(BQ$3-((BQ$2-1)*12)))</f>
        <v>0</v>
      </c>
      <c r="BR44" s="11">
        <f>HLOOKUP((BR$2-1)*12,$W$3:$CE$52,ROW()-2,0)*(1+(HLOOKUP(BR$2,'UW Model'!$M$103:$Q$104,2,0)/12)*(BR$3-((BR$2-1)*12)))</f>
        <v>0</v>
      </c>
      <c r="BS44" s="71">
        <f>HLOOKUP((BS$2-1)*12,$W$3:$CE$52,ROW()-2,0)*(1+(HLOOKUP(BS$2,'UW Model'!$M$103:$Q$104,2,0)/12)*(BS$3-((BS$2-1)*12)))</f>
        <v>0</v>
      </c>
      <c r="BT44" s="11">
        <f>HLOOKUP((BT$2-1)*12,$W$3:$CE$52,ROW()-2,0)*(1+(HLOOKUP(BT$2,'UW Model'!$M$103:$Q$104,2,0)/12)*(BT$3-((BT$2-1)*12)))</f>
        <v>0</v>
      </c>
      <c r="BU44" s="11">
        <f>HLOOKUP((BU$2-1)*12,$W$3:$CE$52,ROW()-2,0)*(1+(HLOOKUP(BU$2,'UW Model'!$M$103:$Q$104,2,0)/12)*(BU$3-((BU$2-1)*12)))</f>
        <v>0</v>
      </c>
      <c r="BV44" s="11">
        <f>HLOOKUP((BV$2-1)*12,$W$3:$CE$52,ROW()-2,0)*(1+(HLOOKUP(BV$2,'UW Model'!$M$103:$Q$104,2,0)/12)*(BV$3-((BV$2-1)*12)))</f>
        <v>0</v>
      </c>
      <c r="BW44" s="11">
        <f>HLOOKUP((BW$2-1)*12,$W$3:$CE$52,ROW()-2,0)*(1+(HLOOKUP(BW$2,'UW Model'!$M$103:$Q$104,2,0)/12)*(BW$3-((BW$2-1)*12)))</f>
        <v>0</v>
      </c>
      <c r="BX44" s="11">
        <f>HLOOKUP((BX$2-1)*12,$W$3:$CE$52,ROW()-2,0)*(1+(HLOOKUP(BX$2,'UW Model'!$M$103:$Q$104,2,0)/12)*(BX$3-((BX$2-1)*12)))</f>
        <v>0</v>
      </c>
      <c r="BY44" s="11">
        <f>HLOOKUP((BY$2-1)*12,$W$3:$CE$52,ROW()-2,0)*(1+(HLOOKUP(BY$2,'UW Model'!$M$103:$Q$104,2,0)/12)*(BY$3-((BY$2-1)*12)))</f>
        <v>0</v>
      </c>
      <c r="BZ44" s="11">
        <f>HLOOKUP((BZ$2-1)*12,$W$3:$CE$52,ROW()-2,0)*(1+(HLOOKUP(BZ$2,'UW Model'!$M$103:$Q$104,2,0)/12)*(BZ$3-((BZ$2-1)*12)))</f>
        <v>0</v>
      </c>
      <c r="CA44" s="11">
        <f>HLOOKUP((CA$2-1)*12,$W$3:$CE$52,ROW()-2,0)*(1+(HLOOKUP(CA$2,'UW Model'!$M$103:$Q$104,2,0)/12)*(CA$3-((CA$2-1)*12)))</f>
        <v>0</v>
      </c>
      <c r="CB44" s="11">
        <f>HLOOKUP((CB$2-1)*12,$W$3:$CE$52,ROW()-2,0)*(1+(HLOOKUP(CB$2,'UW Model'!$M$103:$Q$104,2,0)/12)*(CB$3-((CB$2-1)*12)))</f>
        <v>0</v>
      </c>
      <c r="CC44" s="11">
        <f>HLOOKUP((CC$2-1)*12,$W$3:$CE$52,ROW()-2,0)*(1+(HLOOKUP(CC$2,'UW Model'!$M$103:$Q$104,2,0)/12)*(CC$3-((CC$2-1)*12)))</f>
        <v>0</v>
      </c>
      <c r="CD44" s="11">
        <f>HLOOKUP((CD$2-1)*12,$W$3:$CE$52,ROW()-2,0)*(1+(HLOOKUP(CD$2,'UW Model'!$M$103:$Q$104,2,0)/12)*(CD$3-((CD$2-1)*12)))</f>
        <v>0</v>
      </c>
      <c r="CE44" s="88">
        <f>HLOOKUP((CE$2-1)*12,$W$3:$CE$52,ROW()-2,0)*(1+(HLOOKUP(CE$2,'UW Model'!$M$103:$Q$104,2,0)/12)*(CE$3-((CE$2-1)*12)))</f>
        <v>0</v>
      </c>
    </row>
    <row r="45" spans="14:83" x14ac:dyDescent="0.35">
      <c r="P45" s="933"/>
      <c r="Q45" s="196" t="str">
        <f>$Q$13</f>
        <v/>
      </c>
      <c r="R45" s="199">
        <f t="shared" si="105"/>
        <v>0</v>
      </c>
      <c r="S45" s="121">
        <f t="shared" si="105"/>
        <v>0</v>
      </c>
      <c r="T45" s="121">
        <f t="shared" si="105"/>
        <v>0</v>
      </c>
      <c r="U45" s="121">
        <f t="shared" si="105"/>
        <v>0</v>
      </c>
      <c r="V45" s="200">
        <f t="shared" si="105"/>
        <v>0</v>
      </c>
      <c r="W45" s="201">
        <f>IF(SUM(R13:V13)&gt;0,'UW Model'!T35,0)</f>
        <v>0</v>
      </c>
      <c r="X45" s="201">
        <f>HLOOKUP((X$2-1)*12,$W$3:$CE$52,ROW()-2,0)*(1+(HLOOKUP(X$2,'UW Model'!$M$103:$Q$104,2,0)/12)*(X$3-((X$2-1)*12)))</f>
        <v>0</v>
      </c>
      <c r="Y45" s="11">
        <f>HLOOKUP((Y$2-1)*12,$W$3:$CE$52,ROW()-2,0)*(1+(HLOOKUP(Y$2,'UW Model'!$M$103:$Q$104,2,0)/12)*(Y$3-((Y$2-1)*12)))</f>
        <v>0</v>
      </c>
      <c r="Z45" s="11">
        <f>HLOOKUP((Z$2-1)*12,$W$3:$CE$52,ROW()-2,0)*(1+(HLOOKUP(Z$2,'UW Model'!$M$103:$Q$104,2,0)/12)*(Z$3-((Z$2-1)*12)))</f>
        <v>0</v>
      </c>
      <c r="AA45" s="11">
        <f>HLOOKUP((AA$2-1)*12,$W$3:$CE$52,ROW()-2,0)*(1+(HLOOKUP(AA$2,'UW Model'!$M$103:$Q$104,2,0)/12)*(AA$3-((AA$2-1)*12)))</f>
        <v>0</v>
      </c>
      <c r="AB45" s="11">
        <f>HLOOKUP((AB$2-1)*12,$W$3:$CE$52,ROW()-2,0)*(1+(HLOOKUP(AB$2,'UW Model'!$M$103:$Q$104,2,0)/12)*(AB$3-((AB$2-1)*12)))</f>
        <v>0</v>
      </c>
      <c r="AC45" s="11">
        <f>HLOOKUP((AC$2-1)*12,$W$3:$CE$52,ROW()-2,0)*(1+(HLOOKUP(AC$2,'UW Model'!$M$103:$Q$104,2,0)/12)*(AC$3-((AC$2-1)*12)))</f>
        <v>0</v>
      </c>
      <c r="AD45" s="11">
        <f>HLOOKUP((AD$2-1)*12,$W$3:$CE$52,ROW()-2,0)*(1+(HLOOKUP(AD$2,'UW Model'!$M$103:$Q$104,2,0)/12)*(AD$3-((AD$2-1)*12)))</f>
        <v>0</v>
      </c>
      <c r="AE45" s="11">
        <f>HLOOKUP((AE$2-1)*12,$W$3:$CE$52,ROW()-2,0)*(1+(HLOOKUP(AE$2,'UW Model'!$M$103:$Q$104,2,0)/12)*(AE$3-((AE$2-1)*12)))</f>
        <v>0</v>
      </c>
      <c r="AF45" s="11">
        <f>HLOOKUP((AF$2-1)*12,$W$3:$CE$52,ROW()-2,0)*(1+(HLOOKUP(AF$2,'UW Model'!$M$103:$Q$104,2,0)/12)*(AF$3-((AF$2-1)*12)))</f>
        <v>0</v>
      </c>
      <c r="AG45" s="11">
        <f>HLOOKUP((AG$2-1)*12,$W$3:$CE$52,ROW()-2,0)*(1+(HLOOKUP(AG$2,'UW Model'!$M$103:$Q$104,2,0)/12)*(AG$3-((AG$2-1)*12)))</f>
        <v>0</v>
      </c>
      <c r="AH45" s="11">
        <f>HLOOKUP((AH$2-1)*12,$W$3:$CE$52,ROW()-2,0)*(1+(HLOOKUP(AH$2,'UW Model'!$M$103:$Q$104,2,0)/12)*(AH$3-((AH$2-1)*12)))</f>
        <v>0</v>
      </c>
      <c r="AI45" s="71">
        <f>HLOOKUP((AI$2-1)*12,$W$3:$CE$52,ROW()-2,0)*(1+(HLOOKUP(AI$2,'UW Model'!$M$103:$Q$104,2,0)/12)*(AI$3-((AI$2-1)*12)))</f>
        <v>0</v>
      </c>
      <c r="AJ45" s="201">
        <f>HLOOKUP((AJ$2-1)*12,$W$3:$CE$52,ROW()-2,0)*(1+(HLOOKUP(AJ$2,'UW Model'!$M$103:$Q$104,2,0)/12)*(AJ$3-((AJ$2-1)*12)))</f>
        <v>0</v>
      </c>
      <c r="AK45" s="11">
        <f>HLOOKUP((AK$2-1)*12,$W$3:$CE$52,ROW()-2,0)*(1+(HLOOKUP(AK$2,'UW Model'!$M$103:$Q$104,2,0)/12)*(AK$3-((AK$2-1)*12)))</f>
        <v>0</v>
      </c>
      <c r="AL45" s="11">
        <f>HLOOKUP((AL$2-1)*12,$W$3:$CE$52,ROW()-2,0)*(1+(HLOOKUP(AL$2,'UW Model'!$M$103:$Q$104,2,0)/12)*(AL$3-((AL$2-1)*12)))</f>
        <v>0</v>
      </c>
      <c r="AM45" s="11">
        <f>HLOOKUP((AM$2-1)*12,$W$3:$CE$52,ROW()-2,0)*(1+(HLOOKUP(AM$2,'UW Model'!$M$103:$Q$104,2,0)/12)*(AM$3-((AM$2-1)*12)))</f>
        <v>0</v>
      </c>
      <c r="AN45" s="11">
        <f>HLOOKUP((AN$2-1)*12,$W$3:$CE$52,ROW()-2,0)*(1+(HLOOKUP(AN$2,'UW Model'!$M$103:$Q$104,2,0)/12)*(AN$3-((AN$2-1)*12)))</f>
        <v>0</v>
      </c>
      <c r="AO45" s="11">
        <f>HLOOKUP((AO$2-1)*12,$W$3:$CE$52,ROW()-2,0)*(1+(HLOOKUP(AO$2,'UW Model'!$M$103:$Q$104,2,0)/12)*(AO$3-((AO$2-1)*12)))</f>
        <v>0</v>
      </c>
      <c r="AP45" s="11">
        <f>HLOOKUP((AP$2-1)*12,$W$3:$CE$52,ROW()-2,0)*(1+(HLOOKUP(AP$2,'UW Model'!$M$103:$Q$104,2,0)/12)*(AP$3-((AP$2-1)*12)))</f>
        <v>0</v>
      </c>
      <c r="AQ45" s="11">
        <f>HLOOKUP((AQ$2-1)*12,$W$3:$CE$52,ROW()-2,0)*(1+(HLOOKUP(AQ$2,'UW Model'!$M$103:$Q$104,2,0)/12)*(AQ$3-((AQ$2-1)*12)))</f>
        <v>0</v>
      </c>
      <c r="AR45" s="11">
        <f>HLOOKUP((AR$2-1)*12,$W$3:$CE$52,ROW()-2,0)*(1+(HLOOKUP(AR$2,'UW Model'!$M$103:$Q$104,2,0)/12)*(AR$3-((AR$2-1)*12)))</f>
        <v>0</v>
      </c>
      <c r="AS45" s="11">
        <f>HLOOKUP((AS$2-1)*12,$W$3:$CE$52,ROW()-2,0)*(1+(HLOOKUP(AS$2,'UW Model'!$M$103:$Q$104,2,0)/12)*(AS$3-((AS$2-1)*12)))</f>
        <v>0</v>
      </c>
      <c r="AT45" s="11">
        <f>HLOOKUP((AT$2-1)*12,$W$3:$CE$52,ROW()-2,0)*(1+(HLOOKUP(AT$2,'UW Model'!$M$103:$Q$104,2,0)/12)*(AT$3-((AT$2-1)*12)))</f>
        <v>0</v>
      </c>
      <c r="AU45" s="71">
        <f>HLOOKUP((AU$2-1)*12,$W$3:$CE$52,ROW()-2,0)*(1+(HLOOKUP(AU$2,'UW Model'!$M$103:$Q$104,2,0)/12)*(AU$3-((AU$2-1)*12)))</f>
        <v>0</v>
      </c>
      <c r="AV45" s="11">
        <f>HLOOKUP((AV$2-1)*12,$W$3:$CE$52,ROW()-2,0)*(1+(HLOOKUP(AV$2,'UW Model'!$M$103:$Q$104,2,0)/12)*(AV$3-((AV$2-1)*12)))</f>
        <v>0</v>
      </c>
      <c r="AW45" s="11">
        <f>HLOOKUP((AW$2-1)*12,$W$3:$CE$52,ROW()-2,0)*(1+(HLOOKUP(AW$2,'UW Model'!$M$103:$Q$104,2,0)/12)*(AW$3-((AW$2-1)*12)))</f>
        <v>0</v>
      </c>
      <c r="AX45" s="11">
        <f>HLOOKUP((AX$2-1)*12,$W$3:$CE$52,ROW()-2,0)*(1+(HLOOKUP(AX$2,'UW Model'!$M$103:$Q$104,2,0)/12)*(AX$3-((AX$2-1)*12)))</f>
        <v>0</v>
      </c>
      <c r="AY45" s="11">
        <f>HLOOKUP((AY$2-1)*12,$W$3:$CE$52,ROW()-2,0)*(1+(HLOOKUP(AY$2,'UW Model'!$M$103:$Q$104,2,0)/12)*(AY$3-((AY$2-1)*12)))</f>
        <v>0</v>
      </c>
      <c r="AZ45" s="11">
        <f>HLOOKUP((AZ$2-1)*12,$W$3:$CE$52,ROW()-2,0)*(1+(HLOOKUP(AZ$2,'UW Model'!$M$103:$Q$104,2,0)/12)*(AZ$3-((AZ$2-1)*12)))</f>
        <v>0</v>
      </c>
      <c r="BA45" s="11">
        <f>HLOOKUP((BA$2-1)*12,$W$3:$CE$52,ROW()-2,0)*(1+(HLOOKUP(BA$2,'UW Model'!$M$103:$Q$104,2,0)/12)*(BA$3-((BA$2-1)*12)))</f>
        <v>0</v>
      </c>
      <c r="BB45" s="11">
        <f>HLOOKUP((BB$2-1)*12,$W$3:$CE$52,ROW()-2,0)*(1+(HLOOKUP(BB$2,'UW Model'!$M$103:$Q$104,2,0)/12)*(BB$3-((BB$2-1)*12)))</f>
        <v>0</v>
      </c>
      <c r="BC45" s="11">
        <f>HLOOKUP((BC$2-1)*12,$W$3:$CE$52,ROW()-2,0)*(1+(HLOOKUP(BC$2,'UW Model'!$M$103:$Q$104,2,0)/12)*(BC$3-((BC$2-1)*12)))</f>
        <v>0</v>
      </c>
      <c r="BD45" s="11">
        <f>HLOOKUP((BD$2-1)*12,$W$3:$CE$52,ROW()-2,0)*(1+(HLOOKUP(BD$2,'UW Model'!$M$103:$Q$104,2,0)/12)*(BD$3-((BD$2-1)*12)))</f>
        <v>0</v>
      </c>
      <c r="BE45" s="11">
        <f>HLOOKUP((BE$2-1)*12,$W$3:$CE$52,ROW()-2,0)*(1+(HLOOKUP(BE$2,'UW Model'!$M$103:$Q$104,2,0)/12)*(BE$3-((BE$2-1)*12)))</f>
        <v>0</v>
      </c>
      <c r="BF45" s="11">
        <f>HLOOKUP((BF$2-1)*12,$W$3:$CE$52,ROW()-2,0)*(1+(HLOOKUP(BF$2,'UW Model'!$M$103:$Q$104,2,0)/12)*(BF$3-((BF$2-1)*12)))</f>
        <v>0</v>
      </c>
      <c r="BG45" s="71">
        <f>HLOOKUP((BG$2-1)*12,$W$3:$CE$52,ROW()-2,0)*(1+(HLOOKUP(BG$2,'UW Model'!$M$103:$Q$104,2,0)/12)*(BG$3-((BG$2-1)*12)))</f>
        <v>0</v>
      </c>
      <c r="BH45" s="11">
        <f>HLOOKUP((BH$2-1)*12,$W$3:$CE$52,ROW()-2,0)*(1+(HLOOKUP(BH$2,'UW Model'!$M$103:$Q$104,2,0)/12)*(BH$3-((BH$2-1)*12)))</f>
        <v>0</v>
      </c>
      <c r="BI45" s="11">
        <f>HLOOKUP((BI$2-1)*12,$W$3:$CE$52,ROW()-2,0)*(1+(HLOOKUP(BI$2,'UW Model'!$M$103:$Q$104,2,0)/12)*(BI$3-((BI$2-1)*12)))</f>
        <v>0</v>
      </c>
      <c r="BJ45" s="11">
        <f>HLOOKUP((BJ$2-1)*12,$W$3:$CE$52,ROW()-2,0)*(1+(HLOOKUP(BJ$2,'UW Model'!$M$103:$Q$104,2,0)/12)*(BJ$3-((BJ$2-1)*12)))</f>
        <v>0</v>
      </c>
      <c r="BK45" s="11">
        <f>HLOOKUP((BK$2-1)*12,$W$3:$CE$52,ROW()-2,0)*(1+(HLOOKUP(BK$2,'UW Model'!$M$103:$Q$104,2,0)/12)*(BK$3-((BK$2-1)*12)))</f>
        <v>0</v>
      </c>
      <c r="BL45" s="11">
        <f>HLOOKUP((BL$2-1)*12,$W$3:$CE$52,ROW()-2,0)*(1+(HLOOKUP(BL$2,'UW Model'!$M$103:$Q$104,2,0)/12)*(BL$3-((BL$2-1)*12)))</f>
        <v>0</v>
      </c>
      <c r="BM45" s="11">
        <f>HLOOKUP((BM$2-1)*12,$W$3:$CE$52,ROW()-2,0)*(1+(HLOOKUP(BM$2,'UW Model'!$M$103:$Q$104,2,0)/12)*(BM$3-((BM$2-1)*12)))</f>
        <v>0</v>
      </c>
      <c r="BN45" s="11">
        <f>HLOOKUP((BN$2-1)*12,$W$3:$CE$52,ROW()-2,0)*(1+(HLOOKUP(BN$2,'UW Model'!$M$103:$Q$104,2,0)/12)*(BN$3-((BN$2-1)*12)))</f>
        <v>0</v>
      </c>
      <c r="BO45" s="11">
        <f>HLOOKUP((BO$2-1)*12,$W$3:$CE$52,ROW()-2,0)*(1+(HLOOKUP(BO$2,'UW Model'!$M$103:$Q$104,2,0)/12)*(BO$3-((BO$2-1)*12)))</f>
        <v>0</v>
      </c>
      <c r="BP45" s="11">
        <f>HLOOKUP((BP$2-1)*12,$W$3:$CE$52,ROW()-2,0)*(1+(HLOOKUP(BP$2,'UW Model'!$M$103:$Q$104,2,0)/12)*(BP$3-((BP$2-1)*12)))</f>
        <v>0</v>
      </c>
      <c r="BQ45" s="11">
        <f>HLOOKUP((BQ$2-1)*12,$W$3:$CE$52,ROW()-2,0)*(1+(HLOOKUP(BQ$2,'UW Model'!$M$103:$Q$104,2,0)/12)*(BQ$3-((BQ$2-1)*12)))</f>
        <v>0</v>
      </c>
      <c r="BR45" s="11">
        <f>HLOOKUP((BR$2-1)*12,$W$3:$CE$52,ROW()-2,0)*(1+(HLOOKUP(BR$2,'UW Model'!$M$103:$Q$104,2,0)/12)*(BR$3-((BR$2-1)*12)))</f>
        <v>0</v>
      </c>
      <c r="BS45" s="71">
        <f>HLOOKUP((BS$2-1)*12,$W$3:$CE$52,ROW()-2,0)*(1+(HLOOKUP(BS$2,'UW Model'!$M$103:$Q$104,2,0)/12)*(BS$3-((BS$2-1)*12)))</f>
        <v>0</v>
      </c>
      <c r="BT45" s="11">
        <f>HLOOKUP((BT$2-1)*12,$W$3:$CE$52,ROW()-2,0)*(1+(HLOOKUP(BT$2,'UW Model'!$M$103:$Q$104,2,0)/12)*(BT$3-((BT$2-1)*12)))</f>
        <v>0</v>
      </c>
      <c r="BU45" s="11">
        <f>HLOOKUP((BU$2-1)*12,$W$3:$CE$52,ROW()-2,0)*(1+(HLOOKUP(BU$2,'UW Model'!$M$103:$Q$104,2,0)/12)*(BU$3-((BU$2-1)*12)))</f>
        <v>0</v>
      </c>
      <c r="BV45" s="11">
        <f>HLOOKUP((BV$2-1)*12,$W$3:$CE$52,ROW()-2,0)*(1+(HLOOKUP(BV$2,'UW Model'!$M$103:$Q$104,2,0)/12)*(BV$3-((BV$2-1)*12)))</f>
        <v>0</v>
      </c>
      <c r="BW45" s="11">
        <f>HLOOKUP((BW$2-1)*12,$W$3:$CE$52,ROW()-2,0)*(1+(HLOOKUP(BW$2,'UW Model'!$M$103:$Q$104,2,0)/12)*(BW$3-((BW$2-1)*12)))</f>
        <v>0</v>
      </c>
      <c r="BX45" s="11">
        <f>HLOOKUP((BX$2-1)*12,$W$3:$CE$52,ROW()-2,0)*(1+(HLOOKUP(BX$2,'UW Model'!$M$103:$Q$104,2,0)/12)*(BX$3-((BX$2-1)*12)))</f>
        <v>0</v>
      </c>
      <c r="BY45" s="11">
        <f>HLOOKUP((BY$2-1)*12,$W$3:$CE$52,ROW()-2,0)*(1+(HLOOKUP(BY$2,'UW Model'!$M$103:$Q$104,2,0)/12)*(BY$3-((BY$2-1)*12)))</f>
        <v>0</v>
      </c>
      <c r="BZ45" s="11">
        <f>HLOOKUP((BZ$2-1)*12,$W$3:$CE$52,ROW()-2,0)*(1+(HLOOKUP(BZ$2,'UW Model'!$M$103:$Q$104,2,0)/12)*(BZ$3-((BZ$2-1)*12)))</f>
        <v>0</v>
      </c>
      <c r="CA45" s="11">
        <f>HLOOKUP((CA$2-1)*12,$W$3:$CE$52,ROW()-2,0)*(1+(HLOOKUP(CA$2,'UW Model'!$M$103:$Q$104,2,0)/12)*(CA$3-((CA$2-1)*12)))</f>
        <v>0</v>
      </c>
      <c r="CB45" s="11">
        <f>HLOOKUP((CB$2-1)*12,$W$3:$CE$52,ROW()-2,0)*(1+(HLOOKUP(CB$2,'UW Model'!$M$103:$Q$104,2,0)/12)*(CB$3-((CB$2-1)*12)))</f>
        <v>0</v>
      </c>
      <c r="CC45" s="11">
        <f>HLOOKUP((CC$2-1)*12,$W$3:$CE$52,ROW()-2,0)*(1+(HLOOKUP(CC$2,'UW Model'!$M$103:$Q$104,2,0)/12)*(CC$3-((CC$2-1)*12)))</f>
        <v>0</v>
      </c>
      <c r="CD45" s="11">
        <f>HLOOKUP((CD$2-1)*12,$W$3:$CE$52,ROW()-2,0)*(1+(HLOOKUP(CD$2,'UW Model'!$M$103:$Q$104,2,0)/12)*(CD$3-((CD$2-1)*12)))</f>
        <v>0</v>
      </c>
      <c r="CE45" s="88">
        <f>HLOOKUP((CE$2-1)*12,$W$3:$CE$52,ROW()-2,0)*(1+(HLOOKUP(CE$2,'UW Model'!$M$103:$Q$104,2,0)/12)*(CE$3-((CE$2-1)*12)))</f>
        <v>0</v>
      </c>
    </row>
    <row r="46" spans="14:83" x14ac:dyDescent="0.35">
      <c r="P46" s="933"/>
      <c r="Q46" s="196" t="str">
        <f>$Q$14</f>
        <v/>
      </c>
      <c r="R46" s="199">
        <f t="shared" si="105"/>
        <v>0</v>
      </c>
      <c r="S46" s="121">
        <f t="shared" si="105"/>
        <v>0</v>
      </c>
      <c r="T46" s="121">
        <f t="shared" si="105"/>
        <v>0</v>
      </c>
      <c r="U46" s="121">
        <f t="shared" si="105"/>
        <v>0</v>
      </c>
      <c r="V46" s="200">
        <f t="shared" si="105"/>
        <v>0</v>
      </c>
      <c r="W46" s="201">
        <f>IF(SUM(R14:V14)&gt;0,'UW Model'!T36,0)</f>
        <v>0</v>
      </c>
      <c r="X46" s="201">
        <f>HLOOKUP((X$2-1)*12,$W$3:$CE$52,ROW()-2,0)*(1+(HLOOKUP(X$2,'UW Model'!$M$103:$Q$104,2,0)/12)*(X$3-((X$2-1)*12)))</f>
        <v>0</v>
      </c>
      <c r="Y46" s="11">
        <f>HLOOKUP((Y$2-1)*12,$W$3:$CE$52,ROW()-2,0)*(1+(HLOOKUP(Y$2,'UW Model'!$M$103:$Q$104,2,0)/12)*(Y$3-((Y$2-1)*12)))</f>
        <v>0</v>
      </c>
      <c r="Z46" s="11">
        <f>HLOOKUP((Z$2-1)*12,$W$3:$CE$52,ROW()-2,0)*(1+(HLOOKUP(Z$2,'UW Model'!$M$103:$Q$104,2,0)/12)*(Z$3-((Z$2-1)*12)))</f>
        <v>0</v>
      </c>
      <c r="AA46" s="11">
        <f>HLOOKUP((AA$2-1)*12,$W$3:$CE$52,ROW()-2,0)*(1+(HLOOKUP(AA$2,'UW Model'!$M$103:$Q$104,2,0)/12)*(AA$3-((AA$2-1)*12)))</f>
        <v>0</v>
      </c>
      <c r="AB46" s="11">
        <f>HLOOKUP((AB$2-1)*12,$W$3:$CE$52,ROW()-2,0)*(1+(HLOOKUP(AB$2,'UW Model'!$M$103:$Q$104,2,0)/12)*(AB$3-((AB$2-1)*12)))</f>
        <v>0</v>
      </c>
      <c r="AC46" s="11">
        <f>HLOOKUP((AC$2-1)*12,$W$3:$CE$52,ROW()-2,0)*(1+(HLOOKUP(AC$2,'UW Model'!$M$103:$Q$104,2,0)/12)*(AC$3-((AC$2-1)*12)))</f>
        <v>0</v>
      </c>
      <c r="AD46" s="11">
        <f>HLOOKUP((AD$2-1)*12,$W$3:$CE$52,ROW()-2,0)*(1+(HLOOKUP(AD$2,'UW Model'!$M$103:$Q$104,2,0)/12)*(AD$3-((AD$2-1)*12)))</f>
        <v>0</v>
      </c>
      <c r="AE46" s="11">
        <f>HLOOKUP((AE$2-1)*12,$W$3:$CE$52,ROW()-2,0)*(1+(HLOOKUP(AE$2,'UW Model'!$M$103:$Q$104,2,0)/12)*(AE$3-((AE$2-1)*12)))</f>
        <v>0</v>
      </c>
      <c r="AF46" s="11">
        <f>HLOOKUP((AF$2-1)*12,$W$3:$CE$52,ROW()-2,0)*(1+(HLOOKUP(AF$2,'UW Model'!$M$103:$Q$104,2,0)/12)*(AF$3-((AF$2-1)*12)))</f>
        <v>0</v>
      </c>
      <c r="AG46" s="11">
        <f>HLOOKUP((AG$2-1)*12,$W$3:$CE$52,ROW()-2,0)*(1+(HLOOKUP(AG$2,'UW Model'!$M$103:$Q$104,2,0)/12)*(AG$3-((AG$2-1)*12)))</f>
        <v>0</v>
      </c>
      <c r="AH46" s="11">
        <f>HLOOKUP((AH$2-1)*12,$W$3:$CE$52,ROW()-2,0)*(1+(HLOOKUP(AH$2,'UW Model'!$M$103:$Q$104,2,0)/12)*(AH$3-((AH$2-1)*12)))</f>
        <v>0</v>
      </c>
      <c r="AI46" s="71">
        <f>HLOOKUP((AI$2-1)*12,$W$3:$CE$52,ROW()-2,0)*(1+(HLOOKUP(AI$2,'UW Model'!$M$103:$Q$104,2,0)/12)*(AI$3-((AI$2-1)*12)))</f>
        <v>0</v>
      </c>
      <c r="AJ46" s="201">
        <f>HLOOKUP((AJ$2-1)*12,$W$3:$CE$52,ROW()-2,0)*(1+(HLOOKUP(AJ$2,'UW Model'!$M$103:$Q$104,2,0)/12)*(AJ$3-((AJ$2-1)*12)))</f>
        <v>0</v>
      </c>
      <c r="AK46" s="11">
        <f>HLOOKUP((AK$2-1)*12,$W$3:$CE$52,ROW()-2,0)*(1+(HLOOKUP(AK$2,'UW Model'!$M$103:$Q$104,2,0)/12)*(AK$3-((AK$2-1)*12)))</f>
        <v>0</v>
      </c>
      <c r="AL46" s="11">
        <f>HLOOKUP((AL$2-1)*12,$W$3:$CE$52,ROW()-2,0)*(1+(HLOOKUP(AL$2,'UW Model'!$M$103:$Q$104,2,0)/12)*(AL$3-((AL$2-1)*12)))</f>
        <v>0</v>
      </c>
      <c r="AM46" s="11">
        <f>HLOOKUP((AM$2-1)*12,$W$3:$CE$52,ROW()-2,0)*(1+(HLOOKUP(AM$2,'UW Model'!$M$103:$Q$104,2,0)/12)*(AM$3-((AM$2-1)*12)))</f>
        <v>0</v>
      </c>
      <c r="AN46" s="11">
        <f>HLOOKUP((AN$2-1)*12,$W$3:$CE$52,ROW()-2,0)*(1+(HLOOKUP(AN$2,'UW Model'!$M$103:$Q$104,2,0)/12)*(AN$3-((AN$2-1)*12)))</f>
        <v>0</v>
      </c>
      <c r="AO46" s="11">
        <f>HLOOKUP((AO$2-1)*12,$W$3:$CE$52,ROW()-2,0)*(1+(HLOOKUP(AO$2,'UW Model'!$M$103:$Q$104,2,0)/12)*(AO$3-((AO$2-1)*12)))</f>
        <v>0</v>
      </c>
      <c r="AP46" s="11">
        <f>HLOOKUP((AP$2-1)*12,$W$3:$CE$52,ROW()-2,0)*(1+(HLOOKUP(AP$2,'UW Model'!$M$103:$Q$104,2,0)/12)*(AP$3-((AP$2-1)*12)))</f>
        <v>0</v>
      </c>
      <c r="AQ46" s="11">
        <f>HLOOKUP((AQ$2-1)*12,$W$3:$CE$52,ROW()-2,0)*(1+(HLOOKUP(AQ$2,'UW Model'!$M$103:$Q$104,2,0)/12)*(AQ$3-((AQ$2-1)*12)))</f>
        <v>0</v>
      </c>
      <c r="AR46" s="11">
        <f>HLOOKUP((AR$2-1)*12,$W$3:$CE$52,ROW()-2,0)*(1+(HLOOKUP(AR$2,'UW Model'!$M$103:$Q$104,2,0)/12)*(AR$3-((AR$2-1)*12)))</f>
        <v>0</v>
      </c>
      <c r="AS46" s="11">
        <f>HLOOKUP((AS$2-1)*12,$W$3:$CE$52,ROW()-2,0)*(1+(HLOOKUP(AS$2,'UW Model'!$M$103:$Q$104,2,0)/12)*(AS$3-((AS$2-1)*12)))</f>
        <v>0</v>
      </c>
      <c r="AT46" s="11">
        <f>HLOOKUP((AT$2-1)*12,$W$3:$CE$52,ROW()-2,0)*(1+(HLOOKUP(AT$2,'UW Model'!$M$103:$Q$104,2,0)/12)*(AT$3-((AT$2-1)*12)))</f>
        <v>0</v>
      </c>
      <c r="AU46" s="71">
        <f>HLOOKUP((AU$2-1)*12,$W$3:$CE$52,ROW()-2,0)*(1+(HLOOKUP(AU$2,'UW Model'!$M$103:$Q$104,2,0)/12)*(AU$3-((AU$2-1)*12)))</f>
        <v>0</v>
      </c>
      <c r="AV46" s="11">
        <f>HLOOKUP((AV$2-1)*12,$W$3:$CE$52,ROW()-2,0)*(1+(HLOOKUP(AV$2,'UW Model'!$M$103:$Q$104,2,0)/12)*(AV$3-((AV$2-1)*12)))</f>
        <v>0</v>
      </c>
      <c r="AW46" s="11">
        <f>HLOOKUP((AW$2-1)*12,$W$3:$CE$52,ROW()-2,0)*(1+(HLOOKUP(AW$2,'UW Model'!$M$103:$Q$104,2,0)/12)*(AW$3-((AW$2-1)*12)))</f>
        <v>0</v>
      </c>
      <c r="AX46" s="11">
        <f>HLOOKUP((AX$2-1)*12,$W$3:$CE$52,ROW()-2,0)*(1+(HLOOKUP(AX$2,'UW Model'!$M$103:$Q$104,2,0)/12)*(AX$3-((AX$2-1)*12)))</f>
        <v>0</v>
      </c>
      <c r="AY46" s="11">
        <f>HLOOKUP((AY$2-1)*12,$W$3:$CE$52,ROW()-2,0)*(1+(HLOOKUP(AY$2,'UW Model'!$M$103:$Q$104,2,0)/12)*(AY$3-((AY$2-1)*12)))</f>
        <v>0</v>
      </c>
      <c r="AZ46" s="11">
        <f>HLOOKUP((AZ$2-1)*12,$W$3:$CE$52,ROW()-2,0)*(1+(HLOOKUP(AZ$2,'UW Model'!$M$103:$Q$104,2,0)/12)*(AZ$3-((AZ$2-1)*12)))</f>
        <v>0</v>
      </c>
      <c r="BA46" s="11">
        <f>HLOOKUP((BA$2-1)*12,$W$3:$CE$52,ROW()-2,0)*(1+(HLOOKUP(BA$2,'UW Model'!$M$103:$Q$104,2,0)/12)*(BA$3-((BA$2-1)*12)))</f>
        <v>0</v>
      </c>
      <c r="BB46" s="11">
        <f>HLOOKUP((BB$2-1)*12,$W$3:$CE$52,ROW()-2,0)*(1+(HLOOKUP(BB$2,'UW Model'!$M$103:$Q$104,2,0)/12)*(BB$3-((BB$2-1)*12)))</f>
        <v>0</v>
      </c>
      <c r="BC46" s="11">
        <f>HLOOKUP((BC$2-1)*12,$W$3:$CE$52,ROW()-2,0)*(1+(HLOOKUP(BC$2,'UW Model'!$M$103:$Q$104,2,0)/12)*(BC$3-((BC$2-1)*12)))</f>
        <v>0</v>
      </c>
      <c r="BD46" s="11">
        <f>HLOOKUP((BD$2-1)*12,$W$3:$CE$52,ROW()-2,0)*(1+(HLOOKUP(BD$2,'UW Model'!$M$103:$Q$104,2,0)/12)*(BD$3-((BD$2-1)*12)))</f>
        <v>0</v>
      </c>
      <c r="BE46" s="11">
        <f>HLOOKUP((BE$2-1)*12,$W$3:$CE$52,ROW()-2,0)*(1+(HLOOKUP(BE$2,'UW Model'!$M$103:$Q$104,2,0)/12)*(BE$3-((BE$2-1)*12)))</f>
        <v>0</v>
      </c>
      <c r="BF46" s="11">
        <f>HLOOKUP((BF$2-1)*12,$W$3:$CE$52,ROW()-2,0)*(1+(HLOOKUP(BF$2,'UW Model'!$M$103:$Q$104,2,0)/12)*(BF$3-((BF$2-1)*12)))</f>
        <v>0</v>
      </c>
      <c r="BG46" s="71">
        <f>HLOOKUP((BG$2-1)*12,$W$3:$CE$52,ROW()-2,0)*(1+(HLOOKUP(BG$2,'UW Model'!$M$103:$Q$104,2,0)/12)*(BG$3-((BG$2-1)*12)))</f>
        <v>0</v>
      </c>
      <c r="BH46" s="11">
        <f>HLOOKUP((BH$2-1)*12,$W$3:$CE$52,ROW()-2,0)*(1+(HLOOKUP(BH$2,'UW Model'!$M$103:$Q$104,2,0)/12)*(BH$3-((BH$2-1)*12)))</f>
        <v>0</v>
      </c>
      <c r="BI46" s="11">
        <f>HLOOKUP((BI$2-1)*12,$W$3:$CE$52,ROW()-2,0)*(1+(HLOOKUP(BI$2,'UW Model'!$M$103:$Q$104,2,0)/12)*(BI$3-((BI$2-1)*12)))</f>
        <v>0</v>
      </c>
      <c r="BJ46" s="11">
        <f>HLOOKUP((BJ$2-1)*12,$W$3:$CE$52,ROW()-2,0)*(1+(HLOOKUP(BJ$2,'UW Model'!$M$103:$Q$104,2,0)/12)*(BJ$3-((BJ$2-1)*12)))</f>
        <v>0</v>
      </c>
      <c r="BK46" s="11">
        <f>HLOOKUP((BK$2-1)*12,$W$3:$CE$52,ROW()-2,0)*(1+(HLOOKUP(BK$2,'UW Model'!$M$103:$Q$104,2,0)/12)*(BK$3-((BK$2-1)*12)))</f>
        <v>0</v>
      </c>
      <c r="BL46" s="11">
        <f>HLOOKUP((BL$2-1)*12,$W$3:$CE$52,ROW()-2,0)*(1+(HLOOKUP(BL$2,'UW Model'!$M$103:$Q$104,2,0)/12)*(BL$3-((BL$2-1)*12)))</f>
        <v>0</v>
      </c>
      <c r="BM46" s="11">
        <f>HLOOKUP((BM$2-1)*12,$W$3:$CE$52,ROW()-2,0)*(1+(HLOOKUP(BM$2,'UW Model'!$M$103:$Q$104,2,0)/12)*(BM$3-((BM$2-1)*12)))</f>
        <v>0</v>
      </c>
      <c r="BN46" s="11">
        <f>HLOOKUP((BN$2-1)*12,$W$3:$CE$52,ROW()-2,0)*(1+(HLOOKUP(BN$2,'UW Model'!$M$103:$Q$104,2,0)/12)*(BN$3-((BN$2-1)*12)))</f>
        <v>0</v>
      </c>
      <c r="BO46" s="11">
        <f>HLOOKUP((BO$2-1)*12,$W$3:$CE$52,ROW()-2,0)*(1+(HLOOKUP(BO$2,'UW Model'!$M$103:$Q$104,2,0)/12)*(BO$3-((BO$2-1)*12)))</f>
        <v>0</v>
      </c>
      <c r="BP46" s="11">
        <f>HLOOKUP((BP$2-1)*12,$W$3:$CE$52,ROW()-2,0)*(1+(HLOOKUP(BP$2,'UW Model'!$M$103:$Q$104,2,0)/12)*(BP$3-((BP$2-1)*12)))</f>
        <v>0</v>
      </c>
      <c r="BQ46" s="11">
        <f>HLOOKUP((BQ$2-1)*12,$W$3:$CE$52,ROW()-2,0)*(1+(HLOOKUP(BQ$2,'UW Model'!$M$103:$Q$104,2,0)/12)*(BQ$3-((BQ$2-1)*12)))</f>
        <v>0</v>
      </c>
      <c r="BR46" s="11">
        <f>HLOOKUP((BR$2-1)*12,$W$3:$CE$52,ROW()-2,0)*(1+(HLOOKUP(BR$2,'UW Model'!$M$103:$Q$104,2,0)/12)*(BR$3-((BR$2-1)*12)))</f>
        <v>0</v>
      </c>
      <c r="BS46" s="71">
        <f>HLOOKUP((BS$2-1)*12,$W$3:$CE$52,ROW()-2,0)*(1+(HLOOKUP(BS$2,'UW Model'!$M$103:$Q$104,2,0)/12)*(BS$3-((BS$2-1)*12)))</f>
        <v>0</v>
      </c>
      <c r="BT46" s="11">
        <f>HLOOKUP((BT$2-1)*12,$W$3:$CE$52,ROW()-2,0)*(1+(HLOOKUP(BT$2,'UW Model'!$M$103:$Q$104,2,0)/12)*(BT$3-((BT$2-1)*12)))</f>
        <v>0</v>
      </c>
      <c r="BU46" s="11">
        <f>HLOOKUP((BU$2-1)*12,$W$3:$CE$52,ROW()-2,0)*(1+(HLOOKUP(BU$2,'UW Model'!$M$103:$Q$104,2,0)/12)*(BU$3-((BU$2-1)*12)))</f>
        <v>0</v>
      </c>
      <c r="BV46" s="11">
        <f>HLOOKUP((BV$2-1)*12,$W$3:$CE$52,ROW()-2,0)*(1+(HLOOKUP(BV$2,'UW Model'!$M$103:$Q$104,2,0)/12)*(BV$3-((BV$2-1)*12)))</f>
        <v>0</v>
      </c>
      <c r="BW46" s="11">
        <f>HLOOKUP((BW$2-1)*12,$W$3:$CE$52,ROW()-2,0)*(1+(HLOOKUP(BW$2,'UW Model'!$M$103:$Q$104,2,0)/12)*(BW$3-((BW$2-1)*12)))</f>
        <v>0</v>
      </c>
      <c r="BX46" s="11">
        <f>HLOOKUP((BX$2-1)*12,$W$3:$CE$52,ROW()-2,0)*(1+(HLOOKUP(BX$2,'UW Model'!$M$103:$Q$104,2,0)/12)*(BX$3-((BX$2-1)*12)))</f>
        <v>0</v>
      </c>
      <c r="BY46" s="11">
        <f>HLOOKUP((BY$2-1)*12,$W$3:$CE$52,ROW()-2,0)*(1+(HLOOKUP(BY$2,'UW Model'!$M$103:$Q$104,2,0)/12)*(BY$3-((BY$2-1)*12)))</f>
        <v>0</v>
      </c>
      <c r="BZ46" s="11">
        <f>HLOOKUP((BZ$2-1)*12,$W$3:$CE$52,ROW()-2,0)*(1+(HLOOKUP(BZ$2,'UW Model'!$M$103:$Q$104,2,0)/12)*(BZ$3-((BZ$2-1)*12)))</f>
        <v>0</v>
      </c>
      <c r="CA46" s="11">
        <f>HLOOKUP((CA$2-1)*12,$W$3:$CE$52,ROW()-2,0)*(1+(HLOOKUP(CA$2,'UW Model'!$M$103:$Q$104,2,0)/12)*(CA$3-((CA$2-1)*12)))</f>
        <v>0</v>
      </c>
      <c r="CB46" s="11">
        <f>HLOOKUP((CB$2-1)*12,$W$3:$CE$52,ROW()-2,0)*(1+(HLOOKUP(CB$2,'UW Model'!$M$103:$Q$104,2,0)/12)*(CB$3-((CB$2-1)*12)))</f>
        <v>0</v>
      </c>
      <c r="CC46" s="11">
        <f>HLOOKUP((CC$2-1)*12,$W$3:$CE$52,ROW()-2,0)*(1+(HLOOKUP(CC$2,'UW Model'!$M$103:$Q$104,2,0)/12)*(CC$3-((CC$2-1)*12)))</f>
        <v>0</v>
      </c>
      <c r="CD46" s="11">
        <f>HLOOKUP((CD$2-1)*12,$W$3:$CE$52,ROW()-2,0)*(1+(HLOOKUP(CD$2,'UW Model'!$M$103:$Q$104,2,0)/12)*(CD$3-((CD$2-1)*12)))</f>
        <v>0</v>
      </c>
      <c r="CE46" s="88">
        <f>HLOOKUP((CE$2-1)*12,$W$3:$CE$52,ROW()-2,0)*(1+(HLOOKUP(CE$2,'UW Model'!$M$103:$Q$104,2,0)/12)*(CE$3-((CE$2-1)*12)))</f>
        <v>0</v>
      </c>
    </row>
    <row r="47" spans="14:83" x14ac:dyDescent="0.35">
      <c r="P47" s="933"/>
      <c r="Q47" s="194" t="str">
        <f>$Q$15</f>
        <v/>
      </c>
      <c r="R47" s="199">
        <f t="shared" ref="R47:V52" si="109">IFERROR(SUMIF($X$2:$CE$2,R$2,$X31:$CE31)/SUMIF($X$2:$CE$2,R$2,$X15:$CE15),0)</f>
        <v>0</v>
      </c>
      <c r="S47" s="121">
        <f t="shared" si="109"/>
        <v>0</v>
      </c>
      <c r="T47" s="121">
        <f t="shared" si="109"/>
        <v>0</v>
      </c>
      <c r="U47" s="121">
        <f t="shared" si="109"/>
        <v>0</v>
      </c>
      <c r="V47" s="200">
        <f t="shared" si="109"/>
        <v>0</v>
      </c>
      <c r="W47" s="201">
        <f>IF(SUM(R15:V15)&gt;0,'UW Model'!T37,0)</f>
        <v>0</v>
      </c>
      <c r="X47" s="201">
        <f>HLOOKUP((X$2-1)*12,$W$3:$CE$52,ROW()-2,0)*(1+(HLOOKUP(X$2,'UW Model'!$M$103:$Q$104,2,0)/12)*(X$3-((X$2-1)*12)))</f>
        <v>0</v>
      </c>
      <c r="Y47" s="11">
        <f>HLOOKUP((Y$2-1)*12,$W$3:$CE$52,ROW()-2,0)*(1+(HLOOKUP(Y$2,'UW Model'!$M$103:$Q$104,2,0)/12)*(Y$3-((Y$2-1)*12)))</f>
        <v>0</v>
      </c>
      <c r="Z47" s="11">
        <f>HLOOKUP((Z$2-1)*12,$W$3:$CE$52,ROW()-2,0)*(1+(HLOOKUP(Z$2,'UW Model'!$M$103:$Q$104,2,0)/12)*(Z$3-((Z$2-1)*12)))</f>
        <v>0</v>
      </c>
      <c r="AA47" s="11">
        <f>HLOOKUP((AA$2-1)*12,$W$3:$CE$52,ROW()-2,0)*(1+(HLOOKUP(AA$2,'UW Model'!$M$103:$Q$104,2,0)/12)*(AA$3-((AA$2-1)*12)))</f>
        <v>0</v>
      </c>
      <c r="AB47" s="11">
        <f>HLOOKUP((AB$2-1)*12,$W$3:$CE$52,ROW()-2,0)*(1+(HLOOKUP(AB$2,'UW Model'!$M$103:$Q$104,2,0)/12)*(AB$3-((AB$2-1)*12)))</f>
        <v>0</v>
      </c>
      <c r="AC47" s="11">
        <f>HLOOKUP((AC$2-1)*12,$W$3:$CE$52,ROW()-2,0)*(1+(HLOOKUP(AC$2,'UW Model'!$M$103:$Q$104,2,0)/12)*(AC$3-((AC$2-1)*12)))</f>
        <v>0</v>
      </c>
      <c r="AD47" s="11">
        <f>HLOOKUP((AD$2-1)*12,$W$3:$CE$52,ROW()-2,0)*(1+(HLOOKUP(AD$2,'UW Model'!$M$103:$Q$104,2,0)/12)*(AD$3-((AD$2-1)*12)))</f>
        <v>0</v>
      </c>
      <c r="AE47" s="11">
        <f>HLOOKUP((AE$2-1)*12,$W$3:$CE$52,ROW()-2,0)*(1+(HLOOKUP(AE$2,'UW Model'!$M$103:$Q$104,2,0)/12)*(AE$3-((AE$2-1)*12)))</f>
        <v>0</v>
      </c>
      <c r="AF47" s="11">
        <f>HLOOKUP((AF$2-1)*12,$W$3:$CE$52,ROW()-2,0)*(1+(HLOOKUP(AF$2,'UW Model'!$M$103:$Q$104,2,0)/12)*(AF$3-((AF$2-1)*12)))</f>
        <v>0</v>
      </c>
      <c r="AG47" s="11">
        <f>HLOOKUP((AG$2-1)*12,$W$3:$CE$52,ROW()-2,0)*(1+(HLOOKUP(AG$2,'UW Model'!$M$103:$Q$104,2,0)/12)*(AG$3-((AG$2-1)*12)))</f>
        <v>0</v>
      </c>
      <c r="AH47" s="11">
        <f>HLOOKUP((AH$2-1)*12,$W$3:$CE$52,ROW()-2,0)*(1+(HLOOKUP(AH$2,'UW Model'!$M$103:$Q$104,2,0)/12)*(AH$3-((AH$2-1)*12)))</f>
        <v>0</v>
      </c>
      <c r="AI47" s="71">
        <f>HLOOKUP((AI$2-1)*12,$W$3:$CE$52,ROW()-2,0)*(1+(HLOOKUP(AI$2,'UW Model'!$M$103:$Q$104,2,0)/12)*(AI$3-((AI$2-1)*12)))</f>
        <v>0</v>
      </c>
      <c r="AJ47" s="201">
        <f>HLOOKUP((AJ$2-1)*12,$W$3:$CE$52,ROW()-2,0)*(1+(HLOOKUP(AJ$2,'UW Model'!$M$103:$Q$104,2,0)/12)*(AJ$3-((AJ$2-1)*12)))</f>
        <v>0</v>
      </c>
      <c r="AK47" s="11">
        <f>HLOOKUP((AK$2-1)*12,$W$3:$CE$52,ROW()-2,0)*(1+(HLOOKUP(AK$2,'UW Model'!$M$103:$Q$104,2,0)/12)*(AK$3-((AK$2-1)*12)))</f>
        <v>0</v>
      </c>
      <c r="AL47" s="11">
        <f>HLOOKUP((AL$2-1)*12,$W$3:$CE$52,ROW()-2,0)*(1+(HLOOKUP(AL$2,'UW Model'!$M$103:$Q$104,2,0)/12)*(AL$3-((AL$2-1)*12)))</f>
        <v>0</v>
      </c>
      <c r="AM47" s="11">
        <f>HLOOKUP((AM$2-1)*12,$W$3:$CE$52,ROW()-2,0)*(1+(HLOOKUP(AM$2,'UW Model'!$M$103:$Q$104,2,0)/12)*(AM$3-((AM$2-1)*12)))</f>
        <v>0</v>
      </c>
      <c r="AN47" s="11">
        <f>HLOOKUP((AN$2-1)*12,$W$3:$CE$52,ROW()-2,0)*(1+(HLOOKUP(AN$2,'UW Model'!$M$103:$Q$104,2,0)/12)*(AN$3-((AN$2-1)*12)))</f>
        <v>0</v>
      </c>
      <c r="AO47" s="11">
        <f>HLOOKUP((AO$2-1)*12,$W$3:$CE$52,ROW()-2,0)*(1+(HLOOKUP(AO$2,'UW Model'!$M$103:$Q$104,2,0)/12)*(AO$3-((AO$2-1)*12)))</f>
        <v>0</v>
      </c>
      <c r="AP47" s="11">
        <f>HLOOKUP((AP$2-1)*12,$W$3:$CE$52,ROW()-2,0)*(1+(HLOOKUP(AP$2,'UW Model'!$M$103:$Q$104,2,0)/12)*(AP$3-((AP$2-1)*12)))</f>
        <v>0</v>
      </c>
      <c r="AQ47" s="11">
        <f>HLOOKUP((AQ$2-1)*12,$W$3:$CE$52,ROW()-2,0)*(1+(HLOOKUP(AQ$2,'UW Model'!$M$103:$Q$104,2,0)/12)*(AQ$3-((AQ$2-1)*12)))</f>
        <v>0</v>
      </c>
      <c r="AR47" s="11">
        <f>HLOOKUP((AR$2-1)*12,$W$3:$CE$52,ROW()-2,0)*(1+(HLOOKUP(AR$2,'UW Model'!$M$103:$Q$104,2,0)/12)*(AR$3-((AR$2-1)*12)))</f>
        <v>0</v>
      </c>
      <c r="AS47" s="11">
        <f>HLOOKUP((AS$2-1)*12,$W$3:$CE$52,ROW()-2,0)*(1+(HLOOKUP(AS$2,'UW Model'!$M$103:$Q$104,2,0)/12)*(AS$3-((AS$2-1)*12)))</f>
        <v>0</v>
      </c>
      <c r="AT47" s="11">
        <f>HLOOKUP((AT$2-1)*12,$W$3:$CE$52,ROW()-2,0)*(1+(HLOOKUP(AT$2,'UW Model'!$M$103:$Q$104,2,0)/12)*(AT$3-((AT$2-1)*12)))</f>
        <v>0</v>
      </c>
      <c r="AU47" s="71">
        <f>HLOOKUP((AU$2-1)*12,$W$3:$CE$52,ROW()-2,0)*(1+(HLOOKUP(AU$2,'UW Model'!$M$103:$Q$104,2,0)/12)*(AU$3-((AU$2-1)*12)))</f>
        <v>0</v>
      </c>
      <c r="AV47" s="11">
        <f>HLOOKUP((AV$2-1)*12,$W$3:$CE$52,ROW()-2,0)*(1+(HLOOKUP(AV$2,'UW Model'!$M$103:$Q$104,2,0)/12)*(AV$3-((AV$2-1)*12)))</f>
        <v>0</v>
      </c>
      <c r="AW47" s="11">
        <f>HLOOKUP((AW$2-1)*12,$W$3:$CE$52,ROW()-2,0)*(1+(HLOOKUP(AW$2,'UW Model'!$M$103:$Q$104,2,0)/12)*(AW$3-((AW$2-1)*12)))</f>
        <v>0</v>
      </c>
      <c r="AX47" s="11">
        <f>HLOOKUP((AX$2-1)*12,$W$3:$CE$52,ROW()-2,0)*(1+(HLOOKUP(AX$2,'UW Model'!$M$103:$Q$104,2,0)/12)*(AX$3-((AX$2-1)*12)))</f>
        <v>0</v>
      </c>
      <c r="AY47" s="11">
        <f>HLOOKUP((AY$2-1)*12,$W$3:$CE$52,ROW()-2,0)*(1+(HLOOKUP(AY$2,'UW Model'!$M$103:$Q$104,2,0)/12)*(AY$3-((AY$2-1)*12)))</f>
        <v>0</v>
      </c>
      <c r="AZ47" s="11">
        <f>HLOOKUP((AZ$2-1)*12,$W$3:$CE$52,ROW()-2,0)*(1+(HLOOKUP(AZ$2,'UW Model'!$M$103:$Q$104,2,0)/12)*(AZ$3-((AZ$2-1)*12)))</f>
        <v>0</v>
      </c>
      <c r="BA47" s="11">
        <f>HLOOKUP((BA$2-1)*12,$W$3:$CE$52,ROW()-2,0)*(1+(HLOOKUP(BA$2,'UW Model'!$M$103:$Q$104,2,0)/12)*(BA$3-((BA$2-1)*12)))</f>
        <v>0</v>
      </c>
      <c r="BB47" s="11">
        <f>HLOOKUP((BB$2-1)*12,$W$3:$CE$52,ROW()-2,0)*(1+(HLOOKUP(BB$2,'UW Model'!$M$103:$Q$104,2,0)/12)*(BB$3-((BB$2-1)*12)))</f>
        <v>0</v>
      </c>
      <c r="BC47" s="11">
        <f>HLOOKUP((BC$2-1)*12,$W$3:$CE$52,ROW()-2,0)*(1+(HLOOKUP(BC$2,'UW Model'!$M$103:$Q$104,2,0)/12)*(BC$3-((BC$2-1)*12)))</f>
        <v>0</v>
      </c>
      <c r="BD47" s="11">
        <f>HLOOKUP((BD$2-1)*12,$W$3:$CE$52,ROW()-2,0)*(1+(HLOOKUP(BD$2,'UW Model'!$M$103:$Q$104,2,0)/12)*(BD$3-((BD$2-1)*12)))</f>
        <v>0</v>
      </c>
      <c r="BE47" s="11">
        <f>HLOOKUP((BE$2-1)*12,$W$3:$CE$52,ROW()-2,0)*(1+(HLOOKUP(BE$2,'UW Model'!$M$103:$Q$104,2,0)/12)*(BE$3-((BE$2-1)*12)))</f>
        <v>0</v>
      </c>
      <c r="BF47" s="11">
        <f>HLOOKUP((BF$2-1)*12,$W$3:$CE$52,ROW()-2,0)*(1+(HLOOKUP(BF$2,'UW Model'!$M$103:$Q$104,2,0)/12)*(BF$3-((BF$2-1)*12)))</f>
        <v>0</v>
      </c>
      <c r="BG47" s="71">
        <f>HLOOKUP((BG$2-1)*12,$W$3:$CE$52,ROW()-2,0)*(1+(HLOOKUP(BG$2,'UW Model'!$M$103:$Q$104,2,0)/12)*(BG$3-((BG$2-1)*12)))</f>
        <v>0</v>
      </c>
      <c r="BH47" s="11">
        <f>HLOOKUP((BH$2-1)*12,$W$3:$CE$52,ROW()-2,0)*(1+(HLOOKUP(BH$2,'UW Model'!$M$103:$Q$104,2,0)/12)*(BH$3-((BH$2-1)*12)))</f>
        <v>0</v>
      </c>
      <c r="BI47" s="11">
        <f>HLOOKUP((BI$2-1)*12,$W$3:$CE$52,ROW()-2,0)*(1+(HLOOKUP(BI$2,'UW Model'!$M$103:$Q$104,2,0)/12)*(BI$3-((BI$2-1)*12)))</f>
        <v>0</v>
      </c>
      <c r="BJ47" s="11">
        <f>HLOOKUP((BJ$2-1)*12,$W$3:$CE$52,ROW()-2,0)*(1+(HLOOKUP(BJ$2,'UW Model'!$M$103:$Q$104,2,0)/12)*(BJ$3-((BJ$2-1)*12)))</f>
        <v>0</v>
      </c>
      <c r="BK47" s="11">
        <f>HLOOKUP((BK$2-1)*12,$W$3:$CE$52,ROW()-2,0)*(1+(HLOOKUP(BK$2,'UW Model'!$M$103:$Q$104,2,0)/12)*(BK$3-((BK$2-1)*12)))</f>
        <v>0</v>
      </c>
      <c r="BL47" s="11">
        <f>HLOOKUP((BL$2-1)*12,$W$3:$CE$52,ROW()-2,0)*(1+(HLOOKUP(BL$2,'UW Model'!$M$103:$Q$104,2,0)/12)*(BL$3-((BL$2-1)*12)))</f>
        <v>0</v>
      </c>
      <c r="BM47" s="11">
        <f>HLOOKUP((BM$2-1)*12,$W$3:$CE$52,ROW()-2,0)*(1+(HLOOKUP(BM$2,'UW Model'!$M$103:$Q$104,2,0)/12)*(BM$3-((BM$2-1)*12)))</f>
        <v>0</v>
      </c>
      <c r="BN47" s="11">
        <f>HLOOKUP((BN$2-1)*12,$W$3:$CE$52,ROW()-2,0)*(1+(HLOOKUP(BN$2,'UW Model'!$M$103:$Q$104,2,0)/12)*(BN$3-((BN$2-1)*12)))</f>
        <v>0</v>
      </c>
      <c r="BO47" s="11">
        <f>HLOOKUP((BO$2-1)*12,$W$3:$CE$52,ROW()-2,0)*(1+(HLOOKUP(BO$2,'UW Model'!$M$103:$Q$104,2,0)/12)*(BO$3-((BO$2-1)*12)))</f>
        <v>0</v>
      </c>
      <c r="BP47" s="11">
        <f>HLOOKUP((BP$2-1)*12,$W$3:$CE$52,ROW()-2,0)*(1+(HLOOKUP(BP$2,'UW Model'!$M$103:$Q$104,2,0)/12)*(BP$3-((BP$2-1)*12)))</f>
        <v>0</v>
      </c>
      <c r="BQ47" s="11">
        <f>HLOOKUP((BQ$2-1)*12,$W$3:$CE$52,ROW()-2,0)*(1+(HLOOKUP(BQ$2,'UW Model'!$M$103:$Q$104,2,0)/12)*(BQ$3-((BQ$2-1)*12)))</f>
        <v>0</v>
      </c>
      <c r="BR47" s="11">
        <f>HLOOKUP((BR$2-1)*12,$W$3:$CE$52,ROW()-2,0)*(1+(HLOOKUP(BR$2,'UW Model'!$M$103:$Q$104,2,0)/12)*(BR$3-((BR$2-1)*12)))</f>
        <v>0</v>
      </c>
      <c r="BS47" s="71">
        <f>HLOOKUP((BS$2-1)*12,$W$3:$CE$52,ROW()-2,0)*(1+(HLOOKUP(BS$2,'UW Model'!$M$103:$Q$104,2,0)/12)*(BS$3-((BS$2-1)*12)))</f>
        <v>0</v>
      </c>
      <c r="BT47" s="11">
        <f>HLOOKUP((BT$2-1)*12,$W$3:$CE$52,ROW()-2,0)*(1+(HLOOKUP(BT$2,'UW Model'!$M$103:$Q$104,2,0)/12)*(BT$3-((BT$2-1)*12)))</f>
        <v>0</v>
      </c>
      <c r="BU47" s="11">
        <f>HLOOKUP((BU$2-1)*12,$W$3:$CE$52,ROW()-2,0)*(1+(HLOOKUP(BU$2,'UW Model'!$M$103:$Q$104,2,0)/12)*(BU$3-((BU$2-1)*12)))</f>
        <v>0</v>
      </c>
      <c r="BV47" s="11">
        <f>HLOOKUP((BV$2-1)*12,$W$3:$CE$52,ROW()-2,0)*(1+(HLOOKUP(BV$2,'UW Model'!$M$103:$Q$104,2,0)/12)*(BV$3-((BV$2-1)*12)))</f>
        <v>0</v>
      </c>
      <c r="BW47" s="11">
        <f>HLOOKUP((BW$2-1)*12,$W$3:$CE$52,ROW()-2,0)*(1+(HLOOKUP(BW$2,'UW Model'!$M$103:$Q$104,2,0)/12)*(BW$3-((BW$2-1)*12)))</f>
        <v>0</v>
      </c>
      <c r="BX47" s="11">
        <f>HLOOKUP((BX$2-1)*12,$W$3:$CE$52,ROW()-2,0)*(1+(HLOOKUP(BX$2,'UW Model'!$M$103:$Q$104,2,0)/12)*(BX$3-((BX$2-1)*12)))</f>
        <v>0</v>
      </c>
      <c r="BY47" s="11">
        <f>HLOOKUP((BY$2-1)*12,$W$3:$CE$52,ROW()-2,0)*(1+(HLOOKUP(BY$2,'UW Model'!$M$103:$Q$104,2,0)/12)*(BY$3-((BY$2-1)*12)))</f>
        <v>0</v>
      </c>
      <c r="BZ47" s="11">
        <f>HLOOKUP((BZ$2-1)*12,$W$3:$CE$52,ROW()-2,0)*(1+(HLOOKUP(BZ$2,'UW Model'!$M$103:$Q$104,2,0)/12)*(BZ$3-((BZ$2-1)*12)))</f>
        <v>0</v>
      </c>
      <c r="CA47" s="11">
        <f>HLOOKUP((CA$2-1)*12,$W$3:$CE$52,ROW()-2,0)*(1+(HLOOKUP(CA$2,'UW Model'!$M$103:$Q$104,2,0)/12)*(CA$3-((CA$2-1)*12)))</f>
        <v>0</v>
      </c>
      <c r="CB47" s="11">
        <f>HLOOKUP((CB$2-1)*12,$W$3:$CE$52,ROW()-2,0)*(1+(HLOOKUP(CB$2,'UW Model'!$M$103:$Q$104,2,0)/12)*(CB$3-((CB$2-1)*12)))</f>
        <v>0</v>
      </c>
      <c r="CC47" s="11">
        <f>HLOOKUP((CC$2-1)*12,$W$3:$CE$52,ROW()-2,0)*(1+(HLOOKUP(CC$2,'UW Model'!$M$103:$Q$104,2,0)/12)*(CC$3-((CC$2-1)*12)))</f>
        <v>0</v>
      </c>
      <c r="CD47" s="11">
        <f>HLOOKUP((CD$2-1)*12,$W$3:$CE$52,ROW()-2,0)*(1+(HLOOKUP(CD$2,'UW Model'!$M$103:$Q$104,2,0)/12)*(CD$3-((CD$2-1)*12)))</f>
        <v>0</v>
      </c>
      <c r="CE47" s="88">
        <f>HLOOKUP((CE$2-1)*12,$W$3:$CE$52,ROW()-2,0)*(1+(HLOOKUP(CE$2,'UW Model'!$M$103:$Q$104,2,0)/12)*(CE$3-((CE$2-1)*12)))</f>
        <v>0</v>
      </c>
    </row>
    <row r="48" spans="14:83" x14ac:dyDescent="0.35">
      <c r="P48" s="933"/>
      <c r="Q48" s="194" t="str">
        <f>$Q$16</f>
        <v/>
      </c>
      <c r="R48" s="199">
        <f t="shared" si="109"/>
        <v>0</v>
      </c>
      <c r="S48" s="121">
        <f t="shared" si="109"/>
        <v>0</v>
      </c>
      <c r="T48" s="121">
        <f t="shared" si="109"/>
        <v>0</v>
      </c>
      <c r="U48" s="121">
        <f t="shared" si="109"/>
        <v>0</v>
      </c>
      <c r="V48" s="200">
        <f t="shared" si="109"/>
        <v>0</v>
      </c>
      <c r="W48" s="201">
        <f>IF(SUM(R16:V16)&gt;0,'UW Model'!T38,0)</f>
        <v>0</v>
      </c>
      <c r="X48" s="201">
        <f>HLOOKUP((X$2-1)*12,$W$3:$CE$52,ROW()-2,0)*(1+(HLOOKUP(X$2,'UW Model'!$M$103:$Q$104,2,0)/12)*(X$3-((X$2-1)*12)))</f>
        <v>0</v>
      </c>
      <c r="Y48" s="11">
        <f>HLOOKUP((Y$2-1)*12,$W$3:$CE$52,ROW()-2,0)*(1+(HLOOKUP(Y$2,'UW Model'!$M$103:$Q$104,2,0)/12)*(Y$3-((Y$2-1)*12)))</f>
        <v>0</v>
      </c>
      <c r="Z48" s="11">
        <f>HLOOKUP((Z$2-1)*12,$W$3:$CE$52,ROW()-2,0)*(1+(HLOOKUP(Z$2,'UW Model'!$M$103:$Q$104,2,0)/12)*(Z$3-((Z$2-1)*12)))</f>
        <v>0</v>
      </c>
      <c r="AA48" s="11">
        <f>HLOOKUP((AA$2-1)*12,$W$3:$CE$52,ROW()-2,0)*(1+(HLOOKUP(AA$2,'UW Model'!$M$103:$Q$104,2,0)/12)*(AA$3-((AA$2-1)*12)))</f>
        <v>0</v>
      </c>
      <c r="AB48" s="11">
        <f>HLOOKUP((AB$2-1)*12,$W$3:$CE$52,ROW()-2,0)*(1+(HLOOKUP(AB$2,'UW Model'!$M$103:$Q$104,2,0)/12)*(AB$3-((AB$2-1)*12)))</f>
        <v>0</v>
      </c>
      <c r="AC48" s="11">
        <f>HLOOKUP((AC$2-1)*12,$W$3:$CE$52,ROW()-2,0)*(1+(HLOOKUP(AC$2,'UW Model'!$M$103:$Q$104,2,0)/12)*(AC$3-((AC$2-1)*12)))</f>
        <v>0</v>
      </c>
      <c r="AD48" s="11">
        <f>HLOOKUP((AD$2-1)*12,$W$3:$CE$52,ROW()-2,0)*(1+(HLOOKUP(AD$2,'UW Model'!$M$103:$Q$104,2,0)/12)*(AD$3-((AD$2-1)*12)))</f>
        <v>0</v>
      </c>
      <c r="AE48" s="11">
        <f>HLOOKUP((AE$2-1)*12,$W$3:$CE$52,ROW()-2,0)*(1+(HLOOKUP(AE$2,'UW Model'!$M$103:$Q$104,2,0)/12)*(AE$3-((AE$2-1)*12)))</f>
        <v>0</v>
      </c>
      <c r="AF48" s="11">
        <f>HLOOKUP((AF$2-1)*12,$W$3:$CE$52,ROW()-2,0)*(1+(HLOOKUP(AF$2,'UW Model'!$M$103:$Q$104,2,0)/12)*(AF$3-((AF$2-1)*12)))</f>
        <v>0</v>
      </c>
      <c r="AG48" s="11">
        <f>HLOOKUP((AG$2-1)*12,$W$3:$CE$52,ROW()-2,0)*(1+(HLOOKUP(AG$2,'UW Model'!$M$103:$Q$104,2,0)/12)*(AG$3-((AG$2-1)*12)))</f>
        <v>0</v>
      </c>
      <c r="AH48" s="11">
        <f>HLOOKUP((AH$2-1)*12,$W$3:$CE$52,ROW()-2,0)*(1+(HLOOKUP(AH$2,'UW Model'!$M$103:$Q$104,2,0)/12)*(AH$3-((AH$2-1)*12)))</f>
        <v>0</v>
      </c>
      <c r="AI48" s="71">
        <f>HLOOKUP((AI$2-1)*12,$W$3:$CE$52,ROW()-2,0)*(1+(HLOOKUP(AI$2,'UW Model'!$M$103:$Q$104,2,0)/12)*(AI$3-((AI$2-1)*12)))</f>
        <v>0</v>
      </c>
      <c r="AJ48" s="201">
        <f>HLOOKUP((AJ$2-1)*12,$W$3:$CE$52,ROW()-2,0)*(1+(HLOOKUP(AJ$2,'UW Model'!$M$103:$Q$104,2,0)/12)*(AJ$3-((AJ$2-1)*12)))</f>
        <v>0</v>
      </c>
      <c r="AK48" s="11">
        <f>HLOOKUP((AK$2-1)*12,$W$3:$CE$52,ROW()-2,0)*(1+(HLOOKUP(AK$2,'UW Model'!$M$103:$Q$104,2,0)/12)*(AK$3-((AK$2-1)*12)))</f>
        <v>0</v>
      </c>
      <c r="AL48" s="11">
        <f>HLOOKUP((AL$2-1)*12,$W$3:$CE$52,ROW()-2,0)*(1+(HLOOKUP(AL$2,'UW Model'!$M$103:$Q$104,2,0)/12)*(AL$3-((AL$2-1)*12)))</f>
        <v>0</v>
      </c>
      <c r="AM48" s="11">
        <f>HLOOKUP((AM$2-1)*12,$W$3:$CE$52,ROW()-2,0)*(1+(HLOOKUP(AM$2,'UW Model'!$M$103:$Q$104,2,0)/12)*(AM$3-((AM$2-1)*12)))</f>
        <v>0</v>
      </c>
      <c r="AN48" s="11">
        <f>HLOOKUP((AN$2-1)*12,$W$3:$CE$52,ROW()-2,0)*(1+(HLOOKUP(AN$2,'UW Model'!$M$103:$Q$104,2,0)/12)*(AN$3-((AN$2-1)*12)))</f>
        <v>0</v>
      </c>
      <c r="AO48" s="11">
        <f>HLOOKUP((AO$2-1)*12,$W$3:$CE$52,ROW()-2,0)*(1+(HLOOKUP(AO$2,'UW Model'!$M$103:$Q$104,2,0)/12)*(AO$3-((AO$2-1)*12)))</f>
        <v>0</v>
      </c>
      <c r="AP48" s="11">
        <f>HLOOKUP((AP$2-1)*12,$W$3:$CE$52,ROW()-2,0)*(1+(HLOOKUP(AP$2,'UW Model'!$M$103:$Q$104,2,0)/12)*(AP$3-((AP$2-1)*12)))</f>
        <v>0</v>
      </c>
      <c r="AQ48" s="11">
        <f>HLOOKUP((AQ$2-1)*12,$W$3:$CE$52,ROW()-2,0)*(1+(HLOOKUP(AQ$2,'UW Model'!$M$103:$Q$104,2,0)/12)*(AQ$3-((AQ$2-1)*12)))</f>
        <v>0</v>
      </c>
      <c r="AR48" s="11">
        <f>HLOOKUP((AR$2-1)*12,$W$3:$CE$52,ROW()-2,0)*(1+(HLOOKUP(AR$2,'UW Model'!$M$103:$Q$104,2,0)/12)*(AR$3-((AR$2-1)*12)))</f>
        <v>0</v>
      </c>
      <c r="AS48" s="11">
        <f>HLOOKUP((AS$2-1)*12,$W$3:$CE$52,ROW()-2,0)*(1+(HLOOKUP(AS$2,'UW Model'!$M$103:$Q$104,2,0)/12)*(AS$3-((AS$2-1)*12)))</f>
        <v>0</v>
      </c>
      <c r="AT48" s="11">
        <f>HLOOKUP((AT$2-1)*12,$W$3:$CE$52,ROW()-2,0)*(1+(HLOOKUP(AT$2,'UW Model'!$M$103:$Q$104,2,0)/12)*(AT$3-((AT$2-1)*12)))</f>
        <v>0</v>
      </c>
      <c r="AU48" s="71">
        <f>HLOOKUP((AU$2-1)*12,$W$3:$CE$52,ROW()-2,0)*(1+(HLOOKUP(AU$2,'UW Model'!$M$103:$Q$104,2,0)/12)*(AU$3-((AU$2-1)*12)))</f>
        <v>0</v>
      </c>
      <c r="AV48" s="11">
        <f>HLOOKUP((AV$2-1)*12,$W$3:$CE$52,ROW()-2,0)*(1+(HLOOKUP(AV$2,'UW Model'!$M$103:$Q$104,2,0)/12)*(AV$3-((AV$2-1)*12)))</f>
        <v>0</v>
      </c>
      <c r="AW48" s="11">
        <f>HLOOKUP((AW$2-1)*12,$W$3:$CE$52,ROW()-2,0)*(1+(HLOOKUP(AW$2,'UW Model'!$M$103:$Q$104,2,0)/12)*(AW$3-((AW$2-1)*12)))</f>
        <v>0</v>
      </c>
      <c r="AX48" s="11">
        <f>HLOOKUP((AX$2-1)*12,$W$3:$CE$52,ROW()-2,0)*(1+(HLOOKUP(AX$2,'UW Model'!$M$103:$Q$104,2,0)/12)*(AX$3-((AX$2-1)*12)))</f>
        <v>0</v>
      </c>
      <c r="AY48" s="11">
        <f>HLOOKUP((AY$2-1)*12,$W$3:$CE$52,ROW()-2,0)*(1+(HLOOKUP(AY$2,'UW Model'!$M$103:$Q$104,2,0)/12)*(AY$3-((AY$2-1)*12)))</f>
        <v>0</v>
      </c>
      <c r="AZ48" s="11">
        <f>HLOOKUP((AZ$2-1)*12,$W$3:$CE$52,ROW()-2,0)*(1+(HLOOKUP(AZ$2,'UW Model'!$M$103:$Q$104,2,0)/12)*(AZ$3-((AZ$2-1)*12)))</f>
        <v>0</v>
      </c>
      <c r="BA48" s="11">
        <f>HLOOKUP((BA$2-1)*12,$W$3:$CE$52,ROW()-2,0)*(1+(HLOOKUP(BA$2,'UW Model'!$M$103:$Q$104,2,0)/12)*(BA$3-((BA$2-1)*12)))</f>
        <v>0</v>
      </c>
      <c r="BB48" s="11">
        <f>HLOOKUP((BB$2-1)*12,$W$3:$CE$52,ROW()-2,0)*(1+(HLOOKUP(BB$2,'UW Model'!$M$103:$Q$104,2,0)/12)*(BB$3-((BB$2-1)*12)))</f>
        <v>0</v>
      </c>
      <c r="BC48" s="11">
        <f>HLOOKUP((BC$2-1)*12,$W$3:$CE$52,ROW()-2,0)*(1+(HLOOKUP(BC$2,'UW Model'!$M$103:$Q$104,2,0)/12)*(BC$3-((BC$2-1)*12)))</f>
        <v>0</v>
      </c>
      <c r="BD48" s="11">
        <f>HLOOKUP((BD$2-1)*12,$W$3:$CE$52,ROW()-2,0)*(1+(HLOOKUP(BD$2,'UW Model'!$M$103:$Q$104,2,0)/12)*(BD$3-((BD$2-1)*12)))</f>
        <v>0</v>
      </c>
      <c r="BE48" s="11">
        <f>HLOOKUP((BE$2-1)*12,$W$3:$CE$52,ROW()-2,0)*(1+(HLOOKUP(BE$2,'UW Model'!$M$103:$Q$104,2,0)/12)*(BE$3-((BE$2-1)*12)))</f>
        <v>0</v>
      </c>
      <c r="BF48" s="11">
        <f>HLOOKUP((BF$2-1)*12,$W$3:$CE$52,ROW()-2,0)*(1+(HLOOKUP(BF$2,'UW Model'!$M$103:$Q$104,2,0)/12)*(BF$3-((BF$2-1)*12)))</f>
        <v>0</v>
      </c>
      <c r="BG48" s="71">
        <f>HLOOKUP((BG$2-1)*12,$W$3:$CE$52,ROW()-2,0)*(1+(HLOOKUP(BG$2,'UW Model'!$M$103:$Q$104,2,0)/12)*(BG$3-((BG$2-1)*12)))</f>
        <v>0</v>
      </c>
      <c r="BH48" s="11">
        <f>HLOOKUP((BH$2-1)*12,$W$3:$CE$52,ROW()-2,0)*(1+(HLOOKUP(BH$2,'UW Model'!$M$103:$Q$104,2,0)/12)*(BH$3-((BH$2-1)*12)))</f>
        <v>0</v>
      </c>
      <c r="BI48" s="11">
        <f>HLOOKUP((BI$2-1)*12,$W$3:$CE$52,ROW()-2,0)*(1+(HLOOKUP(BI$2,'UW Model'!$M$103:$Q$104,2,0)/12)*(BI$3-((BI$2-1)*12)))</f>
        <v>0</v>
      </c>
      <c r="BJ48" s="11">
        <f>HLOOKUP((BJ$2-1)*12,$W$3:$CE$52,ROW()-2,0)*(1+(HLOOKUP(BJ$2,'UW Model'!$M$103:$Q$104,2,0)/12)*(BJ$3-((BJ$2-1)*12)))</f>
        <v>0</v>
      </c>
      <c r="BK48" s="11">
        <f>HLOOKUP((BK$2-1)*12,$W$3:$CE$52,ROW()-2,0)*(1+(HLOOKUP(BK$2,'UW Model'!$M$103:$Q$104,2,0)/12)*(BK$3-((BK$2-1)*12)))</f>
        <v>0</v>
      </c>
      <c r="BL48" s="11">
        <f>HLOOKUP((BL$2-1)*12,$W$3:$CE$52,ROW()-2,0)*(1+(HLOOKUP(BL$2,'UW Model'!$M$103:$Q$104,2,0)/12)*(BL$3-((BL$2-1)*12)))</f>
        <v>0</v>
      </c>
      <c r="BM48" s="11">
        <f>HLOOKUP((BM$2-1)*12,$W$3:$CE$52,ROW()-2,0)*(1+(HLOOKUP(BM$2,'UW Model'!$M$103:$Q$104,2,0)/12)*(BM$3-((BM$2-1)*12)))</f>
        <v>0</v>
      </c>
      <c r="BN48" s="11">
        <f>HLOOKUP((BN$2-1)*12,$W$3:$CE$52,ROW()-2,0)*(1+(HLOOKUP(BN$2,'UW Model'!$M$103:$Q$104,2,0)/12)*(BN$3-((BN$2-1)*12)))</f>
        <v>0</v>
      </c>
      <c r="BO48" s="11">
        <f>HLOOKUP((BO$2-1)*12,$W$3:$CE$52,ROW()-2,0)*(1+(HLOOKUP(BO$2,'UW Model'!$M$103:$Q$104,2,0)/12)*(BO$3-((BO$2-1)*12)))</f>
        <v>0</v>
      </c>
      <c r="BP48" s="11">
        <f>HLOOKUP((BP$2-1)*12,$W$3:$CE$52,ROW()-2,0)*(1+(HLOOKUP(BP$2,'UW Model'!$M$103:$Q$104,2,0)/12)*(BP$3-((BP$2-1)*12)))</f>
        <v>0</v>
      </c>
      <c r="BQ48" s="11">
        <f>HLOOKUP((BQ$2-1)*12,$W$3:$CE$52,ROW()-2,0)*(1+(HLOOKUP(BQ$2,'UW Model'!$M$103:$Q$104,2,0)/12)*(BQ$3-((BQ$2-1)*12)))</f>
        <v>0</v>
      </c>
      <c r="BR48" s="11">
        <f>HLOOKUP((BR$2-1)*12,$W$3:$CE$52,ROW()-2,0)*(1+(HLOOKUP(BR$2,'UW Model'!$M$103:$Q$104,2,0)/12)*(BR$3-((BR$2-1)*12)))</f>
        <v>0</v>
      </c>
      <c r="BS48" s="71">
        <f>HLOOKUP((BS$2-1)*12,$W$3:$CE$52,ROW()-2,0)*(1+(HLOOKUP(BS$2,'UW Model'!$M$103:$Q$104,2,0)/12)*(BS$3-((BS$2-1)*12)))</f>
        <v>0</v>
      </c>
      <c r="BT48" s="11">
        <f>HLOOKUP((BT$2-1)*12,$W$3:$CE$52,ROW()-2,0)*(1+(HLOOKUP(BT$2,'UW Model'!$M$103:$Q$104,2,0)/12)*(BT$3-((BT$2-1)*12)))</f>
        <v>0</v>
      </c>
      <c r="BU48" s="11">
        <f>HLOOKUP((BU$2-1)*12,$W$3:$CE$52,ROW()-2,0)*(1+(HLOOKUP(BU$2,'UW Model'!$M$103:$Q$104,2,0)/12)*(BU$3-((BU$2-1)*12)))</f>
        <v>0</v>
      </c>
      <c r="BV48" s="11">
        <f>HLOOKUP((BV$2-1)*12,$W$3:$CE$52,ROW()-2,0)*(1+(HLOOKUP(BV$2,'UW Model'!$M$103:$Q$104,2,0)/12)*(BV$3-((BV$2-1)*12)))</f>
        <v>0</v>
      </c>
      <c r="BW48" s="11">
        <f>HLOOKUP((BW$2-1)*12,$W$3:$CE$52,ROW()-2,0)*(1+(HLOOKUP(BW$2,'UW Model'!$M$103:$Q$104,2,0)/12)*(BW$3-((BW$2-1)*12)))</f>
        <v>0</v>
      </c>
      <c r="BX48" s="11">
        <f>HLOOKUP((BX$2-1)*12,$W$3:$CE$52,ROW()-2,0)*(1+(HLOOKUP(BX$2,'UW Model'!$M$103:$Q$104,2,0)/12)*(BX$3-((BX$2-1)*12)))</f>
        <v>0</v>
      </c>
      <c r="BY48" s="11">
        <f>HLOOKUP((BY$2-1)*12,$W$3:$CE$52,ROW()-2,0)*(1+(HLOOKUP(BY$2,'UW Model'!$M$103:$Q$104,2,0)/12)*(BY$3-((BY$2-1)*12)))</f>
        <v>0</v>
      </c>
      <c r="BZ48" s="11">
        <f>HLOOKUP((BZ$2-1)*12,$W$3:$CE$52,ROW()-2,0)*(1+(HLOOKUP(BZ$2,'UW Model'!$M$103:$Q$104,2,0)/12)*(BZ$3-((BZ$2-1)*12)))</f>
        <v>0</v>
      </c>
      <c r="CA48" s="11">
        <f>HLOOKUP((CA$2-1)*12,$W$3:$CE$52,ROW()-2,0)*(1+(HLOOKUP(CA$2,'UW Model'!$M$103:$Q$104,2,0)/12)*(CA$3-((CA$2-1)*12)))</f>
        <v>0</v>
      </c>
      <c r="CB48" s="11">
        <f>HLOOKUP((CB$2-1)*12,$W$3:$CE$52,ROW()-2,0)*(1+(HLOOKUP(CB$2,'UW Model'!$M$103:$Q$104,2,0)/12)*(CB$3-((CB$2-1)*12)))</f>
        <v>0</v>
      </c>
      <c r="CC48" s="11">
        <f>HLOOKUP((CC$2-1)*12,$W$3:$CE$52,ROW()-2,0)*(1+(HLOOKUP(CC$2,'UW Model'!$M$103:$Q$104,2,0)/12)*(CC$3-((CC$2-1)*12)))</f>
        <v>0</v>
      </c>
      <c r="CD48" s="11">
        <f>HLOOKUP((CD$2-1)*12,$W$3:$CE$52,ROW()-2,0)*(1+(HLOOKUP(CD$2,'UW Model'!$M$103:$Q$104,2,0)/12)*(CD$3-((CD$2-1)*12)))</f>
        <v>0</v>
      </c>
      <c r="CE48" s="88">
        <f>HLOOKUP((CE$2-1)*12,$W$3:$CE$52,ROW()-2,0)*(1+(HLOOKUP(CE$2,'UW Model'!$M$103:$Q$104,2,0)/12)*(CE$3-((CE$2-1)*12)))</f>
        <v>0</v>
      </c>
    </row>
    <row r="49" spans="16:83" x14ac:dyDescent="0.35">
      <c r="P49" s="933"/>
      <c r="Q49" s="196" t="str">
        <f>$Q$17</f>
        <v/>
      </c>
      <c r="R49" s="199">
        <f t="shared" si="109"/>
        <v>0</v>
      </c>
      <c r="S49" s="121">
        <f t="shared" si="109"/>
        <v>0</v>
      </c>
      <c r="T49" s="121">
        <f t="shared" si="109"/>
        <v>0</v>
      </c>
      <c r="U49" s="121">
        <f t="shared" si="109"/>
        <v>0</v>
      </c>
      <c r="V49" s="200">
        <f t="shared" si="109"/>
        <v>0</v>
      </c>
      <c r="W49" s="201">
        <f>IF(SUM(R17:V17)&gt;0,'UW Model'!T39,0)</f>
        <v>0</v>
      </c>
      <c r="X49" s="201">
        <f>HLOOKUP((X$2-1)*12,$W$3:$CE$52,ROW()-2,0)*(1+(HLOOKUP(X$2,'UW Model'!$M$103:$Q$104,2,0)/12)*(X$3-((X$2-1)*12)))</f>
        <v>0</v>
      </c>
      <c r="Y49" s="11">
        <f>HLOOKUP((Y$2-1)*12,$W$3:$CE$52,ROW()-2,0)*(1+(HLOOKUP(Y$2,'UW Model'!$M$103:$Q$104,2,0)/12)*(Y$3-((Y$2-1)*12)))</f>
        <v>0</v>
      </c>
      <c r="Z49" s="11">
        <f>HLOOKUP((Z$2-1)*12,$W$3:$CE$52,ROW()-2,0)*(1+(HLOOKUP(Z$2,'UW Model'!$M$103:$Q$104,2,0)/12)*(Z$3-((Z$2-1)*12)))</f>
        <v>0</v>
      </c>
      <c r="AA49" s="11">
        <f>HLOOKUP((AA$2-1)*12,$W$3:$CE$52,ROW()-2,0)*(1+(HLOOKUP(AA$2,'UW Model'!$M$103:$Q$104,2,0)/12)*(AA$3-((AA$2-1)*12)))</f>
        <v>0</v>
      </c>
      <c r="AB49" s="11">
        <f>HLOOKUP((AB$2-1)*12,$W$3:$CE$52,ROW()-2,0)*(1+(HLOOKUP(AB$2,'UW Model'!$M$103:$Q$104,2,0)/12)*(AB$3-((AB$2-1)*12)))</f>
        <v>0</v>
      </c>
      <c r="AC49" s="11">
        <f>HLOOKUP((AC$2-1)*12,$W$3:$CE$52,ROW()-2,0)*(1+(HLOOKUP(AC$2,'UW Model'!$M$103:$Q$104,2,0)/12)*(AC$3-((AC$2-1)*12)))</f>
        <v>0</v>
      </c>
      <c r="AD49" s="11">
        <f>HLOOKUP((AD$2-1)*12,$W$3:$CE$52,ROW()-2,0)*(1+(HLOOKUP(AD$2,'UW Model'!$M$103:$Q$104,2,0)/12)*(AD$3-((AD$2-1)*12)))</f>
        <v>0</v>
      </c>
      <c r="AE49" s="11">
        <f>HLOOKUP((AE$2-1)*12,$W$3:$CE$52,ROW()-2,0)*(1+(HLOOKUP(AE$2,'UW Model'!$M$103:$Q$104,2,0)/12)*(AE$3-((AE$2-1)*12)))</f>
        <v>0</v>
      </c>
      <c r="AF49" s="11">
        <f>HLOOKUP((AF$2-1)*12,$W$3:$CE$52,ROW()-2,0)*(1+(HLOOKUP(AF$2,'UW Model'!$M$103:$Q$104,2,0)/12)*(AF$3-((AF$2-1)*12)))</f>
        <v>0</v>
      </c>
      <c r="AG49" s="11">
        <f>HLOOKUP((AG$2-1)*12,$W$3:$CE$52,ROW()-2,0)*(1+(HLOOKUP(AG$2,'UW Model'!$M$103:$Q$104,2,0)/12)*(AG$3-((AG$2-1)*12)))</f>
        <v>0</v>
      </c>
      <c r="AH49" s="11">
        <f>HLOOKUP((AH$2-1)*12,$W$3:$CE$52,ROW()-2,0)*(1+(HLOOKUP(AH$2,'UW Model'!$M$103:$Q$104,2,0)/12)*(AH$3-((AH$2-1)*12)))</f>
        <v>0</v>
      </c>
      <c r="AI49" s="71">
        <f>HLOOKUP((AI$2-1)*12,$W$3:$CE$52,ROW()-2,0)*(1+(HLOOKUP(AI$2,'UW Model'!$M$103:$Q$104,2,0)/12)*(AI$3-((AI$2-1)*12)))</f>
        <v>0</v>
      </c>
      <c r="AJ49" s="201">
        <f>HLOOKUP((AJ$2-1)*12,$W$3:$CE$52,ROW()-2,0)*(1+(HLOOKUP(AJ$2,'UW Model'!$M$103:$Q$104,2,0)/12)*(AJ$3-((AJ$2-1)*12)))</f>
        <v>0</v>
      </c>
      <c r="AK49" s="11">
        <f>HLOOKUP((AK$2-1)*12,$W$3:$CE$52,ROW()-2,0)*(1+(HLOOKUP(AK$2,'UW Model'!$M$103:$Q$104,2,0)/12)*(AK$3-((AK$2-1)*12)))</f>
        <v>0</v>
      </c>
      <c r="AL49" s="11">
        <f>HLOOKUP((AL$2-1)*12,$W$3:$CE$52,ROW()-2,0)*(1+(HLOOKUP(AL$2,'UW Model'!$M$103:$Q$104,2,0)/12)*(AL$3-((AL$2-1)*12)))</f>
        <v>0</v>
      </c>
      <c r="AM49" s="11">
        <f>HLOOKUP((AM$2-1)*12,$W$3:$CE$52,ROW()-2,0)*(1+(HLOOKUP(AM$2,'UW Model'!$M$103:$Q$104,2,0)/12)*(AM$3-((AM$2-1)*12)))</f>
        <v>0</v>
      </c>
      <c r="AN49" s="11">
        <f>HLOOKUP((AN$2-1)*12,$W$3:$CE$52,ROW()-2,0)*(1+(HLOOKUP(AN$2,'UW Model'!$M$103:$Q$104,2,0)/12)*(AN$3-((AN$2-1)*12)))</f>
        <v>0</v>
      </c>
      <c r="AO49" s="11">
        <f>HLOOKUP((AO$2-1)*12,$W$3:$CE$52,ROW()-2,0)*(1+(HLOOKUP(AO$2,'UW Model'!$M$103:$Q$104,2,0)/12)*(AO$3-((AO$2-1)*12)))</f>
        <v>0</v>
      </c>
      <c r="AP49" s="11">
        <f>HLOOKUP((AP$2-1)*12,$W$3:$CE$52,ROW()-2,0)*(1+(HLOOKUP(AP$2,'UW Model'!$M$103:$Q$104,2,0)/12)*(AP$3-((AP$2-1)*12)))</f>
        <v>0</v>
      </c>
      <c r="AQ49" s="11">
        <f>HLOOKUP((AQ$2-1)*12,$W$3:$CE$52,ROW()-2,0)*(1+(HLOOKUP(AQ$2,'UW Model'!$M$103:$Q$104,2,0)/12)*(AQ$3-((AQ$2-1)*12)))</f>
        <v>0</v>
      </c>
      <c r="AR49" s="11">
        <f>HLOOKUP((AR$2-1)*12,$W$3:$CE$52,ROW()-2,0)*(1+(HLOOKUP(AR$2,'UW Model'!$M$103:$Q$104,2,0)/12)*(AR$3-((AR$2-1)*12)))</f>
        <v>0</v>
      </c>
      <c r="AS49" s="11">
        <f>HLOOKUP((AS$2-1)*12,$W$3:$CE$52,ROW()-2,0)*(1+(HLOOKUP(AS$2,'UW Model'!$M$103:$Q$104,2,0)/12)*(AS$3-((AS$2-1)*12)))</f>
        <v>0</v>
      </c>
      <c r="AT49" s="11">
        <f>HLOOKUP((AT$2-1)*12,$W$3:$CE$52,ROW()-2,0)*(1+(HLOOKUP(AT$2,'UW Model'!$M$103:$Q$104,2,0)/12)*(AT$3-((AT$2-1)*12)))</f>
        <v>0</v>
      </c>
      <c r="AU49" s="71">
        <f>HLOOKUP((AU$2-1)*12,$W$3:$CE$52,ROW()-2,0)*(1+(HLOOKUP(AU$2,'UW Model'!$M$103:$Q$104,2,0)/12)*(AU$3-((AU$2-1)*12)))</f>
        <v>0</v>
      </c>
      <c r="AV49" s="11">
        <f>HLOOKUP((AV$2-1)*12,$W$3:$CE$52,ROW()-2,0)*(1+(HLOOKUP(AV$2,'UW Model'!$M$103:$Q$104,2,0)/12)*(AV$3-((AV$2-1)*12)))</f>
        <v>0</v>
      </c>
      <c r="AW49" s="11">
        <f>HLOOKUP((AW$2-1)*12,$W$3:$CE$52,ROW()-2,0)*(1+(HLOOKUP(AW$2,'UW Model'!$M$103:$Q$104,2,0)/12)*(AW$3-((AW$2-1)*12)))</f>
        <v>0</v>
      </c>
      <c r="AX49" s="11">
        <f>HLOOKUP((AX$2-1)*12,$W$3:$CE$52,ROW()-2,0)*(1+(HLOOKUP(AX$2,'UW Model'!$M$103:$Q$104,2,0)/12)*(AX$3-((AX$2-1)*12)))</f>
        <v>0</v>
      </c>
      <c r="AY49" s="11">
        <f>HLOOKUP((AY$2-1)*12,$W$3:$CE$52,ROW()-2,0)*(1+(HLOOKUP(AY$2,'UW Model'!$M$103:$Q$104,2,0)/12)*(AY$3-((AY$2-1)*12)))</f>
        <v>0</v>
      </c>
      <c r="AZ49" s="11">
        <f>HLOOKUP((AZ$2-1)*12,$W$3:$CE$52,ROW()-2,0)*(1+(HLOOKUP(AZ$2,'UW Model'!$M$103:$Q$104,2,0)/12)*(AZ$3-((AZ$2-1)*12)))</f>
        <v>0</v>
      </c>
      <c r="BA49" s="11">
        <f>HLOOKUP((BA$2-1)*12,$W$3:$CE$52,ROW()-2,0)*(1+(HLOOKUP(BA$2,'UW Model'!$M$103:$Q$104,2,0)/12)*(BA$3-((BA$2-1)*12)))</f>
        <v>0</v>
      </c>
      <c r="BB49" s="11">
        <f>HLOOKUP((BB$2-1)*12,$W$3:$CE$52,ROW()-2,0)*(1+(HLOOKUP(BB$2,'UW Model'!$M$103:$Q$104,2,0)/12)*(BB$3-((BB$2-1)*12)))</f>
        <v>0</v>
      </c>
      <c r="BC49" s="11">
        <f>HLOOKUP((BC$2-1)*12,$W$3:$CE$52,ROW()-2,0)*(1+(HLOOKUP(BC$2,'UW Model'!$M$103:$Q$104,2,0)/12)*(BC$3-((BC$2-1)*12)))</f>
        <v>0</v>
      </c>
      <c r="BD49" s="11">
        <f>HLOOKUP((BD$2-1)*12,$W$3:$CE$52,ROW()-2,0)*(1+(HLOOKUP(BD$2,'UW Model'!$M$103:$Q$104,2,0)/12)*(BD$3-((BD$2-1)*12)))</f>
        <v>0</v>
      </c>
      <c r="BE49" s="11">
        <f>HLOOKUP((BE$2-1)*12,$W$3:$CE$52,ROW()-2,0)*(1+(HLOOKUP(BE$2,'UW Model'!$M$103:$Q$104,2,0)/12)*(BE$3-((BE$2-1)*12)))</f>
        <v>0</v>
      </c>
      <c r="BF49" s="11">
        <f>HLOOKUP((BF$2-1)*12,$W$3:$CE$52,ROW()-2,0)*(1+(HLOOKUP(BF$2,'UW Model'!$M$103:$Q$104,2,0)/12)*(BF$3-((BF$2-1)*12)))</f>
        <v>0</v>
      </c>
      <c r="BG49" s="71">
        <f>HLOOKUP((BG$2-1)*12,$W$3:$CE$52,ROW()-2,0)*(1+(HLOOKUP(BG$2,'UW Model'!$M$103:$Q$104,2,0)/12)*(BG$3-((BG$2-1)*12)))</f>
        <v>0</v>
      </c>
      <c r="BH49" s="11">
        <f>HLOOKUP((BH$2-1)*12,$W$3:$CE$52,ROW()-2,0)*(1+(HLOOKUP(BH$2,'UW Model'!$M$103:$Q$104,2,0)/12)*(BH$3-((BH$2-1)*12)))</f>
        <v>0</v>
      </c>
      <c r="BI49" s="11">
        <f>HLOOKUP((BI$2-1)*12,$W$3:$CE$52,ROW()-2,0)*(1+(HLOOKUP(BI$2,'UW Model'!$M$103:$Q$104,2,0)/12)*(BI$3-((BI$2-1)*12)))</f>
        <v>0</v>
      </c>
      <c r="BJ49" s="11">
        <f>HLOOKUP((BJ$2-1)*12,$W$3:$CE$52,ROW()-2,0)*(1+(HLOOKUP(BJ$2,'UW Model'!$M$103:$Q$104,2,0)/12)*(BJ$3-((BJ$2-1)*12)))</f>
        <v>0</v>
      </c>
      <c r="BK49" s="11">
        <f>HLOOKUP((BK$2-1)*12,$W$3:$CE$52,ROW()-2,0)*(1+(HLOOKUP(BK$2,'UW Model'!$M$103:$Q$104,2,0)/12)*(BK$3-((BK$2-1)*12)))</f>
        <v>0</v>
      </c>
      <c r="BL49" s="11">
        <f>HLOOKUP((BL$2-1)*12,$W$3:$CE$52,ROW()-2,0)*(1+(HLOOKUP(BL$2,'UW Model'!$M$103:$Q$104,2,0)/12)*(BL$3-((BL$2-1)*12)))</f>
        <v>0</v>
      </c>
      <c r="BM49" s="11">
        <f>HLOOKUP((BM$2-1)*12,$W$3:$CE$52,ROW()-2,0)*(1+(HLOOKUP(BM$2,'UW Model'!$M$103:$Q$104,2,0)/12)*(BM$3-((BM$2-1)*12)))</f>
        <v>0</v>
      </c>
      <c r="BN49" s="11">
        <f>HLOOKUP((BN$2-1)*12,$W$3:$CE$52,ROW()-2,0)*(1+(HLOOKUP(BN$2,'UW Model'!$M$103:$Q$104,2,0)/12)*(BN$3-((BN$2-1)*12)))</f>
        <v>0</v>
      </c>
      <c r="BO49" s="11">
        <f>HLOOKUP((BO$2-1)*12,$W$3:$CE$52,ROW()-2,0)*(1+(HLOOKUP(BO$2,'UW Model'!$M$103:$Q$104,2,0)/12)*(BO$3-((BO$2-1)*12)))</f>
        <v>0</v>
      </c>
      <c r="BP49" s="11">
        <f>HLOOKUP((BP$2-1)*12,$W$3:$CE$52,ROW()-2,0)*(1+(HLOOKUP(BP$2,'UW Model'!$M$103:$Q$104,2,0)/12)*(BP$3-((BP$2-1)*12)))</f>
        <v>0</v>
      </c>
      <c r="BQ49" s="11">
        <f>HLOOKUP((BQ$2-1)*12,$W$3:$CE$52,ROW()-2,0)*(1+(HLOOKUP(BQ$2,'UW Model'!$M$103:$Q$104,2,0)/12)*(BQ$3-((BQ$2-1)*12)))</f>
        <v>0</v>
      </c>
      <c r="BR49" s="11">
        <f>HLOOKUP((BR$2-1)*12,$W$3:$CE$52,ROW()-2,0)*(1+(HLOOKUP(BR$2,'UW Model'!$M$103:$Q$104,2,0)/12)*(BR$3-((BR$2-1)*12)))</f>
        <v>0</v>
      </c>
      <c r="BS49" s="71">
        <f>HLOOKUP((BS$2-1)*12,$W$3:$CE$52,ROW()-2,0)*(1+(HLOOKUP(BS$2,'UW Model'!$M$103:$Q$104,2,0)/12)*(BS$3-((BS$2-1)*12)))</f>
        <v>0</v>
      </c>
      <c r="BT49" s="11">
        <f>HLOOKUP((BT$2-1)*12,$W$3:$CE$52,ROW()-2,0)*(1+(HLOOKUP(BT$2,'UW Model'!$M$103:$Q$104,2,0)/12)*(BT$3-((BT$2-1)*12)))</f>
        <v>0</v>
      </c>
      <c r="BU49" s="11">
        <f>HLOOKUP((BU$2-1)*12,$W$3:$CE$52,ROW()-2,0)*(1+(HLOOKUP(BU$2,'UW Model'!$M$103:$Q$104,2,0)/12)*(BU$3-((BU$2-1)*12)))</f>
        <v>0</v>
      </c>
      <c r="BV49" s="11">
        <f>HLOOKUP((BV$2-1)*12,$W$3:$CE$52,ROW()-2,0)*(1+(HLOOKUP(BV$2,'UW Model'!$M$103:$Q$104,2,0)/12)*(BV$3-((BV$2-1)*12)))</f>
        <v>0</v>
      </c>
      <c r="BW49" s="11">
        <f>HLOOKUP((BW$2-1)*12,$W$3:$CE$52,ROW()-2,0)*(1+(HLOOKUP(BW$2,'UW Model'!$M$103:$Q$104,2,0)/12)*(BW$3-((BW$2-1)*12)))</f>
        <v>0</v>
      </c>
      <c r="BX49" s="11">
        <f>HLOOKUP((BX$2-1)*12,$W$3:$CE$52,ROW()-2,0)*(1+(HLOOKUP(BX$2,'UW Model'!$M$103:$Q$104,2,0)/12)*(BX$3-((BX$2-1)*12)))</f>
        <v>0</v>
      </c>
      <c r="BY49" s="11">
        <f>HLOOKUP((BY$2-1)*12,$W$3:$CE$52,ROW()-2,0)*(1+(HLOOKUP(BY$2,'UW Model'!$M$103:$Q$104,2,0)/12)*(BY$3-((BY$2-1)*12)))</f>
        <v>0</v>
      </c>
      <c r="BZ49" s="11">
        <f>HLOOKUP((BZ$2-1)*12,$W$3:$CE$52,ROW()-2,0)*(1+(HLOOKUP(BZ$2,'UW Model'!$M$103:$Q$104,2,0)/12)*(BZ$3-((BZ$2-1)*12)))</f>
        <v>0</v>
      </c>
      <c r="CA49" s="11">
        <f>HLOOKUP((CA$2-1)*12,$W$3:$CE$52,ROW()-2,0)*(1+(HLOOKUP(CA$2,'UW Model'!$M$103:$Q$104,2,0)/12)*(CA$3-((CA$2-1)*12)))</f>
        <v>0</v>
      </c>
      <c r="CB49" s="11">
        <f>HLOOKUP((CB$2-1)*12,$W$3:$CE$52,ROW()-2,0)*(1+(HLOOKUP(CB$2,'UW Model'!$M$103:$Q$104,2,0)/12)*(CB$3-((CB$2-1)*12)))</f>
        <v>0</v>
      </c>
      <c r="CC49" s="11">
        <f>HLOOKUP((CC$2-1)*12,$W$3:$CE$52,ROW()-2,0)*(1+(HLOOKUP(CC$2,'UW Model'!$M$103:$Q$104,2,0)/12)*(CC$3-((CC$2-1)*12)))</f>
        <v>0</v>
      </c>
      <c r="CD49" s="11">
        <f>HLOOKUP((CD$2-1)*12,$W$3:$CE$52,ROW()-2,0)*(1+(HLOOKUP(CD$2,'UW Model'!$M$103:$Q$104,2,0)/12)*(CD$3-((CD$2-1)*12)))</f>
        <v>0</v>
      </c>
      <c r="CE49" s="88">
        <f>HLOOKUP((CE$2-1)*12,$W$3:$CE$52,ROW()-2,0)*(1+(HLOOKUP(CE$2,'UW Model'!$M$103:$Q$104,2,0)/12)*(CE$3-((CE$2-1)*12)))</f>
        <v>0</v>
      </c>
    </row>
    <row r="50" spans="16:83" x14ac:dyDescent="0.35">
      <c r="P50" s="933"/>
      <c r="Q50" s="196" t="str">
        <f>$Q$18</f>
        <v/>
      </c>
      <c r="R50" s="199">
        <f t="shared" si="109"/>
        <v>0</v>
      </c>
      <c r="S50" s="121">
        <f t="shared" si="109"/>
        <v>0</v>
      </c>
      <c r="T50" s="121">
        <f t="shared" si="109"/>
        <v>0</v>
      </c>
      <c r="U50" s="121">
        <f t="shared" si="109"/>
        <v>0</v>
      </c>
      <c r="V50" s="200">
        <f t="shared" si="109"/>
        <v>0</v>
      </c>
      <c r="W50" s="201">
        <f>IF(SUM(R18:V18)&gt;0,'UW Model'!T40,0)</f>
        <v>0</v>
      </c>
      <c r="X50" s="201">
        <f>HLOOKUP((X$2-1)*12,$W$3:$CE$52,ROW()-2,0)*(1+(HLOOKUP(X$2,'UW Model'!$M$103:$Q$104,2,0)/12)*(X$3-((X$2-1)*12)))</f>
        <v>0</v>
      </c>
      <c r="Y50" s="11">
        <f>HLOOKUP((Y$2-1)*12,$W$3:$CE$52,ROW()-2,0)*(1+(HLOOKUP(Y$2,'UW Model'!$M$103:$Q$104,2,0)/12)*(Y$3-((Y$2-1)*12)))</f>
        <v>0</v>
      </c>
      <c r="Z50" s="11">
        <f>HLOOKUP((Z$2-1)*12,$W$3:$CE$52,ROW()-2,0)*(1+(HLOOKUP(Z$2,'UW Model'!$M$103:$Q$104,2,0)/12)*(Z$3-((Z$2-1)*12)))</f>
        <v>0</v>
      </c>
      <c r="AA50" s="11">
        <f>HLOOKUP((AA$2-1)*12,$W$3:$CE$52,ROW()-2,0)*(1+(HLOOKUP(AA$2,'UW Model'!$M$103:$Q$104,2,0)/12)*(AA$3-((AA$2-1)*12)))</f>
        <v>0</v>
      </c>
      <c r="AB50" s="11">
        <f>HLOOKUP((AB$2-1)*12,$W$3:$CE$52,ROW()-2,0)*(1+(HLOOKUP(AB$2,'UW Model'!$M$103:$Q$104,2,0)/12)*(AB$3-((AB$2-1)*12)))</f>
        <v>0</v>
      </c>
      <c r="AC50" s="11">
        <f>HLOOKUP((AC$2-1)*12,$W$3:$CE$52,ROW()-2,0)*(1+(HLOOKUP(AC$2,'UW Model'!$M$103:$Q$104,2,0)/12)*(AC$3-((AC$2-1)*12)))</f>
        <v>0</v>
      </c>
      <c r="AD50" s="11">
        <f>HLOOKUP((AD$2-1)*12,$W$3:$CE$52,ROW()-2,0)*(1+(HLOOKUP(AD$2,'UW Model'!$M$103:$Q$104,2,0)/12)*(AD$3-((AD$2-1)*12)))</f>
        <v>0</v>
      </c>
      <c r="AE50" s="11">
        <f>HLOOKUP((AE$2-1)*12,$W$3:$CE$52,ROW()-2,0)*(1+(HLOOKUP(AE$2,'UW Model'!$M$103:$Q$104,2,0)/12)*(AE$3-((AE$2-1)*12)))</f>
        <v>0</v>
      </c>
      <c r="AF50" s="11">
        <f>HLOOKUP((AF$2-1)*12,$W$3:$CE$52,ROW()-2,0)*(1+(HLOOKUP(AF$2,'UW Model'!$M$103:$Q$104,2,0)/12)*(AF$3-((AF$2-1)*12)))</f>
        <v>0</v>
      </c>
      <c r="AG50" s="11">
        <f>HLOOKUP((AG$2-1)*12,$W$3:$CE$52,ROW()-2,0)*(1+(HLOOKUP(AG$2,'UW Model'!$M$103:$Q$104,2,0)/12)*(AG$3-((AG$2-1)*12)))</f>
        <v>0</v>
      </c>
      <c r="AH50" s="11">
        <f>HLOOKUP((AH$2-1)*12,$W$3:$CE$52,ROW()-2,0)*(1+(HLOOKUP(AH$2,'UW Model'!$M$103:$Q$104,2,0)/12)*(AH$3-((AH$2-1)*12)))</f>
        <v>0</v>
      </c>
      <c r="AI50" s="71">
        <f>HLOOKUP((AI$2-1)*12,$W$3:$CE$52,ROW()-2,0)*(1+(HLOOKUP(AI$2,'UW Model'!$M$103:$Q$104,2,0)/12)*(AI$3-((AI$2-1)*12)))</f>
        <v>0</v>
      </c>
      <c r="AJ50" s="201">
        <f>HLOOKUP((AJ$2-1)*12,$W$3:$CE$52,ROW()-2,0)*(1+(HLOOKUP(AJ$2,'UW Model'!$M$103:$Q$104,2,0)/12)*(AJ$3-((AJ$2-1)*12)))</f>
        <v>0</v>
      </c>
      <c r="AK50" s="11">
        <f>HLOOKUP((AK$2-1)*12,$W$3:$CE$52,ROW()-2,0)*(1+(HLOOKUP(AK$2,'UW Model'!$M$103:$Q$104,2,0)/12)*(AK$3-((AK$2-1)*12)))</f>
        <v>0</v>
      </c>
      <c r="AL50" s="11">
        <f>HLOOKUP((AL$2-1)*12,$W$3:$CE$52,ROW()-2,0)*(1+(HLOOKUP(AL$2,'UW Model'!$M$103:$Q$104,2,0)/12)*(AL$3-((AL$2-1)*12)))</f>
        <v>0</v>
      </c>
      <c r="AM50" s="11">
        <f>HLOOKUP((AM$2-1)*12,$W$3:$CE$52,ROW()-2,0)*(1+(HLOOKUP(AM$2,'UW Model'!$M$103:$Q$104,2,0)/12)*(AM$3-((AM$2-1)*12)))</f>
        <v>0</v>
      </c>
      <c r="AN50" s="11">
        <f>HLOOKUP((AN$2-1)*12,$W$3:$CE$52,ROW()-2,0)*(1+(HLOOKUP(AN$2,'UW Model'!$M$103:$Q$104,2,0)/12)*(AN$3-((AN$2-1)*12)))</f>
        <v>0</v>
      </c>
      <c r="AO50" s="11">
        <f>HLOOKUP((AO$2-1)*12,$W$3:$CE$52,ROW()-2,0)*(1+(HLOOKUP(AO$2,'UW Model'!$M$103:$Q$104,2,0)/12)*(AO$3-((AO$2-1)*12)))</f>
        <v>0</v>
      </c>
      <c r="AP50" s="11">
        <f>HLOOKUP((AP$2-1)*12,$W$3:$CE$52,ROW()-2,0)*(1+(HLOOKUP(AP$2,'UW Model'!$M$103:$Q$104,2,0)/12)*(AP$3-((AP$2-1)*12)))</f>
        <v>0</v>
      </c>
      <c r="AQ50" s="11">
        <f>HLOOKUP((AQ$2-1)*12,$W$3:$CE$52,ROW()-2,0)*(1+(HLOOKUP(AQ$2,'UW Model'!$M$103:$Q$104,2,0)/12)*(AQ$3-((AQ$2-1)*12)))</f>
        <v>0</v>
      </c>
      <c r="AR50" s="11">
        <f>HLOOKUP((AR$2-1)*12,$W$3:$CE$52,ROW()-2,0)*(1+(HLOOKUP(AR$2,'UW Model'!$M$103:$Q$104,2,0)/12)*(AR$3-((AR$2-1)*12)))</f>
        <v>0</v>
      </c>
      <c r="AS50" s="11">
        <f>HLOOKUP((AS$2-1)*12,$W$3:$CE$52,ROW()-2,0)*(1+(HLOOKUP(AS$2,'UW Model'!$M$103:$Q$104,2,0)/12)*(AS$3-((AS$2-1)*12)))</f>
        <v>0</v>
      </c>
      <c r="AT50" s="11">
        <f>HLOOKUP((AT$2-1)*12,$W$3:$CE$52,ROW()-2,0)*(1+(HLOOKUP(AT$2,'UW Model'!$M$103:$Q$104,2,0)/12)*(AT$3-((AT$2-1)*12)))</f>
        <v>0</v>
      </c>
      <c r="AU50" s="71">
        <f>HLOOKUP((AU$2-1)*12,$W$3:$CE$52,ROW()-2,0)*(1+(HLOOKUP(AU$2,'UW Model'!$M$103:$Q$104,2,0)/12)*(AU$3-((AU$2-1)*12)))</f>
        <v>0</v>
      </c>
      <c r="AV50" s="11">
        <f>HLOOKUP((AV$2-1)*12,$W$3:$CE$52,ROW()-2,0)*(1+(HLOOKUP(AV$2,'UW Model'!$M$103:$Q$104,2,0)/12)*(AV$3-((AV$2-1)*12)))</f>
        <v>0</v>
      </c>
      <c r="AW50" s="11">
        <f>HLOOKUP((AW$2-1)*12,$W$3:$CE$52,ROW()-2,0)*(1+(HLOOKUP(AW$2,'UW Model'!$M$103:$Q$104,2,0)/12)*(AW$3-((AW$2-1)*12)))</f>
        <v>0</v>
      </c>
      <c r="AX50" s="11">
        <f>HLOOKUP((AX$2-1)*12,$W$3:$CE$52,ROW()-2,0)*(1+(HLOOKUP(AX$2,'UW Model'!$M$103:$Q$104,2,0)/12)*(AX$3-((AX$2-1)*12)))</f>
        <v>0</v>
      </c>
      <c r="AY50" s="11">
        <f>HLOOKUP((AY$2-1)*12,$W$3:$CE$52,ROW()-2,0)*(1+(HLOOKUP(AY$2,'UW Model'!$M$103:$Q$104,2,0)/12)*(AY$3-((AY$2-1)*12)))</f>
        <v>0</v>
      </c>
      <c r="AZ50" s="11">
        <f>HLOOKUP((AZ$2-1)*12,$W$3:$CE$52,ROW()-2,0)*(1+(HLOOKUP(AZ$2,'UW Model'!$M$103:$Q$104,2,0)/12)*(AZ$3-((AZ$2-1)*12)))</f>
        <v>0</v>
      </c>
      <c r="BA50" s="11">
        <f>HLOOKUP((BA$2-1)*12,$W$3:$CE$52,ROW()-2,0)*(1+(HLOOKUP(BA$2,'UW Model'!$M$103:$Q$104,2,0)/12)*(BA$3-((BA$2-1)*12)))</f>
        <v>0</v>
      </c>
      <c r="BB50" s="11">
        <f>HLOOKUP((BB$2-1)*12,$W$3:$CE$52,ROW()-2,0)*(1+(HLOOKUP(BB$2,'UW Model'!$M$103:$Q$104,2,0)/12)*(BB$3-((BB$2-1)*12)))</f>
        <v>0</v>
      </c>
      <c r="BC50" s="11">
        <f>HLOOKUP((BC$2-1)*12,$W$3:$CE$52,ROW()-2,0)*(1+(HLOOKUP(BC$2,'UW Model'!$M$103:$Q$104,2,0)/12)*(BC$3-((BC$2-1)*12)))</f>
        <v>0</v>
      </c>
      <c r="BD50" s="11">
        <f>HLOOKUP((BD$2-1)*12,$W$3:$CE$52,ROW()-2,0)*(1+(HLOOKUP(BD$2,'UW Model'!$M$103:$Q$104,2,0)/12)*(BD$3-((BD$2-1)*12)))</f>
        <v>0</v>
      </c>
      <c r="BE50" s="11">
        <f>HLOOKUP((BE$2-1)*12,$W$3:$CE$52,ROW()-2,0)*(1+(HLOOKUP(BE$2,'UW Model'!$M$103:$Q$104,2,0)/12)*(BE$3-((BE$2-1)*12)))</f>
        <v>0</v>
      </c>
      <c r="BF50" s="11">
        <f>HLOOKUP((BF$2-1)*12,$W$3:$CE$52,ROW()-2,0)*(1+(HLOOKUP(BF$2,'UW Model'!$M$103:$Q$104,2,0)/12)*(BF$3-((BF$2-1)*12)))</f>
        <v>0</v>
      </c>
      <c r="BG50" s="71">
        <f>HLOOKUP((BG$2-1)*12,$W$3:$CE$52,ROW()-2,0)*(1+(HLOOKUP(BG$2,'UW Model'!$M$103:$Q$104,2,0)/12)*(BG$3-((BG$2-1)*12)))</f>
        <v>0</v>
      </c>
      <c r="BH50" s="11">
        <f>HLOOKUP((BH$2-1)*12,$W$3:$CE$52,ROW()-2,0)*(1+(HLOOKUP(BH$2,'UW Model'!$M$103:$Q$104,2,0)/12)*(BH$3-((BH$2-1)*12)))</f>
        <v>0</v>
      </c>
      <c r="BI50" s="11">
        <f>HLOOKUP((BI$2-1)*12,$W$3:$CE$52,ROW()-2,0)*(1+(HLOOKUP(BI$2,'UW Model'!$M$103:$Q$104,2,0)/12)*(BI$3-((BI$2-1)*12)))</f>
        <v>0</v>
      </c>
      <c r="BJ50" s="11">
        <f>HLOOKUP((BJ$2-1)*12,$W$3:$CE$52,ROW()-2,0)*(1+(HLOOKUP(BJ$2,'UW Model'!$M$103:$Q$104,2,0)/12)*(BJ$3-((BJ$2-1)*12)))</f>
        <v>0</v>
      </c>
      <c r="BK50" s="11">
        <f>HLOOKUP((BK$2-1)*12,$W$3:$CE$52,ROW()-2,0)*(1+(HLOOKUP(BK$2,'UW Model'!$M$103:$Q$104,2,0)/12)*(BK$3-((BK$2-1)*12)))</f>
        <v>0</v>
      </c>
      <c r="BL50" s="11">
        <f>HLOOKUP((BL$2-1)*12,$W$3:$CE$52,ROW()-2,0)*(1+(HLOOKUP(BL$2,'UW Model'!$M$103:$Q$104,2,0)/12)*(BL$3-((BL$2-1)*12)))</f>
        <v>0</v>
      </c>
      <c r="BM50" s="11">
        <f>HLOOKUP((BM$2-1)*12,$W$3:$CE$52,ROW()-2,0)*(1+(HLOOKUP(BM$2,'UW Model'!$M$103:$Q$104,2,0)/12)*(BM$3-((BM$2-1)*12)))</f>
        <v>0</v>
      </c>
      <c r="BN50" s="11">
        <f>HLOOKUP((BN$2-1)*12,$W$3:$CE$52,ROW()-2,0)*(1+(HLOOKUP(BN$2,'UW Model'!$M$103:$Q$104,2,0)/12)*(BN$3-((BN$2-1)*12)))</f>
        <v>0</v>
      </c>
      <c r="BO50" s="11">
        <f>HLOOKUP((BO$2-1)*12,$W$3:$CE$52,ROW()-2,0)*(1+(HLOOKUP(BO$2,'UW Model'!$M$103:$Q$104,2,0)/12)*(BO$3-((BO$2-1)*12)))</f>
        <v>0</v>
      </c>
      <c r="BP50" s="11">
        <f>HLOOKUP((BP$2-1)*12,$W$3:$CE$52,ROW()-2,0)*(1+(HLOOKUP(BP$2,'UW Model'!$M$103:$Q$104,2,0)/12)*(BP$3-((BP$2-1)*12)))</f>
        <v>0</v>
      </c>
      <c r="BQ50" s="11">
        <f>HLOOKUP((BQ$2-1)*12,$W$3:$CE$52,ROW()-2,0)*(1+(HLOOKUP(BQ$2,'UW Model'!$M$103:$Q$104,2,0)/12)*(BQ$3-((BQ$2-1)*12)))</f>
        <v>0</v>
      </c>
      <c r="BR50" s="11">
        <f>HLOOKUP((BR$2-1)*12,$W$3:$CE$52,ROW()-2,0)*(1+(HLOOKUP(BR$2,'UW Model'!$M$103:$Q$104,2,0)/12)*(BR$3-((BR$2-1)*12)))</f>
        <v>0</v>
      </c>
      <c r="BS50" s="71">
        <f>HLOOKUP((BS$2-1)*12,$W$3:$CE$52,ROW()-2,0)*(1+(HLOOKUP(BS$2,'UW Model'!$M$103:$Q$104,2,0)/12)*(BS$3-((BS$2-1)*12)))</f>
        <v>0</v>
      </c>
      <c r="BT50" s="11">
        <f>HLOOKUP((BT$2-1)*12,$W$3:$CE$52,ROW()-2,0)*(1+(HLOOKUP(BT$2,'UW Model'!$M$103:$Q$104,2,0)/12)*(BT$3-((BT$2-1)*12)))</f>
        <v>0</v>
      </c>
      <c r="BU50" s="11">
        <f>HLOOKUP((BU$2-1)*12,$W$3:$CE$52,ROW()-2,0)*(1+(HLOOKUP(BU$2,'UW Model'!$M$103:$Q$104,2,0)/12)*(BU$3-((BU$2-1)*12)))</f>
        <v>0</v>
      </c>
      <c r="BV50" s="11">
        <f>HLOOKUP((BV$2-1)*12,$W$3:$CE$52,ROW()-2,0)*(1+(HLOOKUP(BV$2,'UW Model'!$M$103:$Q$104,2,0)/12)*(BV$3-((BV$2-1)*12)))</f>
        <v>0</v>
      </c>
      <c r="BW50" s="11">
        <f>HLOOKUP((BW$2-1)*12,$W$3:$CE$52,ROW()-2,0)*(1+(HLOOKUP(BW$2,'UW Model'!$M$103:$Q$104,2,0)/12)*(BW$3-((BW$2-1)*12)))</f>
        <v>0</v>
      </c>
      <c r="BX50" s="11">
        <f>HLOOKUP((BX$2-1)*12,$W$3:$CE$52,ROW()-2,0)*(1+(HLOOKUP(BX$2,'UW Model'!$M$103:$Q$104,2,0)/12)*(BX$3-((BX$2-1)*12)))</f>
        <v>0</v>
      </c>
      <c r="BY50" s="11">
        <f>HLOOKUP((BY$2-1)*12,$W$3:$CE$52,ROW()-2,0)*(1+(HLOOKUP(BY$2,'UW Model'!$M$103:$Q$104,2,0)/12)*(BY$3-((BY$2-1)*12)))</f>
        <v>0</v>
      </c>
      <c r="BZ50" s="11">
        <f>HLOOKUP((BZ$2-1)*12,$W$3:$CE$52,ROW()-2,0)*(1+(HLOOKUP(BZ$2,'UW Model'!$M$103:$Q$104,2,0)/12)*(BZ$3-((BZ$2-1)*12)))</f>
        <v>0</v>
      </c>
      <c r="CA50" s="11">
        <f>HLOOKUP((CA$2-1)*12,$W$3:$CE$52,ROW()-2,0)*(1+(HLOOKUP(CA$2,'UW Model'!$M$103:$Q$104,2,0)/12)*(CA$3-((CA$2-1)*12)))</f>
        <v>0</v>
      </c>
      <c r="CB50" s="11">
        <f>HLOOKUP((CB$2-1)*12,$W$3:$CE$52,ROW()-2,0)*(1+(HLOOKUP(CB$2,'UW Model'!$M$103:$Q$104,2,0)/12)*(CB$3-((CB$2-1)*12)))</f>
        <v>0</v>
      </c>
      <c r="CC50" s="11">
        <f>HLOOKUP((CC$2-1)*12,$W$3:$CE$52,ROW()-2,0)*(1+(HLOOKUP(CC$2,'UW Model'!$M$103:$Q$104,2,0)/12)*(CC$3-((CC$2-1)*12)))</f>
        <v>0</v>
      </c>
      <c r="CD50" s="11">
        <f>HLOOKUP((CD$2-1)*12,$W$3:$CE$52,ROW()-2,0)*(1+(HLOOKUP(CD$2,'UW Model'!$M$103:$Q$104,2,0)/12)*(CD$3-((CD$2-1)*12)))</f>
        <v>0</v>
      </c>
      <c r="CE50" s="88">
        <f>HLOOKUP((CE$2-1)*12,$W$3:$CE$52,ROW()-2,0)*(1+(HLOOKUP(CE$2,'UW Model'!$M$103:$Q$104,2,0)/12)*(CE$3-((CE$2-1)*12)))</f>
        <v>0</v>
      </c>
    </row>
    <row r="51" spans="16:83" x14ac:dyDescent="0.35">
      <c r="P51" s="933"/>
      <c r="Q51" s="196" t="str">
        <f>$Q$19</f>
        <v/>
      </c>
      <c r="R51" s="199">
        <f t="shared" si="109"/>
        <v>0</v>
      </c>
      <c r="S51" s="121">
        <f t="shared" si="109"/>
        <v>0</v>
      </c>
      <c r="T51" s="121">
        <f t="shared" si="109"/>
        <v>0</v>
      </c>
      <c r="U51" s="121">
        <f t="shared" si="109"/>
        <v>0</v>
      </c>
      <c r="V51" s="200">
        <f t="shared" si="109"/>
        <v>0</v>
      </c>
      <c r="W51" s="201">
        <f>IF(SUM(R19:V19)&gt;0,'UW Model'!T41,0)</f>
        <v>0</v>
      </c>
      <c r="X51" s="201">
        <f>HLOOKUP((X$2-1)*12,$W$3:$CE$52,ROW()-2,0)*(1+(HLOOKUP(X$2,'UW Model'!$M$103:$Q$104,2,0)/12)*(X$3-((X$2-1)*12)))</f>
        <v>0</v>
      </c>
      <c r="Y51" s="11">
        <f>HLOOKUP((Y$2-1)*12,$W$3:$CE$52,ROW()-2,0)*(1+(HLOOKUP(Y$2,'UW Model'!$M$103:$Q$104,2,0)/12)*(Y$3-((Y$2-1)*12)))</f>
        <v>0</v>
      </c>
      <c r="Z51" s="11">
        <f>HLOOKUP((Z$2-1)*12,$W$3:$CE$52,ROW()-2,0)*(1+(HLOOKUP(Z$2,'UW Model'!$M$103:$Q$104,2,0)/12)*(Z$3-((Z$2-1)*12)))</f>
        <v>0</v>
      </c>
      <c r="AA51" s="11">
        <f>HLOOKUP((AA$2-1)*12,$W$3:$CE$52,ROW()-2,0)*(1+(HLOOKUP(AA$2,'UW Model'!$M$103:$Q$104,2,0)/12)*(AA$3-((AA$2-1)*12)))</f>
        <v>0</v>
      </c>
      <c r="AB51" s="11">
        <f>HLOOKUP((AB$2-1)*12,$W$3:$CE$52,ROW()-2,0)*(1+(HLOOKUP(AB$2,'UW Model'!$M$103:$Q$104,2,0)/12)*(AB$3-((AB$2-1)*12)))</f>
        <v>0</v>
      </c>
      <c r="AC51" s="11">
        <f>HLOOKUP((AC$2-1)*12,$W$3:$CE$52,ROW()-2,0)*(1+(HLOOKUP(AC$2,'UW Model'!$M$103:$Q$104,2,0)/12)*(AC$3-((AC$2-1)*12)))</f>
        <v>0</v>
      </c>
      <c r="AD51" s="11">
        <f>HLOOKUP((AD$2-1)*12,$W$3:$CE$52,ROW()-2,0)*(1+(HLOOKUP(AD$2,'UW Model'!$M$103:$Q$104,2,0)/12)*(AD$3-((AD$2-1)*12)))</f>
        <v>0</v>
      </c>
      <c r="AE51" s="11">
        <f>HLOOKUP((AE$2-1)*12,$W$3:$CE$52,ROW()-2,0)*(1+(HLOOKUP(AE$2,'UW Model'!$M$103:$Q$104,2,0)/12)*(AE$3-((AE$2-1)*12)))</f>
        <v>0</v>
      </c>
      <c r="AF51" s="11">
        <f>HLOOKUP((AF$2-1)*12,$W$3:$CE$52,ROW()-2,0)*(1+(HLOOKUP(AF$2,'UW Model'!$M$103:$Q$104,2,0)/12)*(AF$3-((AF$2-1)*12)))</f>
        <v>0</v>
      </c>
      <c r="AG51" s="11">
        <f>HLOOKUP((AG$2-1)*12,$W$3:$CE$52,ROW()-2,0)*(1+(HLOOKUP(AG$2,'UW Model'!$M$103:$Q$104,2,0)/12)*(AG$3-((AG$2-1)*12)))</f>
        <v>0</v>
      </c>
      <c r="AH51" s="11">
        <f>HLOOKUP((AH$2-1)*12,$W$3:$CE$52,ROW()-2,0)*(1+(HLOOKUP(AH$2,'UW Model'!$M$103:$Q$104,2,0)/12)*(AH$3-((AH$2-1)*12)))</f>
        <v>0</v>
      </c>
      <c r="AI51" s="71">
        <f>HLOOKUP((AI$2-1)*12,$W$3:$CE$52,ROW()-2,0)*(1+(HLOOKUP(AI$2,'UW Model'!$M$103:$Q$104,2,0)/12)*(AI$3-((AI$2-1)*12)))</f>
        <v>0</v>
      </c>
      <c r="AJ51" s="201">
        <f>HLOOKUP((AJ$2-1)*12,$W$3:$CE$52,ROW()-2,0)*(1+(HLOOKUP(AJ$2,'UW Model'!$M$103:$Q$104,2,0)/12)*(AJ$3-((AJ$2-1)*12)))</f>
        <v>0</v>
      </c>
      <c r="AK51" s="11">
        <f>HLOOKUP((AK$2-1)*12,$W$3:$CE$52,ROW()-2,0)*(1+(HLOOKUP(AK$2,'UW Model'!$M$103:$Q$104,2,0)/12)*(AK$3-((AK$2-1)*12)))</f>
        <v>0</v>
      </c>
      <c r="AL51" s="11">
        <f>HLOOKUP((AL$2-1)*12,$W$3:$CE$52,ROW()-2,0)*(1+(HLOOKUP(AL$2,'UW Model'!$M$103:$Q$104,2,0)/12)*(AL$3-((AL$2-1)*12)))</f>
        <v>0</v>
      </c>
      <c r="AM51" s="11">
        <f>HLOOKUP((AM$2-1)*12,$W$3:$CE$52,ROW()-2,0)*(1+(HLOOKUP(AM$2,'UW Model'!$M$103:$Q$104,2,0)/12)*(AM$3-((AM$2-1)*12)))</f>
        <v>0</v>
      </c>
      <c r="AN51" s="11">
        <f>HLOOKUP((AN$2-1)*12,$W$3:$CE$52,ROW()-2,0)*(1+(HLOOKUP(AN$2,'UW Model'!$M$103:$Q$104,2,0)/12)*(AN$3-((AN$2-1)*12)))</f>
        <v>0</v>
      </c>
      <c r="AO51" s="11">
        <f>HLOOKUP((AO$2-1)*12,$W$3:$CE$52,ROW()-2,0)*(1+(HLOOKUP(AO$2,'UW Model'!$M$103:$Q$104,2,0)/12)*(AO$3-((AO$2-1)*12)))</f>
        <v>0</v>
      </c>
      <c r="AP51" s="11">
        <f>HLOOKUP((AP$2-1)*12,$W$3:$CE$52,ROW()-2,0)*(1+(HLOOKUP(AP$2,'UW Model'!$M$103:$Q$104,2,0)/12)*(AP$3-((AP$2-1)*12)))</f>
        <v>0</v>
      </c>
      <c r="AQ51" s="11">
        <f>HLOOKUP((AQ$2-1)*12,$W$3:$CE$52,ROW()-2,0)*(1+(HLOOKUP(AQ$2,'UW Model'!$M$103:$Q$104,2,0)/12)*(AQ$3-((AQ$2-1)*12)))</f>
        <v>0</v>
      </c>
      <c r="AR51" s="11">
        <f>HLOOKUP((AR$2-1)*12,$W$3:$CE$52,ROW()-2,0)*(1+(HLOOKUP(AR$2,'UW Model'!$M$103:$Q$104,2,0)/12)*(AR$3-((AR$2-1)*12)))</f>
        <v>0</v>
      </c>
      <c r="AS51" s="11">
        <f>HLOOKUP((AS$2-1)*12,$W$3:$CE$52,ROW()-2,0)*(1+(HLOOKUP(AS$2,'UW Model'!$M$103:$Q$104,2,0)/12)*(AS$3-((AS$2-1)*12)))</f>
        <v>0</v>
      </c>
      <c r="AT51" s="11">
        <f>HLOOKUP((AT$2-1)*12,$W$3:$CE$52,ROW()-2,0)*(1+(HLOOKUP(AT$2,'UW Model'!$M$103:$Q$104,2,0)/12)*(AT$3-((AT$2-1)*12)))</f>
        <v>0</v>
      </c>
      <c r="AU51" s="71">
        <f>HLOOKUP((AU$2-1)*12,$W$3:$CE$52,ROW()-2,0)*(1+(HLOOKUP(AU$2,'UW Model'!$M$103:$Q$104,2,0)/12)*(AU$3-((AU$2-1)*12)))</f>
        <v>0</v>
      </c>
      <c r="AV51" s="11">
        <f>HLOOKUP((AV$2-1)*12,$W$3:$CE$52,ROW()-2,0)*(1+(HLOOKUP(AV$2,'UW Model'!$M$103:$Q$104,2,0)/12)*(AV$3-((AV$2-1)*12)))</f>
        <v>0</v>
      </c>
      <c r="AW51" s="11">
        <f>HLOOKUP((AW$2-1)*12,$W$3:$CE$52,ROW()-2,0)*(1+(HLOOKUP(AW$2,'UW Model'!$M$103:$Q$104,2,0)/12)*(AW$3-((AW$2-1)*12)))</f>
        <v>0</v>
      </c>
      <c r="AX51" s="11">
        <f>HLOOKUP((AX$2-1)*12,$W$3:$CE$52,ROW()-2,0)*(1+(HLOOKUP(AX$2,'UW Model'!$M$103:$Q$104,2,0)/12)*(AX$3-((AX$2-1)*12)))</f>
        <v>0</v>
      </c>
      <c r="AY51" s="11">
        <f>HLOOKUP((AY$2-1)*12,$W$3:$CE$52,ROW()-2,0)*(1+(HLOOKUP(AY$2,'UW Model'!$M$103:$Q$104,2,0)/12)*(AY$3-((AY$2-1)*12)))</f>
        <v>0</v>
      </c>
      <c r="AZ51" s="11">
        <f>HLOOKUP((AZ$2-1)*12,$W$3:$CE$52,ROW()-2,0)*(1+(HLOOKUP(AZ$2,'UW Model'!$M$103:$Q$104,2,0)/12)*(AZ$3-((AZ$2-1)*12)))</f>
        <v>0</v>
      </c>
      <c r="BA51" s="11">
        <f>HLOOKUP((BA$2-1)*12,$W$3:$CE$52,ROW()-2,0)*(1+(HLOOKUP(BA$2,'UW Model'!$M$103:$Q$104,2,0)/12)*(BA$3-((BA$2-1)*12)))</f>
        <v>0</v>
      </c>
      <c r="BB51" s="11">
        <f>HLOOKUP((BB$2-1)*12,$W$3:$CE$52,ROW()-2,0)*(1+(HLOOKUP(BB$2,'UW Model'!$M$103:$Q$104,2,0)/12)*(BB$3-((BB$2-1)*12)))</f>
        <v>0</v>
      </c>
      <c r="BC51" s="11">
        <f>HLOOKUP((BC$2-1)*12,$W$3:$CE$52,ROW()-2,0)*(1+(HLOOKUP(BC$2,'UW Model'!$M$103:$Q$104,2,0)/12)*(BC$3-((BC$2-1)*12)))</f>
        <v>0</v>
      </c>
      <c r="BD51" s="11">
        <f>HLOOKUP((BD$2-1)*12,$W$3:$CE$52,ROW()-2,0)*(1+(HLOOKUP(BD$2,'UW Model'!$M$103:$Q$104,2,0)/12)*(BD$3-((BD$2-1)*12)))</f>
        <v>0</v>
      </c>
      <c r="BE51" s="11">
        <f>HLOOKUP((BE$2-1)*12,$W$3:$CE$52,ROW()-2,0)*(1+(HLOOKUP(BE$2,'UW Model'!$M$103:$Q$104,2,0)/12)*(BE$3-((BE$2-1)*12)))</f>
        <v>0</v>
      </c>
      <c r="BF51" s="11">
        <f>HLOOKUP((BF$2-1)*12,$W$3:$CE$52,ROW()-2,0)*(1+(HLOOKUP(BF$2,'UW Model'!$M$103:$Q$104,2,0)/12)*(BF$3-((BF$2-1)*12)))</f>
        <v>0</v>
      </c>
      <c r="BG51" s="71">
        <f>HLOOKUP((BG$2-1)*12,$W$3:$CE$52,ROW()-2,0)*(1+(HLOOKUP(BG$2,'UW Model'!$M$103:$Q$104,2,0)/12)*(BG$3-((BG$2-1)*12)))</f>
        <v>0</v>
      </c>
      <c r="BH51" s="11">
        <f>HLOOKUP((BH$2-1)*12,$W$3:$CE$52,ROW()-2,0)*(1+(HLOOKUP(BH$2,'UW Model'!$M$103:$Q$104,2,0)/12)*(BH$3-((BH$2-1)*12)))</f>
        <v>0</v>
      </c>
      <c r="BI51" s="11">
        <f>HLOOKUP((BI$2-1)*12,$W$3:$CE$52,ROW()-2,0)*(1+(HLOOKUP(BI$2,'UW Model'!$M$103:$Q$104,2,0)/12)*(BI$3-((BI$2-1)*12)))</f>
        <v>0</v>
      </c>
      <c r="BJ51" s="11">
        <f>HLOOKUP((BJ$2-1)*12,$W$3:$CE$52,ROW()-2,0)*(1+(HLOOKUP(BJ$2,'UW Model'!$M$103:$Q$104,2,0)/12)*(BJ$3-((BJ$2-1)*12)))</f>
        <v>0</v>
      </c>
      <c r="BK51" s="11">
        <f>HLOOKUP((BK$2-1)*12,$W$3:$CE$52,ROW()-2,0)*(1+(HLOOKUP(BK$2,'UW Model'!$M$103:$Q$104,2,0)/12)*(BK$3-((BK$2-1)*12)))</f>
        <v>0</v>
      </c>
      <c r="BL51" s="11">
        <f>HLOOKUP((BL$2-1)*12,$W$3:$CE$52,ROW()-2,0)*(1+(HLOOKUP(BL$2,'UW Model'!$M$103:$Q$104,2,0)/12)*(BL$3-((BL$2-1)*12)))</f>
        <v>0</v>
      </c>
      <c r="BM51" s="11">
        <f>HLOOKUP((BM$2-1)*12,$W$3:$CE$52,ROW()-2,0)*(1+(HLOOKUP(BM$2,'UW Model'!$M$103:$Q$104,2,0)/12)*(BM$3-((BM$2-1)*12)))</f>
        <v>0</v>
      </c>
      <c r="BN51" s="11">
        <f>HLOOKUP((BN$2-1)*12,$W$3:$CE$52,ROW()-2,0)*(1+(HLOOKUP(BN$2,'UW Model'!$M$103:$Q$104,2,0)/12)*(BN$3-((BN$2-1)*12)))</f>
        <v>0</v>
      </c>
      <c r="BO51" s="11">
        <f>HLOOKUP((BO$2-1)*12,$W$3:$CE$52,ROW()-2,0)*(1+(HLOOKUP(BO$2,'UW Model'!$M$103:$Q$104,2,0)/12)*(BO$3-((BO$2-1)*12)))</f>
        <v>0</v>
      </c>
      <c r="BP51" s="11">
        <f>HLOOKUP((BP$2-1)*12,$W$3:$CE$52,ROW()-2,0)*(1+(HLOOKUP(BP$2,'UW Model'!$M$103:$Q$104,2,0)/12)*(BP$3-((BP$2-1)*12)))</f>
        <v>0</v>
      </c>
      <c r="BQ51" s="11">
        <f>HLOOKUP((BQ$2-1)*12,$W$3:$CE$52,ROW()-2,0)*(1+(HLOOKUP(BQ$2,'UW Model'!$M$103:$Q$104,2,0)/12)*(BQ$3-((BQ$2-1)*12)))</f>
        <v>0</v>
      </c>
      <c r="BR51" s="11">
        <f>HLOOKUP((BR$2-1)*12,$W$3:$CE$52,ROW()-2,0)*(1+(HLOOKUP(BR$2,'UW Model'!$M$103:$Q$104,2,0)/12)*(BR$3-((BR$2-1)*12)))</f>
        <v>0</v>
      </c>
      <c r="BS51" s="71">
        <f>HLOOKUP((BS$2-1)*12,$W$3:$CE$52,ROW()-2,0)*(1+(HLOOKUP(BS$2,'UW Model'!$M$103:$Q$104,2,0)/12)*(BS$3-((BS$2-1)*12)))</f>
        <v>0</v>
      </c>
      <c r="BT51" s="11">
        <f>HLOOKUP((BT$2-1)*12,$W$3:$CE$52,ROW()-2,0)*(1+(HLOOKUP(BT$2,'UW Model'!$M$103:$Q$104,2,0)/12)*(BT$3-((BT$2-1)*12)))</f>
        <v>0</v>
      </c>
      <c r="BU51" s="11">
        <f>HLOOKUP((BU$2-1)*12,$W$3:$CE$52,ROW()-2,0)*(1+(HLOOKUP(BU$2,'UW Model'!$M$103:$Q$104,2,0)/12)*(BU$3-((BU$2-1)*12)))</f>
        <v>0</v>
      </c>
      <c r="BV51" s="11">
        <f>HLOOKUP((BV$2-1)*12,$W$3:$CE$52,ROW()-2,0)*(1+(HLOOKUP(BV$2,'UW Model'!$M$103:$Q$104,2,0)/12)*(BV$3-((BV$2-1)*12)))</f>
        <v>0</v>
      </c>
      <c r="BW51" s="11">
        <f>HLOOKUP((BW$2-1)*12,$W$3:$CE$52,ROW()-2,0)*(1+(HLOOKUP(BW$2,'UW Model'!$M$103:$Q$104,2,0)/12)*(BW$3-((BW$2-1)*12)))</f>
        <v>0</v>
      </c>
      <c r="BX51" s="11">
        <f>HLOOKUP((BX$2-1)*12,$W$3:$CE$52,ROW()-2,0)*(1+(HLOOKUP(BX$2,'UW Model'!$M$103:$Q$104,2,0)/12)*(BX$3-((BX$2-1)*12)))</f>
        <v>0</v>
      </c>
      <c r="BY51" s="11">
        <f>HLOOKUP((BY$2-1)*12,$W$3:$CE$52,ROW()-2,0)*(1+(HLOOKUP(BY$2,'UW Model'!$M$103:$Q$104,2,0)/12)*(BY$3-((BY$2-1)*12)))</f>
        <v>0</v>
      </c>
      <c r="BZ51" s="11">
        <f>HLOOKUP((BZ$2-1)*12,$W$3:$CE$52,ROW()-2,0)*(1+(HLOOKUP(BZ$2,'UW Model'!$M$103:$Q$104,2,0)/12)*(BZ$3-((BZ$2-1)*12)))</f>
        <v>0</v>
      </c>
      <c r="CA51" s="11">
        <f>HLOOKUP((CA$2-1)*12,$W$3:$CE$52,ROW()-2,0)*(1+(HLOOKUP(CA$2,'UW Model'!$M$103:$Q$104,2,0)/12)*(CA$3-((CA$2-1)*12)))</f>
        <v>0</v>
      </c>
      <c r="CB51" s="11">
        <f>HLOOKUP((CB$2-1)*12,$W$3:$CE$52,ROW()-2,0)*(1+(HLOOKUP(CB$2,'UW Model'!$M$103:$Q$104,2,0)/12)*(CB$3-((CB$2-1)*12)))</f>
        <v>0</v>
      </c>
      <c r="CC51" s="11">
        <f>HLOOKUP((CC$2-1)*12,$W$3:$CE$52,ROW()-2,0)*(1+(HLOOKUP(CC$2,'UW Model'!$M$103:$Q$104,2,0)/12)*(CC$3-((CC$2-1)*12)))</f>
        <v>0</v>
      </c>
      <c r="CD51" s="11">
        <f>HLOOKUP((CD$2-1)*12,$W$3:$CE$52,ROW()-2,0)*(1+(HLOOKUP(CD$2,'UW Model'!$M$103:$Q$104,2,0)/12)*(CD$3-((CD$2-1)*12)))</f>
        <v>0</v>
      </c>
      <c r="CE51" s="88">
        <f>HLOOKUP((CE$2-1)*12,$W$3:$CE$52,ROW()-2,0)*(1+(HLOOKUP(CE$2,'UW Model'!$M$103:$Q$104,2,0)/12)*(CE$3-((CE$2-1)*12)))</f>
        <v>0</v>
      </c>
    </row>
    <row r="52" spans="16:83" x14ac:dyDescent="0.35">
      <c r="P52" s="933"/>
      <c r="Q52" s="196" t="str">
        <f>$Q$20</f>
        <v/>
      </c>
      <c r="R52" s="199">
        <f t="shared" si="109"/>
        <v>0</v>
      </c>
      <c r="S52" s="121">
        <f t="shared" si="109"/>
        <v>0</v>
      </c>
      <c r="T52" s="121">
        <f t="shared" si="109"/>
        <v>0</v>
      </c>
      <c r="U52" s="121">
        <f t="shared" si="109"/>
        <v>0</v>
      </c>
      <c r="V52" s="200">
        <f t="shared" si="109"/>
        <v>0</v>
      </c>
      <c r="W52" s="201">
        <f>IF(SUM(R20:V20)&gt;0,'UW Model'!T42,0)</f>
        <v>0</v>
      </c>
      <c r="X52" s="201">
        <f>HLOOKUP((X$2-1)*12,$W$3:$CE$52,ROW()-2,0)*(1+(HLOOKUP(X$2,'UW Model'!$M$103:$Q$104,2,0)/12)*(X$3-((X$2-1)*12)))</f>
        <v>0</v>
      </c>
      <c r="Y52" s="11">
        <f>HLOOKUP((Y$2-1)*12,$W$3:$CE$52,ROW()-2,0)*(1+(HLOOKUP(Y$2,'UW Model'!$M$103:$Q$104,2,0)/12)*(Y$3-((Y$2-1)*12)))</f>
        <v>0</v>
      </c>
      <c r="Z52" s="11">
        <f>HLOOKUP((Z$2-1)*12,$W$3:$CE$52,ROW()-2,0)*(1+(HLOOKUP(Z$2,'UW Model'!$M$103:$Q$104,2,0)/12)*(Z$3-((Z$2-1)*12)))</f>
        <v>0</v>
      </c>
      <c r="AA52" s="11">
        <f>HLOOKUP((AA$2-1)*12,$W$3:$CE$52,ROW()-2,0)*(1+(HLOOKUP(AA$2,'UW Model'!$M$103:$Q$104,2,0)/12)*(AA$3-((AA$2-1)*12)))</f>
        <v>0</v>
      </c>
      <c r="AB52" s="11">
        <f>HLOOKUP((AB$2-1)*12,$W$3:$CE$52,ROW()-2,0)*(1+(HLOOKUP(AB$2,'UW Model'!$M$103:$Q$104,2,0)/12)*(AB$3-((AB$2-1)*12)))</f>
        <v>0</v>
      </c>
      <c r="AC52" s="11">
        <f>HLOOKUP((AC$2-1)*12,$W$3:$CE$52,ROW()-2,0)*(1+(HLOOKUP(AC$2,'UW Model'!$M$103:$Q$104,2,0)/12)*(AC$3-((AC$2-1)*12)))</f>
        <v>0</v>
      </c>
      <c r="AD52" s="11">
        <f>HLOOKUP((AD$2-1)*12,$W$3:$CE$52,ROW()-2,0)*(1+(HLOOKUP(AD$2,'UW Model'!$M$103:$Q$104,2,0)/12)*(AD$3-((AD$2-1)*12)))</f>
        <v>0</v>
      </c>
      <c r="AE52" s="11">
        <f>HLOOKUP((AE$2-1)*12,$W$3:$CE$52,ROW()-2,0)*(1+(HLOOKUP(AE$2,'UW Model'!$M$103:$Q$104,2,0)/12)*(AE$3-((AE$2-1)*12)))</f>
        <v>0</v>
      </c>
      <c r="AF52" s="11">
        <f>HLOOKUP((AF$2-1)*12,$W$3:$CE$52,ROW()-2,0)*(1+(HLOOKUP(AF$2,'UW Model'!$M$103:$Q$104,2,0)/12)*(AF$3-((AF$2-1)*12)))</f>
        <v>0</v>
      </c>
      <c r="AG52" s="11">
        <f>HLOOKUP((AG$2-1)*12,$W$3:$CE$52,ROW()-2,0)*(1+(HLOOKUP(AG$2,'UW Model'!$M$103:$Q$104,2,0)/12)*(AG$3-((AG$2-1)*12)))</f>
        <v>0</v>
      </c>
      <c r="AH52" s="11">
        <f>HLOOKUP((AH$2-1)*12,$W$3:$CE$52,ROW()-2,0)*(1+(HLOOKUP(AH$2,'UW Model'!$M$103:$Q$104,2,0)/12)*(AH$3-((AH$2-1)*12)))</f>
        <v>0</v>
      </c>
      <c r="AI52" s="71">
        <f>HLOOKUP((AI$2-1)*12,$W$3:$CE$52,ROW()-2,0)*(1+(HLOOKUP(AI$2,'UW Model'!$M$103:$Q$104,2,0)/12)*(AI$3-((AI$2-1)*12)))</f>
        <v>0</v>
      </c>
      <c r="AJ52" s="201">
        <f>HLOOKUP((AJ$2-1)*12,$W$3:$CE$52,ROW()-2,0)*(1+(HLOOKUP(AJ$2,'UW Model'!$M$103:$Q$104,2,0)/12)*(AJ$3-((AJ$2-1)*12)))</f>
        <v>0</v>
      </c>
      <c r="AK52" s="11">
        <f>HLOOKUP((AK$2-1)*12,$W$3:$CE$52,ROW()-2,0)*(1+(HLOOKUP(AK$2,'UW Model'!$M$103:$Q$104,2,0)/12)*(AK$3-((AK$2-1)*12)))</f>
        <v>0</v>
      </c>
      <c r="AL52" s="11">
        <f>HLOOKUP((AL$2-1)*12,$W$3:$CE$52,ROW()-2,0)*(1+(HLOOKUP(AL$2,'UW Model'!$M$103:$Q$104,2,0)/12)*(AL$3-((AL$2-1)*12)))</f>
        <v>0</v>
      </c>
      <c r="AM52" s="11">
        <f>HLOOKUP((AM$2-1)*12,$W$3:$CE$52,ROW()-2,0)*(1+(HLOOKUP(AM$2,'UW Model'!$M$103:$Q$104,2,0)/12)*(AM$3-((AM$2-1)*12)))</f>
        <v>0</v>
      </c>
      <c r="AN52" s="11">
        <f>HLOOKUP((AN$2-1)*12,$W$3:$CE$52,ROW()-2,0)*(1+(HLOOKUP(AN$2,'UW Model'!$M$103:$Q$104,2,0)/12)*(AN$3-((AN$2-1)*12)))</f>
        <v>0</v>
      </c>
      <c r="AO52" s="11">
        <f>HLOOKUP((AO$2-1)*12,$W$3:$CE$52,ROW()-2,0)*(1+(HLOOKUP(AO$2,'UW Model'!$M$103:$Q$104,2,0)/12)*(AO$3-((AO$2-1)*12)))</f>
        <v>0</v>
      </c>
      <c r="AP52" s="11">
        <f>HLOOKUP((AP$2-1)*12,$W$3:$CE$52,ROW()-2,0)*(1+(HLOOKUP(AP$2,'UW Model'!$M$103:$Q$104,2,0)/12)*(AP$3-((AP$2-1)*12)))</f>
        <v>0</v>
      </c>
      <c r="AQ52" s="11">
        <f>HLOOKUP((AQ$2-1)*12,$W$3:$CE$52,ROW()-2,0)*(1+(HLOOKUP(AQ$2,'UW Model'!$M$103:$Q$104,2,0)/12)*(AQ$3-((AQ$2-1)*12)))</f>
        <v>0</v>
      </c>
      <c r="AR52" s="11">
        <f>HLOOKUP((AR$2-1)*12,$W$3:$CE$52,ROW()-2,0)*(1+(HLOOKUP(AR$2,'UW Model'!$M$103:$Q$104,2,0)/12)*(AR$3-((AR$2-1)*12)))</f>
        <v>0</v>
      </c>
      <c r="AS52" s="11">
        <f>HLOOKUP((AS$2-1)*12,$W$3:$CE$52,ROW()-2,0)*(1+(HLOOKUP(AS$2,'UW Model'!$M$103:$Q$104,2,0)/12)*(AS$3-((AS$2-1)*12)))</f>
        <v>0</v>
      </c>
      <c r="AT52" s="11">
        <f>HLOOKUP((AT$2-1)*12,$W$3:$CE$52,ROW()-2,0)*(1+(HLOOKUP(AT$2,'UW Model'!$M$103:$Q$104,2,0)/12)*(AT$3-((AT$2-1)*12)))</f>
        <v>0</v>
      </c>
      <c r="AU52" s="71">
        <f>HLOOKUP((AU$2-1)*12,$W$3:$CE$52,ROW()-2,0)*(1+(HLOOKUP(AU$2,'UW Model'!$M$103:$Q$104,2,0)/12)*(AU$3-((AU$2-1)*12)))</f>
        <v>0</v>
      </c>
      <c r="AV52" s="11">
        <f>HLOOKUP((AV$2-1)*12,$W$3:$CE$52,ROW()-2,0)*(1+(HLOOKUP(AV$2,'UW Model'!$M$103:$Q$104,2,0)/12)*(AV$3-((AV$2-1)*12)))</f>
        <v>0</v>
      </c>
      <c r="AW52" s="11">
        <f>HLOOKUP((AW$2-1)*12,$W$3:$CE$52,ROW()-2,0)*(1+(HLOOKUP(AW$2,'UW Model'!$M$103:$Q$104,2,0)/12)*(AW$3-((AW$2-1)*12)))</f>
        <v>0</v>
      </c>
      <c r="AX52" s="11">
        <f>HLOOKUP((AX$2-1)*12,$W$3:$CE$52,ROW()-2,0)*(1+(HLOOKUP(AX$2,'UW Model'!$M$103:$Q$104,2,0)/12)*(AX$3-((AX$2-1)*12)))</f>
        <v>0</v>
      </c>
      <c r="AY52" s="11">
        <f>HLOOKUP((AY$2-1)*12,$W$3:$CE$52,ROW()-2,0)*(1+(HLOOKUP(AY$2,'UW Model'!$M$103:$Q$104,2,0)/12)*(AY$3-((AY$2-1)*12)))</f>
        <v>0</v>
      </c>
      <c r="AZ52" s="11">
        <f>HLOOKUP((AZ$2-1)*12,$W$3:$CE$52,ROW()-2,0)*(1+(HLOOKUP(AZ$2,'UW Model'!$M$103:$Q$104,2,0)/12)*(AZ$3-((AZ$2-1)*12)))</f>
        <v>0</v>
      </c>
      <c r="BA52" s="11">
        <f>HLOOKUP((BA$2-1)*12,$W$3:$CE$52,ROW()-2,0)*(1+(HLOOKUP(BA$2,'UW Model'!$M$103:$Q$104,2,0)/12)*(BA$3-((BA$2-1)*12)))</f>
        <v>0</v>
      </c>
      <c r="BB52" s="11">
        <f>HLOOKUP((BB$2-1)*12,$W$3:$CE$52,ROW()-2,0)*(1+(HLOOKUP(BB$2,'UW Model'!$M$103:$Q$104,2,0)/12)*(BB$3-((BB$2-1)*12)))</f>
        <v>0</v>
      </c>
      <c r="BC52" s="11">
        <f>HLOOKUP((BC$2-1)*12,$W$3:$CE$52,ROW()-2,0)*(1+(HLOOKUP(BC$2,'UW Model'!$M$103:$Q$104,2,0)/12)*(BC$3-((BC$2-1)*12)))</f>
        <v>0</v>
      </c>
      <c r="BD52" s="11">
        <f>HLOOKUP((BD$2-1)*12,$W$3:$CE$52,ROW()-2,0)*(1+(HLOOKUP(BD$2,'UW Model'!$M$103:$Q$104,2,0)/12)*(BD$3-((BD$2-1)*12)))</f>
        <v>0</v>
      </c>
      <c r="BE52" s="11">
        <f>HLOOKUP((BE$2-1)*12,$W$3:$CE$52,ROW()-2,0)*(1+(HLOOKUP(BE$2,'UW Model'!$M$103:$Q$104,2,0)/12)*(BE$3-((BE$2-1)*12)))</f>
        <v>0</v>
      </c>
      <c r="BF52" s="11">
        <f>HLOOKUP((BF$2-1)*12,$W$3:$CE$52,ROW()-2,0)*(1+(HLOOKUP(BF$2,'UW Model'!$M$103:$Q$104,2,0)/12)*(BF$3-((BF$2-1)*12)))</f>
        <v>0</v>
      </c>
      <c r="BG52" s="71">
        <f>HLOOKUP((BG$2-1)*12,$W$3:$CE$52,ROW()-2,0)*(1+(HLOOKUP(BG$2,'UW Model'!$M$103:$Q$104,2,0)/12)*(BG$3-((BG$2-1)*12)))</f>
        <v>0</v>
      </c>
      <c r="BH52" s="11">
        <f>HLOOKUP((BH$2-1)*12,$W$3:$CE$52,ROW()-2,0)*(1+(HLOOKUP(BH$2,'UW Model'!$M$103:$Q$104,2,0)/12)*(BH$3-((BH$2-1)*12)))</f>
        <v>0</v>
      </c>
      <c r="BI52" s="11">
        <f>HLOOKUP((BI$2-1)*12,$W$3:$CE$52,ROW()-2,0)*(1+(HLOOKUP(BI$2,'UW Model'!$M$103:$Q$104,2,0)/12)*(BI$3-((BI$2-1)*12)))</f>
        <v>0</v>
      </c>
      <c r="BJ52" s="11">
        <f>HLOOKUP((BJ$2-1)*12,$W$3:$CE$52,ROW()-2,0)*(1+(HLOOKUP(BJ$2,'UW Model'!$M$103:$Q$104,2,0)/12)*(BJ$3-((BJ$2-1)*12)))</f>
        <v>0</v>
      </c>
      <c r="BK52" s="11">
        <f>HLOOKUP((BK$2-1)*12,$W$3:$CE$52,ROW()-2,0)*(1+(HLOOKUP(BK$2,'UW Model'!$M$103:$Q$104,2,0)/12)*(BK$3-((BK$2-1)*12)))</f>
        <v>0</v>
      </c>
      <c r="BL52" s="11">
        <f>HLOOKUP((BL$2-1)*12,$W$3:$CE$52,ROW()-2,0)*(1+(HLOOKUP(BL$2,'UW Model'!$M$103:$Q$104,2,0)/12)*(BL$3-((BL$2-1)*12)))</f>
        <v>0</v>
      </c>
      <c r="BM52" s="11">
        <f>HLOOKUP((BM$2-1)*12,$W$3:$CE$52,ROW()-2,0)*(1+(HLOOKUP(BM$2,'UW Model'!$M$103:$Q$104,2,0)/12)*(BM$3-((BM$2-1)*12)))</f>
        <v>0</v>
      </c>
      <c r="BN52" s="11">
        <f>HLOOKUP((BN$2-1)*12,$W$3:$CE$52,ROW()-2,0)*(1+(HLOOKUP(BN$2,'UW Model'!$M$103:$Q$104,2,0)/12)*(BN$3-((BN$2-1)*12)))</f>
        <v>0</v>
      </c>
      <c r="BO52" s="11">
        <f>HLOOKUP((BO$2-1)*12,$W$3:$CE$52,ROW()-2,0)*(1+(HLOOKUP(BO$2,'UW Model'!$M$103:$Q$104,2,0)/12)*(BO$3-((BO$2-1)*12)))</f>
        <v>0</v>
      </c>
      <c r="BP52" s="11">
        <f>HLOOKUP((BP$2-1)*12,$W$3:$CE$52,ROW()-2,0)*(1+(HLOOKUP(BP$2,'UW Model'!$M$103:$Q$104,2,0)/12)*(BP$3-((BP$2-1)*12)))</f>
        <v>0</v>
      </c>
      <c r="BQ52" s="11">
        <f>HLOOKUP((BQ$2-1)*12,$W$3:$CE$52,ROW()-2,0)*(1+(HLOOKUP(BQ$2,'UW Model'!$M$103:$Q$104,2,0)/12)*(BQ$3-((BQ$2-1)*12)))</f>
        <v>0</v>
      </c>
      <c r="BR52" s="11">
        <f>HLOOKUP((BR$2-1)*12,$W$3:$CE$52,ROW()-2,0)*(1+(HLOOKUP(BR$2,'UW Model'!$M$103:$Q$104,2,0)/12)*(BR$3-((BR$2-1)*12)))</f>
        <v>0</v>
      </c>
      <c r="BS52" s="71">
        <f>HLOOKUP((BS$2-1)*12,$W$3:$CE$52,ROW()-2,0)*(1+(HLOOKUP(BS$2,'UW Model'!$M$103:$Q$104,2,0)/12)*(BS$3-((BS$2-1)*12)))</f>
        <v>0</v>
      </c>
      <c r="BT52" s="11">
        <f>HLOOKUP((BT$2-1)*12,$W$3:$CE$52,ROW()-2,0)*(1+(HLOOKUP(BT$2,'UW Model'!$M$103:$Q$104,2,0)/12)*(BT$3-((BT$2-1)*12)))</f>
        <v>0</v>
      </c>
      <c r="BU52" s="11">
        <f>HLOOKUP((BU$2-1)*12,$W$3:$CE$52,ROW()-2,0)*(1+(HLOOKUP(BU$2,'UW Model'!$M$103:$Q$104,2,0)/12)*(BU$3-((BU$2-1)*12)))</f>
        <v>0</v>
      </c>
      <c r="BV52" s="11">
        <f>HLOOKUP((BV$2-1)*12,$W$3:$CE$52,ROW()-2,0)*(1+(HLOOKUP(BV$2,'UW Model'!$M$103:$Q$104,2,0)/12)*(BV$3-((BV$2-1)*12)))</f>
        <v>0</v>
      </c>
      <c r="BW52" s="11">
        <f>HLOOKUP((BW$2-1)*12,$W$3:$CE$52,ROW()-2,0)*(1+(HLOOKUP(BW$2,'UW Model'!$M$103:$Q$104,2,0)/12)*(BW$3-((BW$2-1)*12)))</f>
        <v>0</v>
      </c>
      <c r="BX52" s="11">
        <f>HLOOKUP((BX$2-1)*12,$W$3:$CE$52,ROW()-2,0)*(1+(HLOOKUP(BX$2,'UW Model'!$M$103:$Q$104,2,0)/12)*(BX$3-((BX$2-1)*12)))</f>
        <v>0</v>
      </c>
      <c r="BY52" s="11">
        <f>HLOOKUP((BY$2-1)*12,$W$3:$CE$52,ROW()-2,0)*(1+(HLOOKUP(BY$2,'UW Model'!$M$103:$Q$104,2,0)/12)*(BY$3-((BY$2-1)*12)))</f>
        <v>0</v>
      </c>
      <c r="BZ52" s="11">
        <f>HLOOKUP((BZ$2-1)*12,$W$3:$CE$52,ROW()-2,0)*(1+(HLOOKUP(BZ$2,'UW Model'!$M$103:$Q$104,2,0)/12)*(BZ$3-((BZ$2-1)*12)))</f>
        <v>0</v>
      </c>
      <c r="CA52" s="11">
        <f>HLOOKUP((CA$2-1)*12,$W$3:$CE$52,ROW()-2,0)*(1+(HLOOKUP(CA$2,'UW Model'!$M$103:$Q$104,2,0)/12)*(CA$3-((CA$2-1)*12)))</f>
        <v>0</v>
      </c>
      <c r="CB52" s="11">
        <f>HLOOKUP((CB$2-1)*12,$W$3:$CE$52,ROW()-2,0)*(1+(HLOOKUP(CB$2,'UW Model'!$M$103:$Q$104,2,0)/12)*(CB$3-((CB$2-1)*12)))</f>
        <v>0</v>
      </c>
      <c r="CC52" s="11">
        <f>HLOOKUP((CC$2-1)*12,$W$3:$CE$52,ROW()-2,0)*(1+(HLOOKUP(CC$2,'UW Model'!$M$103:$Q$104,2,0)/12)*(CC$3-((CC$2-1)*12)))</f>
        <v>0</v>
      </c>
      <c r="CD52" s="11">
        <f>HLOOKUP((CD$2-1)*12,$W$3:$CE$52,ROW()-2,0)*(1+(HLOOKUP(CD$2,'UW Model'!$M$103:$Q$104,2,0)/12)*(CD$3-((CD$2-1)*12)))</f>
        <v>0</v>
      </c>
      <c r="CE52" s="88">
        <f>HLOOKUP((CE$2-1)*12,$W$3:$CE$52,ROW()-2,0)*(1+(HLOOKUP(CE$2,'UW Model'!$M$103:$Q$104,2,0)/12)*(CE$3-((CE$2-1)*12)))</f>
        <v>0</v>
      </c>
    </row>
    <row r="53" spans="16:83" x14ac:dyDescent="0.35">
      <c r="P53" s="933"/>
      <c r="Q53" s="282" t="s">
        <v>263</v>
      </c>
      <c r="R53" s="208">
        <f t="shared" ref="R53" si="110">SUM(R54:R68)</f>
        <v>0</v>
      </c>
      <c r="S53" s="209">
        <f t="shared" ref="S53" si="111">SUM(S54:S68)</f>
        <v>0</v>
      </c>
      <c r="T53" s="209">
        <f t="shared" ref="T53" si="112">SUM(T54:T68)</f>
        <v>0</v>
      </c>
      <c r="U53" s="209">
        <f>SUM(U54:U68)</f>
        <v>0</v>
      </c>
      <c r="V53" s="210">
        <f>SUM(V54:V68)</f>
        <v>0</v>
      </c>
      <c r="W53" s="208">
        <f t="shared" ref="W53:X53" si="113">SUM(W54:W68)</f>
        <v>0</v>
      </c>
      <c r="X53" s="208">
        <f t="shared" si="113"/>
        <v>0</v>
      </c>
      <c r="Y53" s="209">
        <f t="shared" ref="Y53" si="114">SUM(Y54:Y68)</f>
        <v>0</v>
      </c>
      <c r="Z53" s="209">
        <f>SUM(Z54:Z68)</f>
        <v>0</v>
      </c>
      <c r="AA53" s="209">
        <f t="shared" ref="AA53" si="115">SUM(AA54:AA68)</f>
        <v>0</v>
      </c>
      <c r="AB53" s="209">
        <f>SUM(AB54:AB68)</f>
        <v>0</v>
      </c>
      <c r="AC53" s="209">
        <f t="shared" ref="AC53" si="116">SUM(AC54:AC68)</f>
        <v>0</v>
      </c>
      <c r="AD53" s="209">
        <f t="shared" ref="AD53" si="117">SUM(AD54:AD68)</f>
        <v>0</v>
      </c>
      <c r="AE53" s="209">
        <f t="shared" ref="AE53" si="118">SUM(AE54:AE68)</f>
        <v>0</v>
      </c>
      <c r="AF53" s="209">
        <f t="shared" ref="AF53" si="119">SUM(AF54:AF68)</f>
        <v>0</v>
      </c>
      <c r="AG53" s="209">
        <f t="shared" ref="AG53" si="120">SUM(AG54:AG68)</f>
        <v>0</v>
      </c>
      <c r="AH53" s="209">
        <f t="shared" ref="AH53" si="121">SUM(AH54:AH68)</f>
        <v>0</v>
      </c>
      <c r="AI53" s="210">
        <f t="shared" ref="AI53" si="122">SUM(AI54:AI68)</f>
        <v>0</v>
      </c>
      <c r="AJ53" s="208">
        <f t="shared" ref="AJ53" si="123">SUM(AJ54:AJ68)</f>
        <v>0</v>
      </c>
      <c r="AK53" s="209">
        <f t="shared" ref="AK53" si="124">SUM(AK54:AK68)</f>
        <v>0</v>
      </c>
      <c r="AL53" s="209">
        <f t="shared" ref="AL53" si="125">SUM(AL54:AL68)</f>
        <v>0</v>
      </c>
      <c r="AM53" s="209">
        <f t="shared" ref="AM53" si="126">SUM(AM54:AM68)</f>
        <v>0</v>
      </c>
      <c r="AN53" s="209">
        <f t="shared" ref="AN53" si="127">SUM(AN54:AN68)</f>
        <v>0</v>
      </c>
      <c r="AO53" s="209">
        <f t="shared" ref="AO53" si="128">SUM(AO54:AO68)</f>
        <v>0</v>
      </c>
      <c r="AP53" s="209">
        <f t="shared" ref="AP53" si="129">SUM(AP54:AP68)</f>
        <v>0</v>
      </c>
      <c r="AQ53" s="209">
        <f t="shared" ref="AQ53" si="130">SUM(AQ54:AQ68)</f>
        <v>0</v>
      </c>
      <c r="AR53" s="209">
        <f t="shared" ref="AR53" si="131">SUM(AR54:AR68)</f>
        <v>0</v>
      </c>
      <c r="AS53" s="209">
        <f t="shared" ref="AS53" si="132">SUM(AS54:AS68)</f>
        <v>0</v>
      </c>
      <c r="AT53" s="209">
        <f t="shared" ref="AT53" si="133">SUM(AT54:AT68)</f>
        <v>0</v>
      </c>
      <c r="AU53" s="210">
        <f t="shared" ref="AU53" si="134">SUM(AU54:AU68)</f>
        <v>0</v>
      </c>
      <c r="AV53" s="208">
        <f t="shared" ref="AV53" si="135">SUM(AV54:AV68)</f>
        <v>0</v>
      </c>
      <c r="AW53" s="209">
        <f t="shared" ref="AW53" si="136">SUM(AW54:AW68)</f>
        <v>0</v>
      </c>
      <c r="AX53" s="209">
        <f t="shared" ref="AX53" si="137">SUM(AX54:AX68)</f>
        <v>0</v>
      </c>
      <c r="AY53" s="209">
        <f t="shared" ref="AY53" si="138">SUM(AY54:AY68)</f>
        <v>0</v>
      </c>
      <c r="AZ53" s="209">
        <f t="shared" ref="AZ53" si="139">SUM(AZ54:AZ68)</f>
        <v>0</v>
      </c>
      <c r="BA53" s="209">
        <f t="shared" ref="BA53" si="140">SUM(BA54:BA68)</f>
        <v>0</v>
      </c>
      <c r="BB53" s="209">
        <f t="shared" ref="BB53" si="141">SUM(BB54:BB68)</f>
        <v>0</v>
      </c>
      <c r="BC53" s="209">
        <f t="shared" ref="BC53" si="142">SUM(BC54:BC68)</f>
        <v>0</v>
      </c>
      <c r="BD53" s="209">
        <f t="shared" ref="BD53" si="143">SUM(BD54:BD68)</f>
        <v>0</v>
      </c>
      <c r="BE53" s="209">
        <f t="shared" ref="BE53" si="144">SUM(BE54:BE68)</f>
        <v>0</v>
      </c>
      <c r="BF53" s="209">
        <f t="shared" ref="BF53" si="145">SUM(BF54:BF68)</f>
        <v>0</v>
      </c>
      <c r="BG53" s="210">
        <f t="shared" ref="BG53" si="146">SUM(BG54:BG68)</f>
        <v>0</v>
      </c>
      <c r="BH53" s="209">
        <f t="shared" ref="BH53" si="147">SUM(BH54:BH68)</f>
        <v>0</v>
      </c>
      <c r="BI53" s="209">
        <f t="shared" ref="BI53" si="148">SUM(BI54:BI68)</f>
        <v>0</v>
      </c>
      <c r="BJ53" s="209">
        <f t="shared" ref="BJ53" si="149">SUM(BJ54:BJ68)</f>
        <v>0</v>
      </c>
      <c r="BK53" s="209">
        <f t="shared" ref="BK53" si="150">SUM(BK54:BK68)</f>
        <v>0</v>
      </c>
      <c r="BL53" s="209">
        <f t="shared" ref="BL53" si="151">SUM(BL54:BL68)</f>
        <v>0</v>
      </c>
      <c r="BM53" s="209">
        <f t="shared" ref="BM53" si="152">SUM(BM54:BM68)</f>
        <v>0</v>
      </c>
      <c r="BN53" s="209">
        <f t="shared" ref="BN53" si="153">SUM(BN54:BN68)</f>
        <v>0</v>
      </c>
      <c r="BO53" s="209">
        <f t="shared" ref="BO53" si="154">SUM(BO54:BO68)</f>
        <v>0</v>
      </c>
      <c r="BP53" s="209">
        <f t="shared" ref="BP53" si="155">SUM(BP54:BP68)</f>
        <v>0</v>
      </c>
      <c r="BQ53" s="209">
        <f t="shared" ref="BQ53" si="156">SUM(BQ54:BQ68)</f>
        <v>0</v>
      </c>
      <c r="BR53" s="209">
        <f t="shared" ref="BR53" si="157">SUM(BR54:BR68)</f>
        <v>0</v>
      </c>
      <c r="BS53" s="210">
        <f t="shared" ref="BS53:CD53" si="158">SUM(BS54:BS68)</f>
        <v>0</v>
      </c>
      <c r="BT53" s="209">
        <f t="shared" si="158"/>
        <v>0</v>
      </c>
      <c r="BU53" s="209">
        <f t="shared" si="158"/>
        <v>0</v>
      </c>
      <c r="BV53" s="209">
        <f t="shared" si="158"/>
        <v>0</v>
      </c>
      <c r="BW53" s="209">
        <f t="shared" si="158"/>
        <v>0</v>
      </c>
      <c r="BX53" s="209">
        <f t="shared" si="158"/>
        <v>0</v>
      </c>
      <c r="BY53" s="209">
        <f t="shared" si="158"/>
        <v>0</v>
      </c>
      <c r="BZ53" s="209">
        <f t="shared" si="158"/>
        <v>0</v>
      </c>
      <c r="CA53" s="209">
        <f t="shared" si="158"/>
        <v>0</v>
      </c>
      <c r="CB53" s="209">
        <f t="shared" si="158"/>
        <v>0</v>
      </c>
      <c r="CC53" s="209">
        <f t="shared" si="158"/>
        <v>0</v>
      </c>
      <c r="CD53" s="209">
        <f t="shared" si="158"/>
        <v>0</v>
      </c>
      <c r="CE53" s="211">
        <f t="shared" ref="CE53" si="159">SUM(CE54:CE68)</f>
        <v>0</v>
      </c>
    </row>
    <row r="54" spans="16:83" x14ac:dyDescent="0.35">
      <c r="P54" s="933"/>
      <c r="Q54" s="194" t="str">
        <f>$Q$6</f>
        <v/>
      </c>
      <c r="R54" s="199">
        <f t="shared" ref="R54:V68" si="160">SUMIF($X$2:$CE$2,R$2,$X54:$CE54)</f>
        <v>0</v>
      </c>
      <c r="S54" s="121">
        <f t="shared" si="160"/>
        <v>0</v>
      </c>
      <c r="T54" s="121">
        <f t="shared" si="160"/>
        <v>0</v>
      </c>
      <c r="U54" s="121">
        <f t="shared" si="160"/>
        <v>0</v>
      </c>
      <c r="V54" s="200">
        <f t="shared" ref="V54" si="161">SUMIF($X$2:$CE$2,V$2,$X54:$CE54)</f>
        <v>0</v>
      </c>
      <c r="W54" s="695">
        <f t="shared" ref="W54:W68" si="162">IF(OR(W$1="Reno Start", W$1="Reno End"),Y6-X6,IF(W$1="Rolling",Y6-W6,0))*W118</f>
        <v>0</v>
      </c>
      <c r="X54" s="9">
        <f t="shared" ref="X54:X68" si="163">IF(OR(X$1="Reno Start", X$1="Reno End"),Z6-Y6,IF(X$1="Rolling",Z6-X6,0))*X118</f>
        <v>0</v>
      </c>
      <c r="Y54" s="72">
        <f t="shared" ref="Y54:Y68" si="164">IF(OR(Y$1="Reno Start", Y$1="Reno End"),AA6-Z6,IF(Y$1="Rolling",AA6-Y6,0))*Y118</f>
        <v>0</v>
      </c>
      <c r="Z54" s="338">
        <f t="shared" ref="Z54:Z68" si="165">IF(OR(Z$1="Reno Start", Z$1="Reno End"),AB6-AA6,IF(Z$1="Rolling",AB6-Z6,0))*Z118</f>
        <v>0</v>
      </c>
      <c r="AA54" s="338">
        <f t="shared" ref="AA54:AA68" si="166">IF(OR(AA$1="Reno Start", AA$1="Reno End"),AC6-AB6,IF(AA$1="Rolling",AC6-AA6,0))*AA118</f>
        <v>0</v>
      </c>
      <c r="AB54" s="338">
        <f t="shared" ref="AB54:AB68" si="167">IF(OR(AB$1="Reno Start", AB$1="Reno End"),AD6-AC6,IF(AB$1="Rolling",AD6-AB6,0))*AB118</f>
        <v>0</v>
      </c>
      <c r="AC54" s="338">
        <f t="shared" ref="AC54:AC68" si="168">IF(OR(AC$1="Reno Start", AC$1="Reno End"),AE6-AD6,IF(AC$1="Rolling",AE6-AC6,0))*AC118</f>
        <v>0</v>
      </c>
      <c r="AD54" s="338">
        <f t="shared" ref="AD54:AD68" si="169">IF(OR(AD$1="Reno Start", AD$1="Reno End"),AF6-AE6,IF(AD$1="Rolling",AF6-AD6,0))*AD118</f>
        <v>0</v>
      </c>
      <c r="AE54" s="11">
        <f t="shared" ref="AE54:AE68" si="170">IF(OR(AE$1="Reno Start", AE$1="Reno End"),AG6-AF6,IF(AE$1="Rolling",AG6-AE6,0))*AE118</f>
        <v>0</v>
      </c>
      <c r="AF54" s="11">
        <f t="shared" ref="AF54:AF68" si="171">IF(OR(AF$1="Reno Start", AF$1="Reno End"),AH6-AG6,IF(AF$1="Rolling",AH6-AF6,0))*AF118</f>
        <v>0</v>
      </c>
      <c r="AG54" s="11">
        <f t="shared" ref="AG54:AG68" si="172">IF(OR(AG$1="Reno Start", AG$1="Reno End"),AI6-AH6,IF(AG$1="Rolling",AI6-AG6,0))*AG118</f>
        <v>0</v>
      </c>
      <c r="AH54" s="11">
        <f t="shared" ref="AH54:AH68" si="173">IF(OR(AH$1="Reno Start", AH$1="Reno End"),AJ6-AI6,IF(AH$1="Rolling",AJ6-AH6,0))*AH118</f>
        <v>0</v>
      </c>
      <c r="AI54" s="71">
        <f t="shared" ref="AI54:AI68" si="174">IF(OR(AI$1="Reno Start", AI$1="Reno End"),AK6-AJ6,IF(AI$1="Rolling",AK6-AI6,0))*AI118</f>
        <v>0</v>
      </c>
      <c r="AJ54" s="201">
        <f t="shared" ref="AJ54:AJ68" si="175">IF(OR(AJ$1="Reno Start", AJ$1="Reno End"),AL6-AK6,IF(AJ$1="Rolling",AL6-AJ6,0))*AJ118</f>
        <v>0</v>
      </c>
      <c r="AK54" s="11">
        <f t="shared" ref="AK54:AK68" si="176">IF(OR(AK$1="Reno Start", AK$1="Reno End"),AM6-AL6,IF(AK$1="Rolling",AM6-AK6,0))*AK118</f>
        <v>0</v>
      </c>
      <c r="AL54" s="11">
        <f t="shared" ref="AL54:AL68" si="177">IF(OR(AL$1="Reno Start", AL$1="Reno End"),AN6-AM6,IF(AL$1="Rolling",AN6-AL6,0))*AL118</f>
        <v>0</v>
      </c>
      <c r="AM54" s="11">
        <f t="shared" ref="AM54:AM68" si="178">IF(OR(AM$1="Reno Start", AM$1="Reno End"),AO6-AN6,IF(AM$1="Rolling",AO6-AM6,0))*AM118</f>
        <v>0</v>
      </c>
      <c r="AN54" s="11">
        <f t="shared" ref="AN54:AN68" si="179">IF(OR(AN$1="Reno Start", AN$1="Reno End"),AP6-AO6,IF(AN$1="Rolling",AP6-AN6,0))*AN118</f>
        <v>0</v>
      </c>
      <c r="AO54" s="11">
        <f t="shared" ref="AO54:AO68" si="180">IF(OR(AO$1="Reno Start", AO$1="Reno End"),AQ6-AP6,IF(AO$1="Rolling",AQ6-AO6,0))*AO118</f>
        <v>0</v>
      </c>
      <c r="AP54" s="11">
        <f t="shared" ref="AP54:AP68" si="181">IF(OR(AP$1="Reno Start", AP$1="Reno End"),AR6-AQ6,IF(AP$1="Rolling",AR6-AP6,0))*AP118</f>
        <v>0</v>
      </c>
      <c r="AQ54" s="11">
        <f t="shared" ref="AQ54:AQ68" si="182">IF(OR(AQ$1="Reno Start", AQ$1="Reno End"),AS6-AR6,IF(AQ$1="Rolling",AS6-AQ6,0))*AQ118</f>
        <v>0</v>
      </c>
      <c r="AR54" s="11">
        <f t="shared" ref="AR54:AR68" si="183">IF(OR(AR$1="Reno Start", AR$1="Reno End"),AT6-AS6,IF(AR$1="Rolling",AT6-AR6,0))*AR118</f>
        <v>0</v>
      </c>
      <c r="AS54" s="11">
        <f t="shared" ref="AS54:AS68" si="184">IF(OR(AS$1="Reno Start", AS$1="Reno End"),AU6-AT6,IF(AS$1="Rolling",AU6-AS6,0))*AS118</f>
        <v>0</v>
      </c>
      <c r="AT54" s="11">
        <f t="shared" ref="AT54:AT68" si="185">IF(OR(AT$1="Reno Start", AT$1="Reno End"),AV6-AU6,IF(AT$1="Rolling",AV6-AT6,0))*AT118</f>
        <v>0</v>
      </c>
      <c r="AU54" s="71">
        <f t="shared" ref="AU54:AU68" si="186">IF(OR(AU$1="Reno Start", AU$1="Reno End"),AW6-AV6,IF(AU$1="Rolling",AW6-AU6,0))*AU118</f>
        <v>0</v>
      </c>
      <c r="AV54" s="11">
        <f t="shared" ref="AV54:AV68" si="187">IF(OR(AV$1="Reno Start", AV$1="Reno End"),AX6-AW6,IF(AV$1="Rolling",AX6-AV6,0))*AV118</f>
        <v>0</v>
      </c>
      <c r="AW54" s="11">
        <f t="shared" ref="AW54:AW68" si="188">IF(OR(AW$1="Reno Start", AW$1="Reno End"),AY6-AX6,IF(AW$1="Rolling",AY6-AW6,0))*AW118</f>
        <v>0</v>
      </c>
      <c r="AX54" s="11">
        <f t="shared" ref="AX54:AX68" si="189">IF(OR(AX$1="Reno Start", AX$1="Reno End"),AZ6-AY6,IF(AX$1="Rolling",AZ6-AX6,0))*AX118</f>
        <v>0</v>
      </c>
      <c r="AY54" s="11">
        <f t="shared" ref="AY54:AY68" si="190">IF(OR(AY$1="Reno Start", AY$1="Reno End"),BA6-AZ6,IF(AY$1="Rolling",BA6-AY6,0))*AY118</f>
        <v>0</v>
      </c>
      <c r="AZ54" s="11">
        <f t="shared" ref="AZ54:AZ68" si="191">IF(OR(AZ$1="Reno Start", AZ$1="Reno End"),BB6-BA6,IF(AZ$1="Rolling",BB6-AZ6,0))*AZ118</f>
        <v>0</v>
      </c>
      <c r="BA54" s="11">
        <f t="shared" ref="BA54:BA68" si="192">IF(OR(BA$1="Reno Start", BA$1="Reno End"),BC6-BB6,IF(BA$1="Rolling",BC6-BA6,0))*BA118</f>
        <v>0</v>
      </c>
      <c r="BB54" s="11">
        <f t="shared" ref="BB54:BB68" si="193">IF(OR(BB$1="Reno Start", BB$1="Reno End"),BD6-BC6,IF(BB$1="Rolling",BD6-BB6,0))*BB118</f>
        <v>0</v>
      </c>
      <c r="BC54" s="11">
        <f t="shared" ref="BC54:BC68" si="194">IF(OR(BC$1="Reno Start", BC$1="Reno End"),BE6-BD6,IF(BC$1="Rolling",BE6-BC6,0))*BC118</f>
        <v>0</v>
      </c>
      <c r="BD54" s="11">
        <f t="shared" ref="BD54:BD68" si="195">IF(OR(BD$1="Reno Start", BD$1="Reno End"),BF6-BE6,IF(BD$1="Rolling",BF6-BD6,0))*BD118</f>
        <v>0</v>
      </c>
      <c r="BE54" s="11">
        <f t="shared" ref="BE54:BE68" si="196">IF(OR(BE$1="Reno Start", BE$1="Reno End"),BG6-BF6,IF(BE$1="Rolling",BG6-BE6,0))*BE118</f>
        <v>0</v>
      </c>
      <c r="BF54" s="11">
        <f t="shared" ref="BF54:BF68" si="197">IF(OR(BF$1="Reno Start", BF$1="Reno End"),BH6-BG6,IF(BF$1="Rolling",BH6-BF6,0))*BF118</f>
        <v>0</v>
      </c>
      <c r="BG54" s="71">
        <f t="shared" ref="BG54:BG68" si="198">IF(OR(BG$1="Reno Start", BG$1="Reno End"),BI6-BH6,IF(BG$1="Rolling",BI6-BG6,0))*BG118</f>
        <v>0</v>
      </c>
      <c r="BH54" s="11">
        <f t="shared" ref="BH54:BH68" si="199">IF(OR(BH$1="Reno Start", BH$1="Reno End"),BJ6-BI6,IF(BH$1="Rolling",BJ6-BH6,0))*BH118</f>
        <v>0</v>
      </c>
      <c r="BI54" s="11">
        <f t="shared" ref="BI54:BI68" si="200">IF(OR(BI$1="Reno Start", BI$1="Reno End"),BK6-BJ6,IF(BI$1="Rolling",BK6-BI6,0))*BI118</f>
        <v>0</v>
      </c>
      <c r="BJ54" s="11">
        <f t="shared" ref="BJ54:BJ68" si="201">IF(OR(BJ$1="Reno Start", BJ$1="Reno End"),BL6-BK6,IF(BJ$1="Rolling",BL6-BJ6,0))*BJ118</f>
        <v>0</v>
      </c>
      <c r="BK54" s="11">
        <f t="shared" ref="BK54:BK68" si="202">IF(OR(BK$1="Reno Start", BK$1="Reno End"),BM6-BL6,IF(BK$1="Rolling",BM6-BK6,0))*BK118</f>
        <v>0</v>
      </c>
      <c r="BL54" s="11">
        <f t="shared" ref="BL54:BL68" si="203">IF(OR(BL$1="Reno Start", BL$1="Reno End"),BN6-BM6,IF(BL$1="Rolling",BN6-BL6,0))*BL118</f>
        <v>0</v>
      </c>
      <c r="BM54" s="11">
        <f t="shared" ref="BM54:BM68" si="204">IF(OR(BM$1="Reno Start", BM$1="Reno End"),BO6-BN6,IF(BM$1="Rolling",BO6-BM6,0))*BM118</f>
        <v>0</v>
      </c>
      <c r="BN54" s="11">
        <f t="shared" ref="BN54:BN68" si="205">IF(OR(BN$1="Reno Start", BN$1="Reno End"),BP6-BO6,IF(BN$1="Rolling",BP6-BN6,0))*BN118</f>
        <v>0</v>
      </c>
      <c r="BO54" s="11">
        <f t="shared" ref="BO54:BO68" si="206">IF(OR(BO$1="Reno Start", BO$1="Reno End"),BQ6-BP6,IF(BO$1="Rolling",BQ6-BO6,0))*BO118</f>
        <v>0</v>
      </c>
      <c r="BP54" s="11">
        <f t="shared" ref="BP54:BP68" si="207">IF(OR(BP$1="Reno Start", BP$1="Reno End"),BR6-BQ6,IF(BP$1="Rolling",BR6-BP6,0))*BP118</f>
        <v>0</v>
      </c>
      <c r="BQ54" s="11">
        <f t="shared" ref="BQ54:BQ68" si="208">IF(OR(BQ$1="Reno Start", BQ$1="Reno End"),BS6-BR6,IF(BQ$1="Rolling",BS6-BQ6,0))*BQ118</f>
        <v>0</v>
      </c>
      <c r="BR54" s="11">
        <f t="shared" ref="BR54:BR68" si="209">IF(OR(BR$1="Reno Start", BR$1="Reno End"),BT6-BS6,IF(BR$1="Rolling",BT6-BR6,0))*BR118</f>
        <v>0</v>
      </c>
      <c r="BS54" s="71">
        <f t="shared" ref="BS54:BS68" si="210">IF(OR(BS$1="Reno Start", BS$1="Reno End"),BU6-BT6,IF(BS$1="Rolling",BU6-BS6,0))*BS118</f>
        <v>0</v>
      </c>
      <c r="BT54" s="11">
        <f t="shared" ref="BT54:BT68" si="211">IF(OR(BT$1="Reno Start", BT$1="Reno End"),BV6-BU6,IF(BT$1="Rolling",BV6-BT6,0))*BT118</f>
        <v>0</v>
      </c>
      <c r="BU54" s="11">
        <f t="shared" ref="BU54:BU68" si="212">IF(OR(BU$1="Reno Start", BU$1="Reno End"),BW6-BV6,IF(BU$1="Rolling",BW6-BU6,0))*BU118</f>
        <v>0</v>
      </c>
      <c r="BV54" s="11">
        <f t="shared" ref="BV54:BV68" si="213">IF(OR(BV$1="Reno Start", BV$1="Reno End"),BX6-BW6,IF(BV$1="Rolling",BX6-BV6,0))*BV118</f>
        <v>0</v>
      </c>
      <c r="BW54" s="11">
        <f t="shared" ref="BW54:BW68" si="214">IF(OR(BW$1="Reno Start", BW$1="Reno End"),BY6-BX6,IF(BW$1="Rolling",BY6-BW6,0))*BW118</f>
        <v>0</v>
      </c>
      <c r="BX54" s="11">
        <f t="shared" ref="BX54:BX68" si="215">IF(OR(BX$1="Reno Start", BX$1="Reno End"),BZ6-BY6,IF(BX$1="Rolling",BZ6-BX6,0))*BX118</f>
        <v>0</v>
      </c>
      <c r="BY54" s="11">
        <f t="shared" ref="BY54:BY68" si="216">IF(OR(BY$1="Reno Start", BY$1="Reno End"),CA6-BZ6,IF(BY$1="Rolling",CA6-BY6,0))*BY118</f>
        <v>0</v>
      </c>
      <c r="BZ54" s="11">
        <f t="shared" ref="BZ54:BZ68" si="217">IF(OR(BZ$1="Reno Start", BZ$1="Reno End"),CB6-CA6,IF(BZ$1="Rolling",CB6-BZ6,0))*BZ118</f>
        <v>0</v>
      </c>
      <c r="CA54" s="11">
        <f t="shared" ref="CA54:CA68" si="218">IF(OR(CA$1="Reno Start", CA$1="Reno End"),CC6-CB6,IF(CA$1="Rolling",CC6-CA6,0))*CA118</f>
        <v>0</v>
      </c>
      <c r="CB54" s="11">
        <f t="shared" ref="CB54:CB68" si="219">IF(OR(CB$1="Reno Start", CB$1="Reno End"),CD6-CC6,IF(CB$1="Rolling",CD6-CB6,0))*CB118</f>
        <v>0</v>
      </c>
      <c r="CC54" s="11">
        <f t="shared" ref="CC54:CC68" si="220">IF(OR(CC$1="Reno Start", CC$1="Reno End"),CE6-CD6,IF(CC$1="Rolling",CE6-CC6,0))*CC118</f>
        <v>0</v>
      </c>
      <c r="CD54" s="11">
        <f t="shared" ref="CD54:CD68" si="221">IF(OR(CD$1="Reno Start", CD$1="Reno End"),CF6-CE6,IF(CD$1="Rolling",CF6-CD6,0))*CD118</f>
        <v>0</v>
      </c>
      <c r="CE54" s="88">
        <f t="shared" ref="CE54:CE68" si="222">IF(OR(CE$1="Reno Start", CE$1="Reno End"),CG6-CF6,IF(CE$1="Rolling",CG6-CE6,0))*CE118</f>
        <v>0</v>
      </c>
    </row>
    <row r="55" spans="16:83" x14ac:dyDescent="0.35">
      <c r="P55" s="933"/>
      <c r="Q55" s="194" t="str">
        <f>$Q$7</f>
        <v/>
      </c>
      <c r="R55" s="199">
        <f t="shared" si="160"/>
        <v>0</v>
      </c>
      <c r="S55" s="121">
        <f t="shared" si="160"/>
        <v>0</v>
      </c>
      <c r="T55" s="121">
        <f t="shared" si="160"/>
        <v>0</v>
      </c>
      <c r="U55" s="121">
        <f t="shared" si="160"/>
        <v>0</v>
      </c>
      <c r="V55" s="200">
        <f t="shared" si="160"/>
        <v>0</v>
      </c>
      <c r="W55" s="696">
        <f t="shared" si="162"/>
        <v>0</v>
      </c>
      <c r="X55" s="9">
        <f t="shared" si="163"/>
        <v>0</v>
      </c>
      <c r="Y55" s="72">
        <f t="shared" si="164"/>
        <v>0</v>
      </c>
      <c r="Z55" s="338">
        <f t="shared" si="165"/>
        <v>0</v>
      </c>
      <c r="AA55" s="338">
        <f t="shared" si="166"/>
        <v>0</v>
      </c>
      <c r="AB55" s="338">
        <f t="shared" si="167"/>
        <v>0</v>
      </c>
      <c r="AC55" s="338">
        <f t="shared" si="168"/>
        <v>0</v>
      </c>
      <c r="AD55" s="338">
        <f t="shared" si="169"/>
        <v>0</v>
      </c>
      <c r="AE55" s="11">
        <f t="shared" si="170"/>
        <v>0</v>
      </c>
      <c r="AF55" s="11">
        <f t="shared" si="171"/>
        <v>0</v>
      </c>
      <c r="AG55" s="11">
        <f t="shared" si="172"/>
        <v>0</v>
      </c>
      <c r="AH55" s="11">
        <f t="shared" si="173"/>
        <v>0</v>
      </c>
      <c r="AI55" s="71">
        <f t="shared" si="174"/>
        <v>0</v>
      </c>
      <c r="AJ55" s="201">
        <f t="shared" si="175"/>
        <v>0</v>
      </c>
      <c r="AK55" s="11">
        <f t="shared" si="176"/>
        <v>0</v>
      </c>
      <c r="AL55" s="11">
        <f t="shared" si="177"/>
        <v>0</v>
      </c>
      <c r="AM55" s="11">
        <f t="shared" si="178"/>
        <v>0</v>
      </c>
      <c r="AN55" s="11">
        <f t="shared" si="179"/>
        <v>0</v>
      </c>
      <c r="AO55" s="11">
        <f t="shared" si="180"/>
        <v>0</v>
      </c>
      <c r="AP55" s="11">
        <f t="shared" si="181"/>
        <v>0</v>
      </c>
      <c r="AQ55" s="11">
        <f t="shared" si="182"/>
        <v>0</v>
      </c>
      <c r="AR55" s="11">
        <f t="shared" si="183"/>
        <v>0</v>
      </c>
      <c r="AS55" s="11">
        <f t="shared" si="184"/>
        <v>0</v>
      </c>
      <c r="AT55" s="11">
        <f t="shared" si="185"/>
        <v>0</v>
      </c>
      <c r="AU55" s="71">
        <f t="shared" si="186"/>
        <v>0</v>
      </c>
      <c r="AV55" s="11">
        <f t="shared" si="187"/>
        <v>0</v>
      </c>
      <c r="AW55" s="11">
        <f t="shared" si="188"/>
        <v>0</v>
      </c>
      <c r="AX55" s="11">
        <f t="shared" si="189"/>
        <v>0</v>
      </c>
      <c r="AY55" s="11">
        <f t="shared" si="190"/>
        <v>0</v>
      </c>
      <c r="AZ55" s="11">
        <f t="shared" si="191"/>
        <v>0</v>
      </c>
      <c r="BA55" s="11">
        <f t="shared" si="192"/>
        <v>0</v>
      </c>
      <c r="BB55" s="11">
        <f t="shared" si="193"/>
        <v>0</v>
      </c>
      <c r="BC55" s="11">
        <f t="shared" si="194"/>
        <v>0</v>
      </c>
      <c r="BD55" s="11">
        <f t="shared" si="195"/>
        <v>0</v>
      </c>
      <c r="BE55" s="11">
        <f t="shared" si="196"/>
        <v>0</v>
      </c>
      <c r="BF55" s="11">
        <f t="shared" si="197"/>
        <v>0</v>
      </c>
      <c r="BG55" s="71">
        <f t="shared" si="198"/>
        <v>0</v>
      </c>
      <c r="BH55" s="11">
        <f t="shared" si="199"/>
        <v>0</v>
      </c>
      <c r="BI55" s="11">
        <f t="shared" si="200"/>
        <v>0</v>
      </c>
      <c r="BJ55" s="11">
        <f t="shared" si="201"/>
        <v>0</v>
      </c>
      <c r="BK55" s="11">
        <f t="shared" si="202"/>
        <v>0</v>
      </c>
      <c r="BL55" s="11">
        <f t="shared" si="203"/>
        <v>0</v>
      </c>
      <c r="BM55" s="11">
        <f t="shared" si="204"/>
        <v>0</v>
      </c>
      <c r="BN55" s="11">
        <f t="shared" si="205"/>
        <v>0</v>
      </c>
      <c r="BO55" s="11">
        <f t="shared" si="206"/>
        <v>0</v>
      </c>
      <c r="BP55" s="11">
        <f t="shared" si="207"/>
        <v>0</v>
      </c>
      <c r="BQ55" s="11">
        <f t="shared" si="208"/>
        <v>0</v>
      </c>
      <c r="BR55" s="11">
        <f t="shared" si="209"/>
        <v>0</v>
      </c>
      <c r="BS55" s="71">
        <f t="shared" si="210"/>
        <v>0</v>
      </c>
      <c r="BT55" s="11">
        <f t="shared" si="211"/>
        <v>0</v>
      </c>
      <c r="BU55" s="11">
        <f t="shared" si="212"/>
        <v>0</v>
      </c>
      <c r="BV55" s="11">
        <f t="shared" si="213"/>
        <v>0</v>
      </c>
      <c r="BW55" s="11">
        <f t="shared" si="214"/>
        <v>0</v>
      </c>
      <c r="BX55" s="11">
        <f t="shared" si="215"/>
        <v>0</v>
      </c>
      <c r="BY55" s="11">
        <f t="shared" si="216"/>
        <v>0</v>
      </c>
      <c r="BZ55" s="11">
        <f t="shared" si="217"/>
        <v>0</v>
      </c>
      <c r="CA55" s="11">
        <f t="shared" si="218"/>
        <v>0</v>
      </c>
      <c r="CB55" s="11">
        <f t="shared" si="219"/>
        <v>0</v>
      </c>
      <c r="CC55" s="11">
        <f t="shared" si="220"/>
        <v>0</v>
      </c>
      <c r="CD55" s="11">
        <f t="shared" si="221"/>
        <v>0</v>
      </c>
      <c r="CE55" s="88">
        <f t="shared" si="222"/>
        <v>0</v>
      </c>
    </row>
    <row r="56" spans="16:83" x14ac:dyDescent="0.35">
      <c r="P56" s="933"/>
      <c r="Q56" s="194" t="str">
        <f>$Q$8</f>
        <v/>
      </c>
      <c r="R56" s="199">
        <f t="shared" si="160"/>
        <v>0</v>
      </c>
      <c r="S56" s="121">
        <f t="shared" si="160"/>
        <v>0</v>
      </c>
      <c r="T56" s="121">
        <f t="shared" si="160"/>
        <v>0</v>
      </c>
      <c r="U56" s="121">
        <f t="shared" si="160"/>
        <v>0</v>
      </c>
      <c r="V56" s="200">
        <f t="shared" si="160"/>
        <v>0</v>
      </c>
      <c r="W56" s="696">
        <f t="shared" si="162"/>
        <v>0</v>
      </c>
      <c r="X56" s="9">
        <f t="shared" si="163"/>
        <v>0</v>
      </c>
      <c r="Y56" s="72">
        <f t="shared" si="164"/>
        <v>0</v>
      </c>
      <c r="Z56" s="338">
        <f t="shared" si="165"/>
        <v>0</v>
      </c>
      <c r="AA56" s="338">
        <f t="shared" si="166"/>
        <v>0</v>
      </c>
      <c r="AB56" s="338">
        <f t="shared" si="167"/>
        <v>0</v>
      </c>
      <c r="AC56" s="338">
        <f t="shared" si="168"/>
        <v>0</v>
      </c>
      <c r="AD56" s="338">
        <f t="shared" si="169"/>
        <v>0</v>
      </c>
      <c r="AE56" s="11">
        <f t="shared" si="170"/>
        <v>0</v>
      </c>
      <c r="AF56" s="11">
        <f t="shared" si="171"/>
        <v>0</v>
      </c>
      <c r="AG56" s="11">
        <f t="shared" si="172"/>
        <v>0</v>
      </c>
      <c r="AH56" s="11">
        <f t="shared" si="173"/>
        <v>0</v>
      </c>
      <c r="AI56" s="71">
        <f t="shared" si="174"/>
        <v>0</v>
      </c>
      <c r="AJ56" s="201">
        <f t="shared" si="175"/>
        <v>0</v>
      </c>
      <c r="AK56" s="11">
        <f t="shared" si="176"/>
        <v>0</v>
      </c>
      <c r="AL56" s="11">
        <f t="shared" si="177"/>
        <v>0</v>
      </c>
      <c r="AM56" s="11">
        <f t="shared" si="178"/>
        <v>0</v>
      </c>
      <c r="AN56" s="11">
        <f t="shared" si="179"/>
        <v>0</v>
      </c>
      <c r="AO56" s="11">
        <f t="shared" si="180"/>
        <v>0</v>
      </c>
      <c r="AP56" s="11">
        <f t="shared" si="181"/>
        <v>0</v>
      </c>
      <c r="AQ56" s="11">
        <f t="shared" si="182"/>
        <v>0</v>
      </c>
      <c r="AR56" s="11">
        <f t="shared" si="183"/>
        <v>0</v>
      </c>
      <c r="AS56" s="11">
        <f t="shared" si="184"/>
        <v>0</v>
      </c>
      <c r="AT56" s="11">
        <f t="shared" si="185"/>
        <v>0</v>
      </c>
      <c r="AU56" s="71">
        <f t="shared" si="186"/>
        <v>0</v>
      </c>
      <c r="AV56" s="11">
        <f t="shared" si="187"/>
        <v>0</v>
      </c>
      <c r="AW56" s="11">
        <f t="shared" si="188"/>
        <v>0</v>
      </c>
      <c r="AX56" s="11">
        <f t="shared" si="189"/>
        <v>0</v>
      </c>
      <c r="AY56" s="11">
        <f t="shared" si="190"/>
        <v>0</v>
      </c>
      <c r="AZ56" s="11">
        <f t="shared" si="191"/>
        <v>0</v>
      </c>
      <c r="BA56" s="11">
        <f t="shared" si="192"/>
        <v>0</v>
      </c>
      <c r="BB56" s="11">
        <f t="shared" si="193"/>
        <v>0</v>
      </c>
      <c r="BC56" s="11">
        <f t="shared" si="194"/>
        <v>0</v>
      </c>
      <c r="BD56" s="11">
        <f t="shared" si="195"/>
        <v>0</v>
      </c>
      <c r="BE56" s="11">
        <f t="shared" si="196"/>
        <v>0</v>
      </c>
      <c r="BF56" s="11">
        <f t="shared" si="197"/>
        <v>0</v>
      </c>
      <c r="BG56" s="71">
        <f t="shared" si="198"/>
        <v>0</v>
      </c>
      <c r="BH56" s="11">
        <f t="shared" si="199"/>
        <v>0</v>
      </c>
      <c r="BI56" s="11">
        <f t="shared" si="200"/>
        <v>0</v>
      </c>
      <c r="BJ56" s="11">
        <f t="shared" si="201"/>
        <v>0</v>
      </c>
      <c r="BK56" s="11">
        <f t="shared" si="202"/>
        <v>0</v>
      </c>
      <c r="BL56" s="11">
        <f t="shared" si="203"/>
        <v>0</v>
      </c>
      <c r="BM56" s="11">
        <f t="shared" si="204"/>
        <v>0</v>
      </c>
      <c r="BN56" s="11">
        <f t="shared" si="205"/>
        <v>0</v>
      </c>
      <c r="BO56" s="11">
        <f t="shared" si="206"/>
        <v>0</v>
      </c>
      <c r="BP56" s="11">
        <f t="shared" si="207"/>
        <v>0</v>
      </c>
      <c r="BQ56" s="11">
        <f t="shared" si="208"/>
        <v>0</v>
      </c>
      <c r="BR56" s="11">
        <f t="shared" si="209"/>
        <v>0</v>
      </c>
      <c r="BS56" s="71">
        <f t="shared" si="210"/>
        <v>0</v>
      </c>
      <c r="BT56" s="11">
        <f t="shared" si="211"/>
        <v>0</v>
      </c>
      <c r="BU56" s="11">
        <f t="shared" si="212"/>
        <v>0</v>
      </c>
      <c r="BV56" s="11">
        <f t="shared" si="213"/>
        <v>0</v>
      </c>
      <c r="BW56" s="11">
        <f t="shared" si="214"/>
        <v>0</v>
      </c>
      <c r="BX56" s="11">
        <f t="shared" si="215"/>
        <v>0</v>
      </c>
      <c r="BY56" s="11">
        <f t="shared" si="216"/>
        <v>0</v>
      </c>
      <c r="BZ56" s="11">
        <f t="shared" si="217"/>
        <v>0</v>
      </c>
      <c r="CA56" s="11">
        <f t="shared" si="218"/>
        <v>0</v>
      </c>
      <c r="CB56" s="11">
        <f t="shared" si="219"/>
        <v>0</v>
      </c>
      <c r="CC56" s="11">
        <f t="shared" si="220"/>
        <v>0</v>
      </c>
      <c r="CD56" s="11">
        <f t="shared" si="221"/>
        <v>0</v>
      </c>
      <c r="CE56" s="88">
        <f t="shared" si="222"/>
        <v>0</v>
      </c>
    </row>
    <row r="57" spans="16:83" x14ac:dyDescent="0.35">
      <c r="P57" s="933"/>
      <c r="Q57" s="194" t="str">
        <f>$Q$9</f>
        <v/>
      </c>
      <c r="R57" s="199">
        <f t="shared" si="160"/>
        <v>0</v>
      </c>
      <c r="S57" s="121">
        <f t="shared" si="160"/>
        <v>0</v>
      </c>
      <c r="T57" s="121">
        <f t="shared" si="160"/>
        <v>0</v>
      </c>
      <c r="U57" s="121">
        <f t="shared" si="160"/>
        <v>0</v>
      </c>
      <c r="V57" s="200">
        <f t="shared" si="160"/>
        <v>0</v>
      </c>
      <c r="W57" s="696">
        <f t="shared" si="162"/>
        <v>0</v>
      </c>
      <c r="X57" s="9">
        <f t="shared" si="163"/>
        <v>0</v>
      </c>
      <c r="Y57" s="72">
        <f t="shared" si="164"/>
        <v>0</v>
      </c>
      <c r="Z57" s="338">
        <f t="shared" si="165"/>
        <v>0</v>
      </c>
      <c r="AA57" s="338">
        <f t="shared" si="166"/>
        <v>0</v>
      </c>
      <c r="AB57" s="338">
        <f t="shared" si="167"/>
        <v>0</v>
      </c>
      <c r="AC57" s="338">
        <f t="shared" si="168"/>
        <v>0</v>
      </c>
      <c r="AD57" s="338">
        <f t="shared" si="169"/>
        <v>0</v>
      </c>
      <c r="AE57" s="11">
        <f t="shared" si="170"/>
        <v>0</v>
      </c>
      <c r="AF57" s="11">
        <f t="shared" si="171"/>
        <v>0</v>
      </c>
      <c r="AG57" s="11">
        <f t="shared" si="172"/>
        <v>0</v>
      </c>
      <c r="AH57" s="11">
        <f t="shared" si="173"/>
        <v>0</v>
      </c>
      <c r="AI57" s="71">
        <f t="shared" si="174"/>
        <v>0</v>
      </c>
      <c r="AJ57" s="201">
        <f t="shared" si="175"/>
        <v>0</v>
      </c>
      <c r="AK57" s="11">
        <f t="shared" si="176"/>
        <v>0</v>
      </c>
      <c r="AL57" s="11">
        <f t="shared" si="177"/>
        <v>0</v>
      </c>
      <c r="AM57" s="11">
        <f t="shared" si="178"/>
        <v>0</v>
      </c>
      <c r="AN57" s="11">
        <f t="shared" si="179"/>
        <v>0</v>
      </c>
      <c r="AO57" s="11">
        <f t="shared" si="180"/>
        <v>0</v>
      </c>
      <c r="AP57" s="11">
        <f t="shared" si="181"/>
        <v>0</v>
      </c>
      <c r="AQ57" s="11">
        <f t="shared" si="182"/>
        <v>0</v>
      </c>
      <c r="AR57" s="11">
        <f t="shared" si="183"/>
        <v>0</v>
      </c>
      <c r="AS57" s="11">
        <f t="shared" si="184"/>
        <v>0</v>
      </c>
      <c r="AT57" s="11">
        <f t="shared" si="185"/>
        <v>0</v>
      </c>
      <c r="AU57" s="71">
        <f t="shared" si="186"/>
        <v>0</v>
      </c>
      <c r="AV57" s="11">
        <f t="shared" si="187"/>
        <v>0</v>
      </c>
      <c r="AW57" s="11">
        <f t="shared" si="188"/>
        <v>0</v>
      </c>
      <c r="AX57" s="11">
        <f t="shared" si="189"/>
        <v>0</v>
      </c>
      <c r="AY57" s="11">
        <f t="shared" si="190"/>
        <v>0</v>
      </c>
      <c r="AZ57" s="11">
        <f t="shared" si="191"/>
        <v>0</v>
      </c>
      <c r="BA57" s="11">
        <f t="shared" si="192"/>
        <v>0</v>
      </c>
      <c r="BB57" s="11">
        <f t="shared" si="193"/>
        <v>0</v>
      </c>
      <c r="BC57" s="11">
        <f t="shared" si="194"/>
        <v>0</v>
      </c>
      <c r="BD57" s="11">
        <f t="shared" si="195"/>
        <v>0</v>
      </c>
      <c r="BE57" s="11">
        <f t="shared" si="196"/>
        <v>0</v>
      </c>
      <c r="BF57" s="11">
        <f t="shared" si="197"/>
        <v>0</v>
      </c>
      <c r="BG57" s="71">
        <f t="shared" si="198"/>
        <v>0</v>
      </c>
      <c r="BH57" s="11">
        <f t="shared" si="199"/>
        <v>0</v>
      </c>
      <c r="BI57" s="11">
        <f t="shared" si="200"/>
        <v>0</v>
      </c>
      <c r="BJ57" s="11">
        <f t="shared" si="201"/>
        <v>0</v>
      </c>
      <c r="BK57" s="11">
        <f t="shared" si="202"/>
        <v>0</v>
      </c>
      <c r="BL57" s="11">
        <f t="shared" si="203"/>
        <v>0</v>
      </c>
      <c r="BM57" s="11">
        <f t="shared" si="204"/>
        <v>0</v>
      </c>
      <c r="BN57" s="11">
        <f t="shared" si="205"/>
        <v>0</v>
      </c>
      <c r="BO57" s="11">
        <f t="shared" si="206"/>
        <v>0</v>
      </c>
      <c r="BP57" s="11">
        <f t="shared" si="207"/>
        <v>0</v>
      </c>
      <c r="BQ57" s="11">
        <f t="shared" si="208"/>
        <v>0</v>
      </c>
      <c r="BR57" s="11">
        <f t="shared" si="209"/>
        <v>0</v>
      </c>
      <c r="BS57" s="71">
        <f t="shared" si="210"/>
        <v>0</v>
      </c>
      <c r="BT57" s="11">
        <f t="shared" si="211"/>
        <v>0</v>
      </c>
      <c r="BU57" s="11">
        <f t="shared" si="212"/>
        <v>0</v>
      </c>
      <c r="BV57" s="11">
        <f t="shared" si="213"/>
        <v>0</v>
      </c>
      <c r="BW57" s="11">
        <f t="shared" si="214"/>
        <v>0</v>
      </c>
      <c r="BX57" s="11">
        <f t="shared" si="215"/>
        <v>0</v>
      </c>
      <c r="BY57" s="11">
        <f t="shared" si="216"/>
        <v>0</v>
      </c>
      <c r="BZ57" s="11">
        <f t="shared" si="217"/>
        <v>0</v>
      </c>
      <c r="CA57" s="11">
        <f t="shared" si="218"/>
        <v>0</v>
      </c>
      <c r="CB57" s="11">
        <f t="shared" si="219"/>
        <v>0</v>
      </c>
      <c r="CC57" s="11">
        <f t="shared" si="220"/>
        <v>0</v>
      </c>
      <c r="CD57" s="11">
        <f t="shared" si="221"/>
        <v>0</v>
      </c>
      <c r="CE57" s="88">
        <f t="shared" si="222"/>
        <v>0</v>
      </c>
    </row>
    <row r="58" spans="16:83" ht="14.5" customHeight="1" x14ac:dyDescent="0.35">
      <c r="P58" s="933"/>
      <c r="Q58" s="194" t="str">
        <f>$Q$10</f>
        <v/>
      </c>
      <c r="R58" s="199">
        <f t="shared" si="160"/>
        <v>0</v>
      </c>
      <c r="S58" s="121">
        <f t="shared" si="160"/>
        <v>0</v>
      </c>
      <c r="T58" s="121">
        <f t="shared" si="160"/>
        <v>0</v>
      </c>
      <c r="U58" s="121">
        <f t="shared" si="160"/>
        <v>0</v>
      </c>
      <c r="V58" s="200">
        <f t="shared" si="160"/>
        <v>0</v>
      </c>
      <c r="W58" s="696">
        <f t="shared" si="162"/>
        <v>0</v>
      </c>
      <c r="X58" s="9">
        <f t="shared" si="163"/>
        <v>0</v>
      </c>
      <c r="Y58" s="72">
        <f t="shared" si="164"/>
        <v>0</v>
      </c>
      <c r="Z58" s="338">
        <f t="shared" si="165"/>
        <v>0</v>
      </c>
      <c r="AA58" s="338">
        <f t="shared" si="166"/>
        <v>0</v>
      </c>
      <c r="AB58" s="338">
        <f t="shared" si="167"/>
        <v>0</v>
      </c>
      <c r="AC58" s="338">
        <f t="shared" si="168"/>
        <v>0</v>
      </c>
      <c r="AD58" s="338">
        <f t="shared" si="169"/>
        <v>0</v>
      </c>
      <c r="AE58" s="11">
        <f t="shared" si="170"/>
        <v>0</v>
      </c>
      <c r="AF58" s="11">
        <f t="shared" si="171"/>
        <v>0</v>
      </c>
      <c r="AG58" s="11">
        <f t="shared" si="172"/>
        <v>0</v>
      </c>
      <c r="AH58" s="11">
        <f t="shared" si="173"/>
        <v>0</v>
      </c>
      <c r="AI58" s="71">
        <f t="shared" si="174"/>
        <v>0</v>
      </c>
      <c r="AJ58" s="201">
        <f t="shared" si="175"/>
        <v>0</v>
      </c>
      <c r="AK58" s="11">
        <f t="shared" si="176"/>
        <v>0</v>
      </c>
      <c r="AL58" s="11">
        <f t="shared" si="177"/>
        <v>0</v>
      </c>
      <c r="AM58" s="11">
        <f t="shared" si="178"/>
        <v>0</v>
      </c>
      <c r="AN58" s="11">
        <f t="shared" si="179"/>
        <v>0</v>
      </c>
      <c r="AO58" s="11">
        <f t="shared" si="180"/>
        <v>0</v>
      </c>
      <c r="AP58" s="11">
        <f t="shared" si="181"/>
        <v>0</v>
      </c>
      <c r="AQ58" s="11">
        <f t="shared" si="182"/>
        <v>0</v>
      </c>
      <c r="AR58" s="11">
        <f t="shared" si="183"/>
        <v>0</v>
      </c>
      <c r="AS58" s="11">
        <f t="shared" si="184"/>
        <v>0</v>
      </c>
      <c r="AT58" s="11">
        <f t="shared" si="185"/>
        <v>0</v>
      </c>
      <c r="AU58" s="71">
        <f t="shared" si="186"/>
        <v>0</v>
      </c>
      <c r="AV58" s="11">
        <f t="shared" si="187"/>
        <v>0</v>
      </c>
      <c r="AW58" s="11">
        <f t="shared" si="188"/>
        <v>0</v>
      </c>
      <c r="AX58" s="11">
        <f t="shared" si="189"/>
        <v>0</v>
      </c>
      <c r="AY58" s="11">
        <f t="shared" si="190"/>
        <v>0</v>
      </c>
      <c r="AZ58" s="11">
        <f t="shared" si="191"/>
        <v>0</v>
      </c>
      <c r="BA58" s="11">
        <f t="shared" si="192"/>
        <v>0</v>
      </c>
      <c r="BB58" s="11">
        <f t="shared" si="193"/>
        <v>0</v>
      </c>
      <c r="BC58" s="11">
        <f t="shared" si="194"/>
        <v>0</v>
      </c>
      <c r="BD58" s="11">
        <f t="shared" si="195"/>
        <v>0</v>
      </c>
      <c r="BE58" s="11">
        <f t="shared" si="196"/>
        <v>0</v>
      </c>
      <c r="BF58" s="11">
        <f t="shared" si="197"/>
        <v>0</v>
      </c>
      <c r="BG58" s="71">
        <f t="shared" si="198"/>
        <v>0</v>
      </c>
      <c r="BH58" s="11">
        <f t="shared" si="199"/>
        <v>0</v>
      </c>
      <c r="BI58" s="11">
        <f t="shared" si="200"/>
        <v>0</v>
      </c>
      <c r="BJ58" s="11">
        <f t="shared" si="201"/>
        <v>0</v>
      </c>
      <c r="BK58" s="11">
        <f t="shared" si="202"/>
        <v>0</v>
      </c>
      <c r="BL58" s="11">
        <f t="shared" si="203"/>
        <v>0</v>
      </c>
      <c r="BM58" s="11">
        <f t="shared" si="204"/>
        <v>0</v>
      </c>
      <c r="BN58" s="11">
        <f t="shared" si="205"/>
        <v>0</v>
      </c>
      <c r="BO58" s="11">
        <f t="shared" si="206"/>
        <v>0</v>
      </c>
      <c r="BP58" s="11">
        <f t="shared" si="207"/>
        <v>0</v>
      </c>
      <c r="BQ58" s="11">
        <f t="shared" si="208"/>
        <v>0</v>
      </c>
      <c r="BR58" s="11">
        <f t="shared" si="209"/>
        <v>0</v>
      </c>
      <c r="BS58" s="71">
        <f t="shared" si="210"/>
        <v>0</v>
      </c>
      <c r="BT58" s="11">
        <f t="shared" si="211"/>
        <v>0</v>
      </c>
      <c r="BU58" s="11">
        <f t="shared" si="212"/>
        <v>0</v>
      </c>
      <c r="BV58" s="11">
        <f t="shared" si="213"/>
        <v>0</v>
      </c>
      <c r="BW58" s="11">
        <f t="shared" si="214"/>
        <v>0</v>
      </c>
      <c r="BX58" s="11">
        <f t="shared" si="215"/>
        <v>0</v>
      </c>
      <c r="BY58" s="11">
        <f t="shared" si="216"/>
        <v>0</v>
      </c>
      <c r="BZ58" s="11">
        <f t="shared" si="217"/>
        <v>0</v>
      </c>
      <c r="CA58" s="11">
        <f t="shared" si="218"/>
        <v>0</v>
      </c>
      <c r="CB58" s="11">
        <f t="shared" si="219"/>
        <v>0</v>
      </c>
      <c r="CC58" s="11">
        <f t="shared" si="220"/>
        <v>0</v>
      </c>
      <c r="CD58" s="11">
        <f t="shared" si="221"/>
        <v>0</v>
      </c>
      <c r="CE58" s="88">
        <f t="shared" si="222"/>
        <v>0</v>
      </c>
    </row>
    <row r="59" spans="16:83" ht="14.5" customHeight="1" x14ac:dyDescent="0.35">
      <c r="P59" s="933"/>
      <c r="Q59" s="194" t="str">
        <f>$Q$11</f>
        <v/>
      </c>
      <c r="R59" s="199">
        <f t="shared" si="160"/>
        <v>0</v>
      </c>
      <c r="S59" s="121">
        <f t="shared" si="160"/>
        <v>0</v>
      </c>
      <c r="T59" s="121">
        <f t="shared" si="160"/>
        <v>0</v>
      </c>
      <c r="U59" s="121">
        <f t="shared" si="160"/>
        <v>0</v>
      </c>
      <c r="V59" s="200">
        <f t="shared" si="160"/>
        <v>0</v>
      </c>
      <c r="W59" s="696">
        <f t="shared" si="162"/>
        <v>0</v>
      </c>
      <c r="X59" s="9">
        <f t="shared" si="163"/>
        <v>0</v>
      </c>
      <c r="Y59" s="72">
        <f t="shared" si="164"/>
        <v>0</v>
      </c>
      <c r="Z59" s="338">
        <f t="shared" si="165"/>
        <v>0</v>
      </c>
      <c r="AA59" s="338">
        <f t="shared" si="166"/>
        <v>0</v>
      </c>
      <c r="AB59" s="338">
        <f t="shared" si="167"/>
        <v>0</v>
      </c>
      <c r="AC59" s="338">
        <f t="shared" si="168"/>
        <v>0</v>
      </c>
      <c r="AD59" s="338">
        <f t="shared" si="169"/>
        <v>0</v>
      </c>
      <c r="AE59" s="11">
        <f t="shared" si="170"/>
        <v>0</v>
      </c>
      <c r="AF59" s="11">
        <f t="shared" si="171"/>
        <v>0</v>
      </c>
      <c r="AG59" s="11">
        <f t="shared" si="172"/>
        <v>0</v>
      </c>
      <c r="AH59" s="11">
        <f t="shared" si="173"/>
        <v>0</v>
      </c>
      <c r="AI59" s="71">
        <f t="shared" si="174"/>
        <v>0</v>
      </c>
      <c r="AJ59" s="201">
        <f t="shared" si="175"/>
        <v>0</v>
      </c>
      <c r="AK59" s="11">
        <f t="shared" si="176"/>
        <v>0</v>
      </c>
      <c r="AL59" s="11">
        <f t="shared" si="177"/>
        <v>0</v>
      </c>
      <c r="AM59" s="11">
        <f t="shared" si="178"/>
        <v>0</v>
      </c>
      <c r="AN59" s="11">
        <f t="shared" si="179"/>
        <v>0</v>
      </c>
      <c r="AO59" s="11">
        <f t="shared" si="180"/>
        <v>0</v>
      </c>
      <c r="AP59" s="11">
        <f t="shared" si="181"/>
        <v>0</v>
      </c>
      <c r="AQ59" s="11">
        <f t="shared" si="182"/>
        <v>0</v>
      </c>
      <c r="AR59" s="11">
        <f t="shared" si="183"/>
        <v>0</v>
      </c>
      <c r="AS59" s="11">
        <f t="shared" si="184"/>
        <v>0</v>
      </c>
      <c r="AT59" s="11">
        <f t="shared" si="185"/>
        <v>0</v>
      </c>
      <c r="AU59" s="71">
        <f t="shared" si="186"/>
        <v>0</v>
      </c>
      <c r="AV59" s="11">
        <f t="shared" si="187"/>
        <v>0</v>
      </c>
      <c r="AW59" s="11">
        <f t="shared" si="188"/>
        <v>0</v>
      </c>
      <c r="AX59" s="11">
        <f t="shared" si="189"/>
        <v>0</v>
      </c>
      <c r="AY59" s="11">
        <f t="shared" si="190"/>
        <v>0</v>
      </c>
      <c r="AZ59" s="11">
        <f t="shared" si="191"/>
        <v>0</v>
      </c>
      <c r="BA59" s="11">
        <f t="shared" si="192"/>
        <v>0</v>
      </c>
      <c r="BB59" s="11">
        <f t="shared" si="193"/>
        <v>0</v>
      </c>
      <c r="BC59" s="11">
        <f t="shared" si="194"/>
        <v>0</v>
      </c>
      <c r="BD59" s="11">
        <f t="shared" si="195"/>
        <v>0</v>
      </c>
      <c r="BE59" s="11">
        <f t="shared" si="196"/>
        <v>0</v>
      </c>
      <c r="BF59" s="11">
        <f t="shared" si="197"/>
        <v>0</v>
      </c>
      <c r="BG59" s="71">
        <f t="shared" si="198"/>
        <v>0</v>
      </c>
      <c r="BH59" s="11">
        <f t="shared" si="199"/>
        <v>0</v>
      </c>
      <c r="BI59" s="11">
        <f t="shared" si="200"/>
        <v>0</v>
      </c>
      <c r="BJ59" s="11">
        <f t="shared" si="201"/>
        <v>0</v>
      </c>
      <c r="BK59" s="11">
        <f t="shared" si="202"/>
        <v>0</v>
      </c>
      <c r="BL59" s="11">
        <f t="shared" si="203"/>
        <v>0</v>
      </c>
      <c r="BM59" s="11">
        <f t="shared" si="204"/>
        <v>0</v>
      </c>
      <c r="BN59" s="11">
        <f t="shared" si="205"/>
        <v>0</v>
      </c>
      <c r="BO59" s="11">
        <f t="shared" si="206"/>
        <v>0</v>
      </c>
      <c r="BP59" s="11">
        <f t="shared" si="207"/>
        <v>0</v>
      </c>
      <c r="BQ59" s="11">
        <f t="shared" si="208"/>
        <v>0</v>
      </c>
      <c r="BR59" s="11">
        <f t="shared" si="209"/>
        <v>0</v>
      </c>
      <c r="BS59" s="71">
        <f t="shared" si="210"/>
        <v>0</v>
      </c>
      <c r="BT59" s="11">
        <f t="shared" si="211"/>
        <v>0</v>
      </c>
      <c r="BU59" s="11">
        <f t="shared" si="212"/>
        <v>0</v>
      </c>
      <c r="BV59" s="11">
        <f t="shared" si="213"/>
        <v>0</v>
      </c>
      <c r="BW59" s="11">
        <f t="shared" si="214"/>
        <v>0</v>
      </c>
      <c r="BX59" s="11">
        <f t="shared" si="215"/>
        <v>0</v>
      </c>
      <c r="BY59" s="11">
        <f t="shared" si="216"/>
        <v>0</v>
      </c>
      <c r="BZ59" s="11">
        <f t="shared" si="217"/>
        <v>0</v>
      </c>
      <c r="CA59" s="11">
        <f t="shared" si="218"/>
        <v>0</v>
      </c>
      <c r="CB59" s="11">
        <f t="shared" si="219"/>
        <v>0</v>
      </c>
      <c r="CC59" s="11">
        <f t="shared" si="220"/>
        <v>0</v>
      </c>
      <c r="CD59" s="11">
        <f t="shared" si="221"/>
        <v>0</v>
      </c>
      <c r="CE59" s="88">
        <f t="shared" si="222"/>
        <v>0</v>
      </c>
    </row>
    <row r="60" spans="16:83" ht="14.5" customHeight="1" x14ac:dyDescent="0.35">
      <c r="P60" s="933"/>
      <c r="Q60" s="196" t="str">
        <f>$Q$12</f>
        <v/>
      </c>
      <c r="R60" s="199">
        <f t="shared" si="160"/>
        <v>0</v>
      </c>
      <c r="S60" s="121">
        <f t="shared" si="160"/>
        <v>0</v>
      </c>
      <c r="T60" s="121">
        <f t="shared" si="160"/>
        <v>0</v>
      </c>
      <c r="U60" s="121">
        <f t="shared" si="160"/>
        <v>0</v>
      </c>
      <c r="V60" s="200">
        <f t="shared" si="160"/>
        <v>0</v>
      </c>
      <c r="W60" s="696">
        <f t="shared" si="162"/>
        <v>0</v>
      </c>
      <c r="X60" s="9">
        <f t="shared" si="163"/>
        <v>0</v>
      </c>
      <c r="Y60" s="72">
        <f t="shared" si="164"/>
        <v>0</v>
      </c>
      <c r="Z60" s="338">
        <f t="shared" si="165"/>
        <v>0</v>
      </c>
      <c r="AA60" s="338">
        <f t="shared" si="166"/>
        <v>0</v>
      </c>
      <c r="AB60" s="338">
        <f t="shared" si="167"/>
        <v>0</v>
      </c>
      <c r="AC60" s="338">
        <f t="shared" si="168"/>
        <v>0</v>
      </c>
      <c r="AD60" s="338">
        <f t="shared" si="169"/>
        <v>0</v>
      </c>
      <c r="AE60" s="11">
        <f t="shared" si="170"/>
        <v>0</v>
      </c>
      <c r="AF60" s="11">
        <f t="shared" si="171"/>
        <v>0</v>
      </c>
      <c r="AG60" s="11">
        <f t="shared" si="172"/>
        <v>0</v>
      </c>
      <c r="AH60" s="11">
        <f t="shared" si="173"/>
        <v>0</v>
      </c>
      <c r="AI60" s="71">
        <f t="shared" si="174"/>
        <v>0</v>
      </c>
      <c r="AJ60" s="201">
        <f t="shared" si="175"/>
        <v>0</v>
      </c>
      <c r="AK60" s="11">
        <f t="shared" si="176"/>
        <v>0</v>
      </c>
      <c r="AL60" s="11">
        <f t="shared" si="177"/>
        <v>0</v>
      </c>
      <c r="AM60" s="11">
        <f t="shared" si="178"/>
        <v>0</v>
      </c>
      <c r="AN60" s="11">
        <f t="shared" si="179"/>
        <v>0</v>
      </c>
      <c r="AO60" s="11">
        <f t="shared" si="180"/>
        <v>0</v>
      </c>
      <c r="AP60" s="11">
        <f t="shared" si="181"/>
        <v>0</v>
      </c>
      <c r="AQ60" s="11">
        <f t="shared" si="182"/>
        <v>0</v>
      </c>
      <c r="AR60" s="11">
        <f t="shared" si="183"/>
        <v>0</v>
      </c>
      <c r="AS60" s="11">
        <f t="shared" si="184"/>
        <v>0</v>
      </c>
      <c r="AT60" s="11">
        <f t="shared" si="185"/>
        <v>0</v>
      </c>
      <c r="AU60" s="71">
        <f t="shared" si="186"/>
        <v>0</v>
      </c>
      <c r="AV60" s="11">
        <f t="shared" si="187"/>
        <v>0</v>
      </c>
      <c r="AW60" s="11">
        <f t="shared" si="188"/>
        <v>0</v>
      </c>
      <c r="AX60" s="11">
        <f t="shared" si="189"/>
        <v>0</v>
      </c>
      <c r="AY60" s="11">
        <f t="shared" si="190"/>
        <v>0</v>
      </c>
      <c r="AZ60" s="11">
        <f t="shared" si="191"/>
        <v>0</v>
      </c>
      <c r="BA60" s="11">
        <f t="shared" si="192"/>
        <v>0</v>
      </c>
      <c r="BB60" s="11">
        <f t="shared" si="193"/>
        <v>0</v>
      </c>
      <c r="BC60" s="11">
        <f t="shared" si="194"/>
        <v>0</v>
      </c>
      <c r="BD60" s="11">
        <f t="shared" si="195"/>
        <v>0</v>
      </c>
      <c r="BE60" s="11">
        <f t="shared" si="196"/>
        <v>0</v>
      </c>
      <c r="BF60" s="11">
        <f t="shared" si="197"/>
        <v>0</v>
      </c>
      <c r="BG60" s="71">
        <f t="shared" si="198"/>
        <v>0</v>
      </c>
      <c r="BH60" s="11">
        <f t="shared" si="199"/>
        <v>0</v>
      </c>
      <c r="BI60" s="11">
        <f t="shared" si="200"/>
        <v>0</v>
      </c>
      <c r="BJ60" s="11">
        <f t="shared" si="201"/>
        <v>0</v>
      </c>
      <c r="BK60" s="11">
        <f t="shared" si="202"/>
        <v>0</v>
      </c>
      <c r="BL60" s="11">
        <f t="shared" si="203"/>
        <v>0</v>
      </c>
      <c r="BM60" s="11">
        <f t="shared" si="204"/>
        <v>0</v>
      </c>
      <c r="BN60" s="11">
        <f t="shared" si="205"/>
        <v>0</v>
      </c>
      <c r="BO60" s="11">
        <f t="shared" si="206"/>
        <v>0</v>
      </c>
      <c r="BP60" s="11">
        <f t="shared" si="207"/>
        <v>0</v>
      </c>
      <c r="BQ60" s="11">
        <f t="shared" si="208"/>
        <v>0</v>
      </c>
      <c r="BR60" s="11">
        <f t="shared" si="209"/>
        <v>0</v>
      </c>
      <c r="BS60" s="71">
        <f t="shared" si="210"/>
        <v>0</v>
      </c>
      <c r="BT60" s="11">
        <f t="shared" si="211"/>
        <v>0</v>
      </c>
      <c r="BU60" s="11">
        <f t="shared" si="212"/>
        <v>0</v>
      </c>
      <c r="BV60" s="11">
        <f t="shared" si="213"/>
        <v>0</v>
      </c>
      <c r="BW60" s="11">
        <f t="shared" si="214"/>
        <v>0</v>
      </c>
      <c r="BX60" s="11">
        <f t="shared" si="215"/>
        <v>0</v>
      </c>
      <c r="BY60" s="11">
        <f t="shared" si="216"/>
        <v>0</v>
      </c>
      <c r="BZ60" s="11">
        <f t="shared" si="217"/>
        <v>0</v>
      </c>
      <c r="CA60" s="11">
        <f t="shared" si="218"/>
        <v>0</v>
      </c>
      <c r="CB60" s="11">
        <f t="shared" si="219"/>
        <v>0</v>
      </c>
      <c r="CC60" s="11">
        <f t="shared" si="220"/>
        <v>0</v>
      </c>
      <c r="CD60" s="11">
        <f t="shared" si="221"/>
        <v>0</v>
      </c>
      <c r="CE60" s="88">
        <f t="shared" si="222"/>
        <v>0</v>
      </c>
    </row>
    <row r="61" spans="16:83" ht="14.5" customHeight="1" x14ac:dyDescent="0.35">
      <c r="P61" s="933"/>
      <c r="Q61" s="196" t="str">
        <f>$Q$13</f>
        <v/>
      </c>
      <c r="R61" s="199">
        <f t="shared" si="160"/>
        <v>0</v>
      </c>
      <c r="S61" s="121">
        <f t="shared" si="160"/>
        <v>0</v>
      </c>
      <c r="T61" s="121">
        <f t="shared" si="160"/>
        <v>0</v>
      </c>
      <c r="U61" s="121">
        <f t="shared" si="160"/>
        <v>0</v>
      </c>
      <c r="V61" s="200">
        <f t="shared" si="160"/>
        <v>0</v>
      </c>
      <c r="W61" s="696">
        <f t="shared" si="162"/>
        <v>0</v>
      </c>
      <c r="X61" s="9">
        <f t="shared" si="163"/>
        <v>0</v>
      </c>
      <c r="Y61" s="72">
        <f t="shared" si="164"/>
        <v>0</v>
      </c>
      <c r="Z61" s="338">
        <f t="shared" si="165"/>
        <v>0</v>
      </c>
      <c r="AA61" s="338">
        <f t="shared" si="166"/>
        <v>0</v>
      </c>
      <c r="AB61" s="338">
        <f t="shared" si="167"/>
        <v>0</v>
      </c>
      <c r="AC61" s="338">
        <f t="shared" si="168"/>
        <v>0</v>
      </c>
      <c r="AD61" s="338">
        <f t="shared" si="169"/>
        <v>0</v>
      </c>
      <c r="AE61" s="11">
        <f t="shared" si="170"/>
        <v>0</v>
      </c>
      <c r="AF61" s="11">
        <f t="shared" si="171"/>
        <v>0</v>
      </c>
      <c r="AG61" s="11">
        <f t="shared" si="172"/>
        <v>0</v>
      </c>
      <c r="AH61" s="11">
        <f t="shared" si="173"/>
        <v>0</v>
      </c>
      <c r="AI61" s="71">
        <f t="shared" si="174"/>
        <v>0</v>
      </c>
      <c r="AJ61" s="201">
        <f t="shared" si="175"/>
        <v>0</v>
      </c>
      <c r="AK61" s="11">
        <f t="shared" si="176"/>
        <v>0</v>
      </c>
      <c r="AL61" s="11">
        <f t="shared" si="177"/>
        <v>0</v>
      </c>
      <c r="AM61" s="11">
        <f t="shared" si="178"/>
        <v>0</v>
      </c>
      <c r="AN61" s="11">
        <f t="shared" si="179"/>
        <v>0</v>
      </c>
      <c r="AO61" s="11">
        <f t="shared" si="180"/>
        <v>0</v>
      </c>
      <c r="AP61" s="11">
        <f t="shared" si="181"/>
        <v>0</v>
      </c>
      <c r="AQ61" s="11">
        <f t="shared" si="182"/>
        <v>0</v>
      </c>
      <c r="AR61" s="11">
        <f t="shared" si="183"/>
        <v>0</v>
      </c>
      <c r="AS61" s="11">
        <f t="shared" si="184"/>
        <v>0</v>
      </c>
      <c r="AT61" s="11">
        <f t="shared" si="185"/>
        <v>0</v>
      </c>
      <c r="AU61" s="71">
        <f t="shared" si="186"/>
        <v>0</v>
      </c>
      <c r="AV61" s="11">
        <f t="shared" si="187"/>
        <v>0</v>
      </c>
      <c r="AW61" s="11">
        <f t="shared" si="188"/>
        <v>0</v>
      </c>
      <c r="AX61" s="11">
        <f t="shared" si="189"/>
        <v>0</v>
      </c>
      <c r="AY61" s="11">
        <f t="shared" si="190"/>
        <v>0</v>
      </c>
      <c r="AZ61" s="11">
        <f t="shared" si="191"/>
        <v>0</v>
      </c>
      <c r="BA61" s="11">
        <f t="shared" si="192"/>
        <v>0</v>
      </c>
      <c r="BB61" s="11">
        <f t="shared" si="193"/>
        <v>0</v>
      </c>
      <c r="BC61" s="11">
        <f t="shared" si="194"/>
        <v>0</v>
      </c>
      <c r="BD61" s="11">
        <f t="shared" si="195"/>
        <v>0</v>
      </c>
      <c r="BE61" s="11">
        <f t="shared" si="196"/>
        <v>0</v>
      </c>
      <c r="BF61" s="11">
        <f t="shared" si="197"/>
        <v>0</v>
      </c>
      <c r="BG61" s="71">
        <f t="shared" si="198"/>
        <v>0</v>
      </c>
      <c r="BH61" s="11">
        <f t="shared" si="199"/>
        <v>0</v>
      </c>
      <c r="BI61" s="11">
        <f t="shared" si="200"/>
        <v>0</v>
      </c>
      <c r="BJ61" s="11">
        <f t="shared" si="201"/>
        <v>0</v>
      </c>
      <c r="BK61" s="11">
        <f t="shared" si="202"/>
        <v>0</v>
      </c>
      <c r="BL61" s="11">
        <f t="shared" si="203"/>
        <v>0</v>
      </c>
      <c r="BM61" s="11">
        <f t="shared" si="204"/>
        <v>0</v>
      </c>
      <c r="BN61" s="11">
        <f t="shared" si="205"/>
        <v>0</v>
      </c>
      <c r="BO61" s="11">
        <f t="shared" si="206"/>
        <v>0</v>
      </c>
      <c r="BP61" s="11">
        <f t="shared" si="207"/>
        <v>0</v>
      </c>
      <c r="BQ61" s="11">
        <f t="shared" si="208"/>
        <v>0</v>
      </c>
      <c r="BR61" s="11">
        <f t="shared" si="209"/>
        <v>0</v>
      </c>
      <c r="BS61" s="71">
        <f t="shared" si="210"/>
        <v>0</v>
      </c>
      <c r="BT61" s="11">
        <f t="shared" si="211"/>
        <v>0</v>
      </c>
      <c r="BU61" s="11">
        <f t="shared" si="212"/>
        <v>0</v>
      </c>
      <c r="BV61" s="11">
        <f t="shared" si="213"/>
        <v>0</v>
      </c>
      <c r="BW61" s="11">
        <f t="shared" si="214"/>
        <v>0</v>
      </c>
      <c r="BX61" s="11">
        <f t="shared" si="215"/>
        <v>0</v>
      </c>
      <c r="BY61" s="11">
        <f t="shared" si="216"/>
        <v>0</v>
      </c>
      <c r="BZ61" s="11">
        <f t="shared" si="217"/>
        <v>0</v>
      </c>
      <c r="CA61" s="11">
        <f t="shared" si="218"/>
        <v>0</v>
      </c>
      <c r="CB61" s="11">
        <f t="shared" si="219"/>
        <v>0</v>
      </c>
      <c r="CC61" s="11">
        <f t="shared" si="220"/>
        <v>0</v>
      </c>
      <c r="CD61" s="11">
        <f t="shared" si="221"/>
        <v>0</v>
      </c>
      <c r="CE61" s="88">
        <f t="shared" si="222"/>
        <v>0</v>
      </c>
    </row>
    <row r="62" spans="16:83" ht="14.5" customHeight="1" x14ac:dyDescent="0.35">
      <c r="P62" s="933"/>
      <c r="Q62" s="196" t="str">
        <f>$Q$14</f>
        <v/>
      </c>
      <c r="R62" s="199">
        <f t="shared" si="160"/>
        <v>0</v>
      </c>
      <c r="S62" s="121">
        <f t="shared" si="160"/>
        <v>0</v>
      </c>
      <c r="T62" s="121">
        <f t="shared" si="160"/>
        <v>0</v>
      </c>
      <c r="U62" s="121">
        <f t="shared" si="160"/>
        <v>0</v>
      </c>
      <c r="V62" s="200">
        <f t="shared" si="160"/>
        <v>0</v>
      </c>
      <c r="W62" s="696">
        <f t="shared" si="162"/>
        <v>0</v>
      </c>
      <c r="X62" s="9">
        <f t="shared" si="163"/>
        <v>0</v>
      </c>
      <c r="Y62" s="72">
        <f t="shared" si="164"/>
        <v>0</v>
      </c>
      <c r="Z62" s="338">
        <f t="shared" si="165"/>
        <v>0</v>
      </c>
      <c r="AA62" s="338">
        <f t="shared" si="166"/>
        <v>0</v>
      </c>
      <c r="AB62" s="338">
        <f t="shared" si="167"/>
        <v>0</v>
      </c>
      <c r="AC62" s="338">
        <f t="shared" si="168"/>
        <v>0</v>
      </c>
      <c r="AD62" s="338">
        <f t="shared" si="169"/>
        <v>0</v>
      </c>
      <c r="AE62" s="11">
        <f t="shared" si="170"/>
        <v>0</v>
      </c>
      <c r="AF62" s="11">
        <f t="shared" si="171"/>
        <v>0</v>
      </c>
      <c r="AG62" s="11">
        <f t="shared" si="172"/>
        <v>0</v>
      </c>
      <c r="AH62" s="11">
        <f t="shared" si="173"/>
        <v>0</v>
      </c>
      <c r="AI62" s="71">
        <f t="shared" si="174"/>
        <v>0</v>
      </c>
      <c r="AJ62" s="201">
        <f t="shared" si="175"/>
        <v>0</v>
      </c>
      <c r="AK62" s="11">
        <f t="shared" si="176"/>
        <v>0</v>
      </c>
      <c r="AL62" s="11">
        <f t="shared" si="177"/>
        <v>0</v>
      </c>
      <c r="AM62" s="11">
        <f t="shared" si="178"/>
        <v>0</v>
      </c>
      <c r="AN62" s="11">
        <f t="shared" si="179"/>
        <v>0</v>
      </c>
      <c r="AO62" s="11">
        <f t="shared" si="180"/>
        <v>0</v>
      </c>
      <c r="AP62" s="11">
        <f t="shared" si="181"/>
        <v>0</v>
      </c>
      <c r="AQ62" s="11">
        <f t="shared" si="182"/>
        <v>0</v>
      </c>
      <c r="AR62" s="11">
        <f t="shared" si="183"/>
        <v>0</v>
      </c>
      <c r="AS62" s="11">
        <f t="shared" si="184"/>
        <v>0</v>
      </c>
      <c r="AT62" s="11">
        <f t="shared" si="185"/>
        <v>0</v>
      </c>
      <c r="AU62" s="71">
        <f t="shared" si="186"/>
        <v>0</v>
      </c>
      <c r="AV62" s="11">
        <f t="shared" si="187"/>
        <v>0</v>
      </c>
      <c r="AW62" s="11">
        <f t="shared" si="188"/>
        <v>0</v>
      </c>
      <c r="AX62" s="11">
        <f t="shared" si="189"/>
        <v>0</v>
      </c>
      <c r="AY62" s="11">
        <f t="shared" si="190"/>
        <v>0</v>
      </c>
      <c r="AZ62" s="11">
        <f t="shared" si="191"/>
        <v>0</v>
      </c>
      <c r="BA62" s="11">
        <f t="shared" si="192"/>
        <v>0</v>
      </c>
      <c r="BB62" s="11">
        <f t="shared" si="193"/>
        <v>0</v>
      </c>
      <c r="BC62" s="11">
        <f t="shared" si="194"/>
        <v>0</v>
      </c>
      <c r="BD62" s="11">
        <f t="shared" si="195"/>
        <v>0</v>
      </c>
      <c r="BE62" s="11">
        <f t="shared" si="196"/>
        <v>0</v>
      </c>
      <c r="BF62" s="11">
        <f t="shared" si="197"/>
        <v>0</v>
      </c>
      <c r="BG62" s="71">
        <f t="shared" si="198"/>
        <v>0</v>
      </c>
      <c r="BH62" s="11">
        <f t="shared" si="199"/>
        <v>0</v>
      </c>
      <c r="BI62" s="11">
        <f t="shared" si="200"/>
        <v>0</v>
      </c>
      <c r="BJ62" s="11">
        <f t="shared" si="201"/>
        <v>0</v>
      </c>
      <c r="BK62" s="11">
        <f t="shared" si="202"/>
        <v>0</v>
      </c>
      <c r="BL62" s="11">
        <f t="shared" si="203"/>
        <v>0</v>
      </c>
      <c r="BM62" s="11">
        <f t="shared" si="204"/>
        <v>0</v>
      </c>
      <c r="BN62" s="11">
        <f t="shared" si="205"/>
        <v>0</v>
      </c>
      <c r="BO62" s="11">
        <f t="shared" si="206"/>
        <v>0</v>
      </c>
      <c r="BP62" s="11">
        <f t="shared" si="207"/>
        <v>0</v>
      </c>
      <c r="BQ62" s="11">
        <f t="shared" si="208"/>
        <v>0</v>
      </c>
      <c r="BR62" s="11">
        <f t="shared" si="209"/>
        <v>0</v>
      </c>
      <c r="BS62" s="71">
        <f t="shared" si="210"/>
        <v>0</v>
      </c>
      <c r="BT62" s="11">
        <f t="shared" si="211"/>
        <v>0</v>
      </c>
      <c r="BU62" s="11">
        <f t="shared" si="212"/>
        <v>0</v>
      </c>
      <c r="BV62" s="11">
        <f t="shared" si="213"/>
        <v>0</v>
      </c>
      <c r="BW62" s="11">
        <f t="shared" si="214"/>
        <v>0</v>
      </c>
      <c r="BX62" s="11">
        <f t="shared" si="215"/>
        <v>0</v>
      </c>
      <c r="BY62" s="11">
        <f t="shared" si="216"/>
        <v>0</v>
      </c>
      <c r="BZ62" s="11">
        <f t="shared" si="217"/>
        <v>0</v>
      </c>
      <c r="CA62" s="11">
        <f t="shared" si="218"/>
        <v>0</v>
      </c>
      <c r="CB62" s="11">
        <f t="shared" si="219"/>
        <v>0</v>
      </c>
      <c r="CC62" s="11">
        <f t="shared" si="220"/>
        <v>0</v>
      </c>
      <c r="CD62" s="11">
        <f t="shared" si="221"/>
        <v>0</v>
      </c>
      <c r="CE62" s="88">
        <f t="shared" si="222"/>
        <v>0</v>
      </c>
    </row>
    <row r="63" spans="16:83" ht="14.5" customHeight="1" x14ac:dyDescent="0.35">
      <c r="P63" s="933"/>
      <c r="Q63" s="194" t="str">
        <f>$Q$15</f>
        <v/>
      </c>
      <c r="R63" s="199">
        <f t="shared" si="160"/>
        <v>0</v>
      </c>
      <c r="S63" s="121">
        <f t="shared" si="160"/>
        <v>0</v>
      </c>
      <c r="T63" s="121">
        <f t="shared" si="160"/>
        <v>0</v>
      </c>
      <c r="U63" s="121">
        <f t="shared" si="160"/>
        <v>0</v>
      </c>
      <c r="V63" s="200">
        <f t="shared" si="160"/>
        <v>0</v>
      </c>
      <c r="W63" s="696">
        <f t="shared" si="162"/>
        <v>0</v>
      </c>
      <c r="X63" s="9">
        <f t="shared" si="163"/>
        <v>0</v>
      </c>
      <c r="Y63" s="9">
        <f t="shared" si="164"/>
        <v>0</v>
      </c>
      <c r="Z63" s="11">
        <f t="shared" si="165"/>
        <v>0</v>
      </c>
      <c r="AA63" s="11">
        <f t="shared" si="166"/>
        <v>0</v>
      </c>
      <c r="AB63" s="11">
        <f t="shared" si="167"/>
        <v>0</v>
      </c>
      <c r="AC63" s="11">
        <f t="shared" si="168"/>
        <v>0</v>
      </c>
      <c r="AD63" s="11">
        <f t="shared" si="169"/>
        <v>0</v>
      </c>
      <c r="AE63" s="11">
        <f t="shared" si="170"/>
        <v>0</v>
      </c>
      <c r="AF63" s="11">
        <f t="shared" si="171"/>
        <v>0</v>
      </c>
      <c r="AG63" s="11">
        <f t="shared" si="172"/>
        <v>0</v>
      </c>
      <c r="AH63" s="11">
        <f t="shared" si="173"/>
        <v>0</v>
      </c>
      <c r="AI63" s="71">
        <f t="shared" si="174"/>
        <v>0</v>
      </c>
      <c r="AJ63" s="201">
        <f t="shared" si="175"/>
        <v>0</v>
      </c>
      <c r="AK63" s="11">
        <f t="shared" si="176"/>
        <v>0</v>
      </c>
      <c r="AL63" s="11">
        <f t="shared" si="177"/>
        <v>0</v>
      </c>
      <c r="AM63" s="11">
        <f t="shared" si="178"/>
        <v>0</v>
      </c>
      <c r="AN63" s="11">
        <f t="shared" si="179"/>
        <v>0</v>
      </c>
      <c r="AO63" s="11">
        <f t="shared" si="180"/>
        <v>0</v>
      </c>
      <c r="AP63" s="11">
        <f t="shared" si="181"/>
        <v>0</v>
      </c>
      <c r="AQ63" s="11">
        <f t="shared" si="182"/>
        <v>0</v>
      </c>
      <c r="AR63" s="11">
        <f t="shared" si="183"/>
        <v>0</v>
      </c>
      <c r="AS63" s="11">
        <f t="shared" si="184"/>
        <v>0</v>
      </c>
      <c r="AT63" s="11">
        <f t="shared" si="185"/>
        <v>0</v>
      </c>
      <c r="AU63" s="71">
        <f t="shared" si="186"/>
        <v>0</v>
      </c>
      <c r="AV63" s="11">
        <f t="shared" si="187"/>
        <v>0</v>
      </c>
      <c r="AW63" s="11">
        <f t="shared" si="188"/>
        <v>0</v>
      </c>
      <c r="AX63" s="11">
        <f t="shared" si="189"/>
        <v>0</v>
      </c>
      <c r="AY63" s="11">
        <f t="shared" si="190"/>
        <v>0</v>
      </c>
      <c r="AZ63" s="11">
        <f t="shared" si="191"/>
        <v>0</v>
      </c>
      <c r="BA63" s="11">
        <f t="shared" si="192"/>
        <v>0</v>
      </c>
      <c r="BB63" s="11">
        <f t="shared" si="193"/>
        <v>0</v>
      </c>
      <c r="BC63" s="11">
        <f t="shared" si="194"/>
        <v>0</v>
      </c>
      <c r="BD63" s="11">
        <f t="shared" si="195"/>
        <v>0</v>
      </c>
      <c r="BE63" s="11">
        <f t="shared" si="196"/>
        <v>0</v>
      </c>
      <c r="BF63" s="11">
        <f t="shared" si="197"/>
        <v>0</v>
      </c>
      <c r="BG63" s="71">
        <f t="shared" si="198"/>
        <v>0</v>
      </c>
      <c r="BH63" s="11">
        <f t="shared" si="199"/>
        <v>0</v>
      </c>
      <c r="BI63" s="11">
        <f t="shared" si="200"/>
        <v>0</v>
      </c>
      <c r="BJ63" s="11">
        <f t="shared" si="201"/>
        <v>0</v>
      </c>
      <c r="BK63" s="11">
        <f t="shared" si="202"/>
        <v>0</v>
      </c>
      <c r="BL63" s="11">
        <f t="shared" si="203"/>
        <v>0</v>
      </c>
      <c r="BM63" s="11">
        <f t="shared" si="204"/>
        <v>0</v>
      </c>
      <c r="BN63" s="11">
        <f t="shared" si="205"/>
        <v>0</v>
      </c>
      <c r="BO63" s="11">
        <f t="shared" si="206"/>
        <v>0</v>
      </c>
      <c r="BP63" s="11">
        <f t="shared" si="207"/>
        <v>0</v>
      </c>
      <c r="BQ63" s="11">
        <f t="shared" si="208"/>
        <v>0</v>
      </c>
      <c r="BR63" s="11">
        <f t="shared" si="209"/>
        <v>0</v>
      </c>
      <c r="BS63" s="71">
        <f t="shared" si="210"/>
        <v>0</v>
      </c>
      <c r="BT63" s="11">
        <f t="shared" si="211"/>
        <v>0</v>
      </c>
      <c r="BU63" s="11">
        <f t="shared" si="212"/>
        <v>0</v>
      </c>
      <c r="BV63" s="11">
        <f t="shared" si="213"/>
        <v>0</v>
      </c>
      <c r="BW63" s="11">
        <f t="shared" si="214"/>
        <v>0</v>
      </c>
      <c r="BX63" s="11">
        <f t="shared" si="215"/>
        <v>0</v>
      </c>
      <c r="BY63" s="11">
        <f t="shared" si="216"/>
        <v>0</v>
      </c>
      <c r="BZ63" s="11">
        <f t="shared" si="217"/>
        <v>0</v>
      </c>
      <c r="CA63" s="11">
        <f t="shared" si="218"/>
        <v>0</v>
      </c>
      <c r="CB63" s="11">
        <f t="shared" si="219"/>
        <v>0</v>
      </c>
      <c r="CC63" s="11">
        <f t="shared" si="220"/>
        <v>0</v>
      </c>
      <c r="CD63" s="11">
        <f t="shared" si="221"/>
        <v>0</v>
      </c>
      <c r="CE63" s="88">
        <f t="shared" si="222"/>
        <v>0</v>
      </c>
    </row>
    <row r="64" spans="16:83" ht="14.5" customHeight="1" x14ac:dyDescent="0.35">
      <c r="P64" s="933"/>
      <c r="Q64" s="194" t="str">
        <f>$Q$16</f>
        <v/>
      </c>
      <c r="R64" s="199">
        <f t="shared" si="160"/>
        <v>0</v>
      </c>
      <c r="S64" s="121">
        <f t="shared" si="160"/>
        <v>0</v>
      </c>
      <c r="T64" s="121">
        <f t="shared" si="160"/>
        <v>0</v>
      </c>
      <c r="U64" s="121">
        <f t="shared" si="160"/>
        <v>0</v>
      </c>
      <c r="V64" s="200">
        <f t="shared" si="160"/>
        <v>0</v>
      </c>
      <c r="W64" s="696">
        <f t="shared" si="162"/>
        <v>0</v>
      </c>
      <c r="X64" s="9">
        <f t="shared" si="163"/>
        <v>0</v>
      </c>
      <c r="Y64" s="9">
        <f t="shared" si="164"/>
        <v>0</v>
      </c>
      <c r="Z64" s="11">
        <f t="shared" si="165"/>
        <v>0</v>
      </c>
      <c r="AA64" s="11">
        <f t="shared" si="166"/>
        <v>0</v>
      </c>
      <c r="AB64" s="11">
        <f t="shared" si="167"/>
        <v>0</v>
      </c>
      <c r="AC64" s="11">
        <f t="shared" si="168"/>
        <v>0</v>
      </c>
      <c r="AD64" s="11">
        <f t="shared" si="169"/>
        <v>0</v>
      </c>
      <c r="AE64" s="11">
        <f t="shared" si="170"/>
        <v>0</v>
      </c>
      <c r="AF64" s="11">
        <f t="shared" si="171"/>
        <v>0</v>
      </c>
      <c r="AG64" s="11">
        <f t="shared" si="172"/>
        <v>0</v>
      </c>
      <c r="AH64" s="11">
        <f t="shared" si="173"/>
        <v>0</v>
      </c>
      <c r="AI64" s="71">
        <f t="shared" si="174"/>
        <v>0</v>
      </c>
      <c r="AJ64" s="201">
        <f t="shared" si="175"/>
        <v>0</v>
      </c>
      <c r="AK64" s="11">
        <f t="shared" si="176"/>
        <v>0</v>
      </c>
      <c r="AL64" s="11">
        <f t="shared" si="177"/>
        <v>0</v>
      </c>
      <c r="AM64" s="11">
        <f t="shared" si="178"/>
        <v>0</v>
      </c>
      <c r="AN64" s="11">
        <f t="shared" si="179"/>
        <v>0</v>
      </c>
      <c r="AO64" s="11">
        <f t="shared" si="180"/>
        <v>0</v>
      </c>
      <c r="AP64" s="11">
        <f t="shared" si="181"/>
        <v>0</v>
      </c>
      <c r="AQ64" s="11">
        <f t="shared" si="182"/>
        <v>0</v>
      </c>
      <c r="AR64" s="11">
        <f t="shared" si="183"/>
        <v>0</v>
      </c>
      <c r="AS64" s="11">
        <f t="shared" si="184"/>
        <v>0</v>
      </c>
      <c r="AT64" s="11">
        <f t="shared" si="185"/>
        <v>0</v>
      </c>
      <c r="AU64" s="71">
        <f t="shared" si="186"/>
        <v>0</v>
      </c>
      <c r="AV64" s="11">
        <f t="shared" si="187"/>
        <v>0</v>
      </c>
      <c r="AW64" s="11">
        <f t="shared" si="188"/>
        <v>0</v>
      </c>
      <c r="AX64" s="11">
        <f t="shared" si="189"/>
        <v>0</v>
      </c>
      <c r="AY64" s="11">
        <f t="shared" si="190"/>
        <v>0</v>
      </c>
      <c r="AZ64" s="11">
        <f t="shared" si="191"/>
        <v>0</v>
      </c>
      <c r="BA64" s="11">
        <f t="shared" si="192"/>
        <v>0</v>
      </c>
      <c r="BB64" s="11">
        <f t="shared" si="193"/>
        <v>0</v>
      </c>
      <c r="BC64" s="11">
        <f t="shared" si="194"/>
        <v>0</v>
      </c>
      <c r="BD64" s="11">
        <f t="shared" si="195"/>
        <v>0</v>
      </c>
      <c r="BE64" s="11">
        <f t="shared" si="196"/>
        <v>0</v>
      </c>
      <c r="BF64" s="11">
        <f t="shared" si="197"/>
        <v>0</v>
      </c>
      <c r="BG64" s="71">
        <f t="shared" si="198"/>
        <v>0</v>
      </c>
      <c r="BH64" s="11">
        <f t="shared" si="199"/>
        <v>0</v>
      </c>
      <c r="BI64" s="11">
        <f t="shared" si="200"/>
        <v>0</v>
      </c>
      <c r="BJ64" s="11">
        <f t="shared" si="201"/>
        <v>0</v>
      </c>
      <c r="BK64" s="11">
        <f t="shared" si="202"/>
        <v>0</v>
      </c>
      <c r="BL64" s="11">
        <f t="shared" si="203"/>
        <v>0</v>
      </c>
      <c r="BM64" s="11">
        <f t="shared" si="204"/>
        <v>0</v>
      </c>
      <c r="BN64" s="11">
        <f t="shared" si="205"/>
        <v>0</v>
      </c>
      <c r="BO64" s="11">
        <f t="shared" si="206"/>
        <v>0</v>
      </c>
      <c r="BP64" s="11">
        <f t="shared" si="207"/>
        <v>0</v>
      </c>
      <c r="BQ64" s="11">
        <f t="shared" si="208"/>
        <v>0</v>
      </c>
      <c r="BR64" s="11">
        <f t="shared" si="209"/>
        <v>0</v>
      </c>
      <c r="BS64" s="71">
        <f t="shared" si="210"/>
        <v>0</v>
      </c>
      <c r="BT64" s="11">
        <f t="shared" si="211"/>
        <v>0</v>
      </c>
      <c r="BU64" s="11">
        <f t="shared" si="212"/>
        <v>0</v>
      </c>
      <c r="BV64" s="11">
        <f t="shared" si="213"/>
        <v>0</v>
      </c>
      <c r="BW64" s="11">
        <f t="shared" si="214"/>
        <v>0</v>
      </c>
      <c r="BX64" s="11">
        <f t="shared" si="215"/>
        <v>0</v>
      </c>
      <c r="BY64" s="11">
        <f t="shared" si="216"/>
        <v>0</v>
      </c>
      <c r="BZ64" s="11">
        <f t="shared" si="217"/>
        <v>0</v>
      </c>
      <c r="CA64" s="11">
        <f t="shared" si="218"/>
        <v>0</v>
      </c>
      <c r="CB64" s="11">
        <f t="shared" si="219"/>
        <v>0</v>
      </c>
      <c r="CC64" s="11">
        <f t="shared" si="220"/>
        <v>0</v>
      </c>
      <c r="CD64" s="11">
        <f t="shared" si="221"/>
        <v>0</v>
      </c>
      <c r="CE64" s="88">
        <f t="shared" si="222"/>
        <v>0</v>
      </c>
    </row>
    <row r="65" spans="16:83" ht="14.5" customHeight="1" x14ac:dyDescent="0.35">
      <c r="P65" s="933"/>
      <c r="Q65" s="196" t="str">
        <f>$Q$17</f>
        <v/>
      </c>
      <c r="R65" s="199">
        <f t="shared" si="160"/>
        <v>0</v>
      </c>
      <c r="S65" s="121">
        <f t="shared" si="160"/>
        <v>0</v>
      </c>
      <c r="T65" s="121">
        <f t="shared" si="160"/>
        <v>0</v>
      </c>
      <c r="U65" s="121">
        <f t="shared" si="160"/>
        <v>0</v>
      </c>
      <c r="V65" s="200">
        <f t="shared" si="160"/>
        <v>0</v>
      </c>
      <c r="W65" s="696">
        <f t="shared" si="162"/>
        <v>0</v>
      </c>
      <c r="X65" s="9">
        <f t="shared" si="163"/>
        <v>0</v>
      </c>
      <c r="Y65" s="9">
        <f t="shared" si="164"/>
        <v>0</v>
      </c>
      <c r="Z65" s="11">
        <f t="shared" si="165"/>
        <v>0</v>
      </c>
      <c r="AA65" s="11">
        <f t="shared" si="166"/>
        <v>0</v>
      </c>
      <c r="AB65" s="11">
        <f t="shared" si="167"/>
        <v>0</v>
      </c>
      <c r="AC65" s="11">
        <f t="shared" si="168"/>
        <v>0</v>
      </c>
      <c r="AD65" s="11">
        <f t="shared" si="169"/>
        <v>0</v>
      </c>
      <c r="AE65" s="11">
        <f t="shared" si="170"/>
        <v>0</v>
      </c>
      <c r="AF65" s="11">
        <f t="shared" si="171"/>
        <v>0</v>
      </c>
      <c r="AG65" s="11">
        <f t="shared" si="172"/>
        <v>0</v>
      </c>
      <c r="AH65" s="11">
        <f t="shared" si="173"/>
        <v>0</v>
      </c>
      <c r="AI65" s="71">
        <f t="shared" si="174"/>
        <v>0</v>
      </c>
      <c r="AJ65" s="201">
        <f t="shared" si="175"/>
        <v>0</v>
      </c>
      <c r="AK65" s="11">
        <f t="shared" si="176"/>
        <v>0</v>
      </c>
      <c r="AL65" s="11">
        <f t="shared" si="177"/>
        <v>0</v>
      </c>
      <c r="AM65" s="11">
        <f t="shared" si="178"/>
        <v>0</v>
      </c>
      <c r="AN65" s="11">
        <f t="shared" si="179"/>
        <v>0</v>
      </c>
      <c r="AO65" s="11">
        <f t="shared" si="180"/>
        <v>0</v>
      </c>
      <c r="AP65" s="11">
        <f t="shared" si="181"/>
        <v>0</v>
      </c>
      <c r="AQ65" s="11">
        <f t="shared" si="182"/>
        <v>0</v>
      </c>
      <c r="AR65" s="11">
        <f t="shared" si="183"/>
        <v>0</v>
      </c>
      <c r="AS65" s="11">
        <f t="shared" si="184"/>
        <v>0</v>
      </c>
      <c r="AT65" s="11">
        <f t="shared" si="185"/>
        <v>0</v>
      </c>
      <c r="AU65" s="71">
        <f t="shared" si="186"/>
        <v>0</v>
      </c>
      <c r="AV65" s="11">
        <f t="shared" si="187"/>
        <v>0</v>
      </c>
      <c r="AW65" s="11">
        <f t="shared" si="188"/>
        <v>0</v>
      </c>
      <c r="AX65" s="11">
        <f t="shared" si="189"/>
        <v>0</v>
      </c>
      <c r="AY65" s="11">
        <f t="shared" si="190"/>
        <v>0</v>
      </c>
      <c r="AZ65" s="11">
        <f t="shared" si="191"/>
        <v>0</v>
      </c>
      <c r="BA65" s="11">
        <f t="shared" si="192"/>
        <v>0</v>
      </c>
      <c r="BB65" s="11">
        <f t="shared" si="193"/>
        <v>0</v>
      </c>
      <c r="BC65" s="11">
        <f t="shared" si="194"/>
        <v>0</v>
      </c>
      <c r="BD65" s="11">
        <f t="shared" si="195"/>
        <v>0</v>
      </c>
      <c r="BE65" s="11">
        <f t="shared" si="196"/>
        <v>0</v>
      </c>
      <c r="BF65" s="11">
        <f t="shared" si="197"/>
        <v>0</v>
      </c>
      <c r="BG65" s="71">
        <f t="shared" si="198"/>
        <v>0</v>
      </c>
      <c r="BH65" s="11">
        <f t="shared" si="199"/>
        <v>0</v>
      </c>
      <c r="BI65" s="11">
        <f t="shared" si="200"/>
        <v>0</v>
      </c>
      <c r="BJ65" s="11">
        <f t="shared" si="201"/>
        <v>0</v>
      </c>
      <c r="BK65" s="11">
        <f t="shared" si="202"/>
        <v>0</v>
      </c>
      <c r="BL65" s="11">
        <f t="shared" si="203"/>
        <v>0</v>
      </c>
      <c r="BM65" s="11">
        <f t="shared" si="204"/>
        <v>0</v>
      </c>
      <c r="BN65" s="11">
        <f t="shared" si="205"/>
        <v>0</v>
      </c>
      <c r="BO65" s="11">
        <f t="shared" si="206"/>
        <v>0</v>
      </c>
      <c r="BP65" s="11">
        <f t="shared" si="207"/>
        <v>0</v>
      </c>
      <c r="BQ65" s="11">
        <f t="shared" si="208"/>
        <v>0</v>
      </c>
      <c r="BR65" s="11">
        <f t="shared" si="209"/>
        <v>0</v>
      </c>
      <c r="BS65" s="71">
        <f t="shared" si="210"/>
        <v>0</v>
      </c>
      <c r="BT65" s="11">
        <f t="shared" si="211"/>
        <v>0</v>
      </c>
      <c r="BU65" s="11">
        <f t="shared" si="212"/>
        <v>0</v>
      </c>
      <c r="BV65" s="11">
        <f t="shared" si="213"/>
        <v>0</v>
      </c>
      <c r="BW65" s="11">
        <f t="shared" si="214"/>
        <v>0</v>
      </c>
      <c r="BX65" s="11">
        <f t="shared" si="215"/>
        <v>0</v>
      </c>
      <c r="BY65" s="11">
        <f t="shared" si="216"/>
        <v>0</v>
      </c>
      <c r="BZ65" s="11">
        <f t="shared" si="217"/>
        <v>0</v>
      </c>
      <c r="CA65" s="11">
        <f t="shared" si="218"/>
        <v>0</v>
      </c>
      <c r="CB65" s="11">
        <f t="shared" si="219"/>
        <v>0</v>
      </c>
      <c r="CC65" s="11">
        <f t="shared" si="220"/>
        <v>0</v>
      </c>
      <c r="CD65" s="11">
        <f t="shared" si="221"/>
        <v>0</v>
      </c>
      <c r="CE65" s="88">
        <f t="shared" si="222"/>
        <v>0</v>
      </c>
    </row>
    <row r="66" spans="16:83" ht="14.5" customHeight="1" x14ac:dyDescent="0.35">
      <c r="P66" s="933"/>
      <c r="Q66" s="196" t="str">
        <f>$Q$18</f>
        <v/>
      </c>
      <c r="R66" s="199">
        <f t="shared" si="160"/>
        <v>0</v>
      </c>
      <c r="S66" s="121">
        <f t="shared" si="160"/>
        <v>0</v>
      </c>
      <c r="T66" s="121">
        <f t="shared" si="160"/>
        <v>0</v>
      </c>
      <c r="U66" s="121">
        <f t="shared" si="160"/>
        <v>0</v>
      </c>
      <c r="V66" s="200">
        <f t="shared" si="160"/>
        <v>0</v>
      </c>
      <c r="W66" s="696">
        <f t="shared" si="162"/>
        <v>0</v>
      </c>
      <c r="X66" s="9">
        <f t="shared" si="163"/>
        <v>0</v>
      </c>
      <c r="Y66" s="9">
        <f t="shared" si="164"/>
        <v>0</v>
      </c>
      <c r="Z66" s="11">
        <f t="shared" si="165"/>
        <v>0</v>
      </c>
      <c r="AA66" s="11">
        <f t="shared" si="166"/>
        <v>0</v>
      </c>
      <c r="AB66" s="11">
        <f t="shared" si="167"/>
        <v>0</v>
      </c>
      <c r="AC66" s="11">
        <f t="shared" si="168"/>
        <v>0</v>
      </c>
      <c r="AD66" s="11">
        <f t="shared" si="169"/>
        <v>0</v>
      </c>
      <c r="AE66" s="11">
        <f t="shared" si="170"/>
        <v>0</v>
      </c>
      <c r="AF66" s="11">
        <f t="shared" si="171"/>
        <v>0</v>
      </c>
      <c r="AG66" s="11">
        <f t="shared" si="172"/>
        <v>0</v>
      </c>
      <c r="AH66" s="11">
        <f t="shared" si="173"/>
        <v>0</v>
      </c>
      <c r="AI66" s="71">
        <f t="shared" si="174"/>
        <v>0</v>
      </c>
      <c r="AJ66" s="201">
        <f t="shared" si="175"/>
        <v>0</v>
      </c>
      <c r="AK66" s="11">
        <f t="shared" si="176"/>
        <v>0</v>
      </c>
      <c r="AL66" s="11">
        <f t="shared" si="177"/>
        <v>0</v>
      </c>
      <c r="AM66" s="11">
        <f t="shared" si="178"/>
        <v>0</v>
      </c>
      <c r="AN66" s="11">
        <f t="shared" si="179"/>
        <v>0</v>
      </c>
      <c r="AO66" s="11">
        <f t="shared" si="180"/>
        <v>0</v>
      </c>
      <c r="AP66" s="11">
        <f t="shared" si="181"/>
        <v>0</v>
      </c>
      <c r="AQ66" s="11">
        <f t="shared" si="182"/>
        <v>0</v>
      </c>
      <c r="AR66" s="11">
        <f t="shared" si="183"/>
        <v>0</v>
      </c>
      <c r="AS66" s="11">
        <f t="shared" si="184"/>
        <v>0</v>
      </c>
      <c r="AT66" s="11">
        <f t="shared" si="185"/>
        <v>0</v>
      </c>
      <c r="AU66" s="71">
        <f t="shared" si="186"/>
        <v>0</v>
      </c>
      <c r="AV66" s="11">
        <f t="shared" si="187"/>
        <v>0</v>
      </c>
      <c r="AW66" s="11">
        <f t="shared" si="188"/>
        <v>0</v>
      </c>
      <c r="AX66" s="11">
        <f t="shared" si="189"/>
        <v>0</v>
      </c>
      <c r="AY66" s="11">
        <f t="shared" si="190"/>
        <v>0</v>
      </c>
      <c r="AZ66" s="11">
        <f t="shared" si="191"/>
        <v>0</v>
      </c>
      <c r="BA66" s="11">
        <f t="shared" si="192"/>
        <v>0</v>
      </c>
      <c r="BB66" s="11">
        <f t="shared" si="193"/>
        <v>0</v>
      </c>
      <c r="BC66" s="11">
        <f t="shared" si="194"/>
        <v>0</v>
      </c>
      <c r="BD66" s="11">
        <f t="shared" si="195"/>
        <v>0</v>
      </c>
      <c r="BE66" s="11">
        <f t="shared" si="196"/>
        <v>0</v>
      </c>
      <c r="BF66" s="11">
        <f t="shared" si="197"/>
        <v>0</v>
      </c>
      <c r="BG66" s="71">
        <f t="shared" si="198"/>
        <v>0</v>
      </c>
      <c r="BH66" s="11">
        <f t="shared" si="199"/>
        <v>0</v>
      </c>
      <c r="BI66" s="11">
        <f t="shared" si="200"/>
        <v>0</v>
      </c>
      <c r="BJ66" s="11">
        <f t="shared" si="201"/>
        <v>0</v>
      </c>
      <c r="BK66" s="11">
        <f t="shared" si="202"/>
        <v>0</v>
      </c>
      <c r="BL66" s="11">
        <f t="shared" si="203"/>
        <v>0</v>
      </c>
      <c r="BM66" s="11">
        <f t="shared" si="204"/>
        <v>0</v>
      </c>
      <c r="BN66" s="11">
        <f t="shared" si="205"/>
        <v>0</v>
      </c>
      <c r="BO66" s="11">
        <f t="shared" si="206"/>
        <v>0</v>
      </c>
      <c r="BP66" s="11">
        <f t="shared" si="207"/>
        <v>0</v>
      </c>
      <c r="BQ66" s="11">
        <f t="shared" si="208"/>
        <v>0</v>
      </c>
      <c r="BR66" s="11">
        <f t="shared" si="209"/>
        <v>0</v>
      </c>
      <c r="BS66" s="71">
        <f t="shared" si="210"/>
        <v>0</v>
      </c>
      <c r="BT66" s="11">
        <f t="shared" si="211"/>
        <v>0</v>
      </c>
      <c r="BU66" s="11">
        <f t="shared" si="212"/>
        <v>0</v>
      </c>
      <c r="BV66" s="11">
        <f t="shared" si="213"/>
        <v>0</v>
      </c>
      <c r="BW66" s="11">
        <f t="shared" si="214"/>
        <v>0</v>
      </c>
      <c r="BX66" s="11">
        <f t="shared" si="215"/>
        <v>0</v>
      </c>
      <c r="BY66" s="11">
        <f t="shared" si="216"/>
        <v>0</v>
      </c>
      <c r="BZ66" s="11">
        <f t="shared" si="217"/>
        <v>0</v>
      </c>
      <c r="CA66" s="11">
        <f t="shared" si="218"/>
        <v>0</v>
      </c>
      <c r="CB66" s="11">
        <f t="shared" si="219"/>
        <v>0</v>
      </c>
      <c r="CC66" s="11">
        <f t="shared" si="220"/>
        <v>0</v>
      </c>
      <c r="CD66" s="11">
        <f t="shared" si="221"/>
        <v>0</v>
      </c>
      <c r="CE66" s="88">
        <f t="shared" si="222"/>
        <v>0</v>
      </c>
    </row>
    <row r="67" spans="16:83" ht="14.5" customHeight="1" x14ac:dyDescent="0.35">
      <c r="P67" s="933"/>
      <c r="Q67" s="196" t="str">
        <f>$Q$19</f>
        <v/>
      </c>
      <c r="R67" s="199">
        <f t="shared" si="160"/>
        <v>0</v>
      </c>
      <c r="S67" s="121">
        <f t="shared" si="160"/>
        <v>0</v>
      </c>
      <c r="T67" s="121">
        <f t="shared" si="160"/>
        <v>0</v>
      </c>
      <c r="U67" s="121">
        <f t="shared" si="160"/>
        <v>0</v>
      </c>
      <c r="V67" s="200">
        <f t="shared" si="160"/>
        <v>0</v>
      </c>
      <c r="W67" s="696">
        <f t="shared" si="162"/>
        <v>0</v>
      </c>
      <c r="X67" s="9">
        <f t="shared" si="163"/>
        <v>0</v>
      </c>
      <c r="Y67" s="9">
        <f t="shared" si="164"/>
        <v>0</v>
      </c>
      <c r="Z67" s="11">
        <f t="shared" si="165"/>
        <v>0</v>
      </c>
      <c r="AA67" s="11">
        <f t="shared" si="166"/>
        <v>0</v>
      </c>
      <c r="AB67" s="11">
        <f t="shared" si="167"/>
        <v>0</v>
      </c>
      <c r="AC67" s="11">
        <f t="shared" si="168"/>
        <v>0</v>
      </c>
      <c r="AD67" s="11">
        <f t="shared" si="169"/>
        <v>0</v>
      </c>
      <c r="AE67" s="11">
        <f t="shared" si="170"/>
        <v>0</v>
      </c>
      <c r="AF67" s="11">
        <f t="shared" si="171"/>
        <v>0</v>
      </c>
      <c r="AG67" s="11">
        <f t="shared" si="172"/>
        <v>0</v>
      </c>
      <c r="AH67" s="11">
        <f t="shared" si="173"/>
        <v>0</v>
      </c>
      <c r="AI67" s="71">
        <f t="shared" si="174"/>
        <v>0</v>
      </c>
      <c r="AJ67" s="201">
        <f t="shared" si="175"/>
        <v>0</v>
      </c>
      <c r="AK67" s="11">
        <f t="shared" si="176"/>
        <v>0</v>
      </c>
      <c r="AL67" s="11">
        <f t="shared" si="177"/>
        <v>0</v>
      </c>
      <c r="AM67" s="11">
        <f t="shared" si="178"/>
        <v>0</v>
      </c>
      <c r="AN67" s="11">
        <f t="shared" si="179"/>
        <v>0</v>
      </c>
      <c r="AO67" s="11">
        <f t="shared" si="180"/>
        <v>0</v>
      </c>
      <c r="AP67" s="11">
        <f t="shared" si="181"/>
        <v>0</v>
      </c>
      <c r="AQ67" s="11">
        <f t="shared" si="182"/>
        <v>0</v>
      </c>
      <c r="AR67" s="11">
        <f t="shared" si="183"/>
        <v>0</v>
      </c>
      <c r="AS67" s="11">
        <f t="shared" si="184"/>
        <v>0</v>
      </c>
      <c r="AT67" s="11">
        <f t="shared" si="185"/>
        <v>0</v>
      </c>
      <c r="AU67" s="71">
        <f t="shared" si="186"/>
        <v>0</v>
      </c>
      <c r="AV67" s="11">
        <f t="shared" si="187"/>
        <v>0</v>
      </c>
      <c r="AW67" s="11">
        <f t="shared" si="188"/>
        <v>0</v>
      </c>
      <c r="AX67" s="11">
        <f t="shared" si="189"/>
        <v>0</v>
      </c>
      <c r="AY67" s="11">
        <f t="shared" si="190"/>
        <v>0</v>
      </c>
      <c r="AZ67" s="11">
        <f t="shared" si="191"/>
        <v>0</v>
      </c>
      <c r="BA67" s="11">
        <f t="shared" si="192"/>
        <v>0</v>
      </c>
      <c r="BB67" s="11">
        <f t="shared" si="193"/>
        <v>0</v>
      </c>
      <c r="BC67" s="11">
        <f t="shared" si="194"/>
        <v>0</v>
      </c>
      <c r="BD67" s="11">
        <f t="shared" si="195"/>
        <v>0</v>
      </c>
      <c r="BE67" s="11">
        <f t="shared" si="196"/>
        <v>0</v>
      </c>
      <c r="BF67" s="11">
        <f t="shared" si="197"/>
        <v>0</v>
      </c>
      <c r="BG67" s="71">
        <f t="shared" si="198"/>
        <v>0</v>
      </c>
      <c r="BH67" s="11">
        <f t="shared" si="199"/>
        <v>0</v>
      </c>
      <c r="BI67" s="11">
        <f t="shared" si="200"/>
        <v>0</v>
      </c>
      <c r="BJ67" s="11">
        <f t="shared" si="201"/>
        <v>0</v>
      </c>
      <c r="BK67" s="11">
        <f t="shared" si="202"/>
        <v>0</v>
      </c>
      <c r="BL67" s="11">
        <f t="shared" si="203"/>
        <v>0</v>
      </c>
      <c r="BM67" s="11">
        <f t="shared" si="204"/>
        <v>0</v>
      </c>
      <c r="BN67" s="11">
        <f t="shared" si="205"/>
        <v>0</v>
      </c>
      <c r="BO67" s="11">
        <f t="shared" si="206"/>
        <v>0</v>
      </c>
      <c r="BP67" s="11">
        <f t="shared" si="207"/>
        <v>0</v>
      </c>
      <c r="BQ67" s="11">
        <f t="shared" si="208"/>
        <v>0</v>
      </c>
      <c r="BR67" s="11">
        <f t="shared" si="209"/>
        <v>0</v>
      </c>
      <c r="BS67" s="71">
        <f t="shared" si="210"/>
        <v>0</v>
      </c>
      <c r="BT67" s="11">
        <f t="shared" si="211"/>
        <v>0</v>
      </c>
      <c r="BU67" s="11">
        <f t="shared" si="212"/>
        <v>0</v>
      </c>
      <c r="BV67" s="11">
        <f t="shared" si="213"/>
        <v>0</v>
      </c>
      <c r="BW67" s="11">
        <f t="shared" si="214"/>
        <v>0</v>
      </c>
      <c r="BX67" s="11">
        <f t="shared" si="215"/>
        <v>0</v>
      </c>
      <c r="BY67" s="11">
        <f t="shared" si="216"/>
        <v>0</v>
      </c>
      <c r="BZ67" s="11">
        <f t="shared" si="217"/>
        <v>0</v>
      </c>
      <c r="CA67" s="11">
        <f t="shared" si="218"/>
        <v>0</v>
      </c>
      <c r="CB67" s="11">
        <f t="shared" si="219"/>
        <v>0</v>
      </c>
      <c r="CC67" s="11">
        <f t="shared" si="220"/>
        <v>0</v>
      </c>
      <c r="CD67" s="11">
        <f t="shared" si="221"/>
        <v>0</v>
      </c>
      <c r="CE67" s="88">
        <f t="shared" si="222"/>
        <v>0</v>
      </c>
    </row>
    <row r="68" spans="16:83" ht="14.5" customHeight="1" x14ac:dyDescent="0.35">
      <c r="P68" s="933"/>
      <c r="Q68" s="736" t="str">
        <f>$Q$20</f>
        <v/>
      </c>
      <c r="R68" s="737">
        <f t="shared" si="160"/>
        <v>0</v>
      </c>
      <c r="S68" s="738">
        <f t="shared" si="160"/>
        <v>0</v>
      </c>
      <c r="T68" s="738">
        <f t="shared" si="160"/>
        <v>0</v>
      </c>
      <c r="U68" s="738">
        <f t="shared" si="160"/>
        <v>0</v>
      </c>
      <c r="V68" s="739">
        <f t="shared" si="160"/>
        <v>0</v>
      </c>
      <c r="W68" s="740">
        <f t="shared" si="162"/>
        <v>0</v>
      </c>
      <c r="X68" s="741">
        <f t="shared" si="163"/>
        <v>0</v>
      </c>
      <c r="Y68" s="741">
        <f t="shared" si="164"/>
        <v>0</v>
      </c>
      <c r="Z68" s="742">
        <f t="shared" si="165"/>
        <v>0</v>
      </c>
      <c r="AA68" s="742">
        <f t="shared" si="166"/>
        <v>0</v>
      </c>
      <c r="AB68" s="742">
        <f t="shared" si="167"/>
        <v>0</v>
      </c>
      <c r="AC68" s="742">
        <f t="shared" si="168"/>
        <v>0</v>
      </c>
      <c r="AD68" s="742">
        <f t="shared" si="169"/>
        <v>0</v>
      </c>
      <c r="AE68" s="742">
        <f t="shared" si="170"/>
        <v>0</v>
      </c>
      <c r="AF68" s="742">
        <f t="shared" si="171"/>
        <v>0</v>
      </c>
      <c r="AG68" s="742">
        <f t="shared" si="172"/>
        <v>0</v>
      </c>
      <c r="AH68" s="742">
        <f t="shared" si="173"/>
        <v>0</v>
      </c>
      <c r="AI68" s="743">
        <f t="shared" si="174"/>
        <v>0</v>
      </c>
      <c r="AJ68" s="744">
        <f t="shared" si="175"/>
        <v>0</v>
      </c>
      <c r="AK68" s="742">
        <f t="shared" si="176"/>
        <v>0</v>
      </c>
      <c r="AL68" s="742">
        <f t="shared" si="177"/>
        <v>0</v>
      </c>
      <c r="AM68" s="742">
        <f t="shared" si="178"/>
        <v>0</v>
      </c>
      <c r="AN68" s="742">
        <f t="shared" si="179"/>
        <v>0</v>
      </c>
      <c r="AO68" s="742">
        <f t="shared" si="180"/>
        <v>0</v>
      </c>
      <c r="AP68" s="742">
        <f t="shared" si="181"/>
        <v>0</v>
      </c>
      <c r="AQ68" s="742">
        <f t="shared" si="182"/>
        <v>0</v>
      </c>
      <c r="AR68" s="742">
        <f t="shared" si="183"/>
        <v>0</v>
      </c>
      <c r="AS68" s="742">
        <f t="shared" si="184"/>
        <v>0</v>
      </c>
      <c r="AT68" s="742">
        <f t="shared" si="185"/>
        <v>0</v>
      </c>
      <c r="AU68" s="743">
        <f t="shared" si="186"/>
        <v>0</v>
      </c>
      <c r="AV68" s="742">
        <f t="shared" si="187"/>
        <v>0</v>
      </c>
      <c r="AW68" s="742">
        <f t="shared" si="188"/>
        <v>0</v>
      </c>
      <c r="AX68" s="742">
        <f t="shared" si="189"/>
        <v>0</v>
      </c>
      <c r="AY68" s="742">
        <f t="shared" si="190"/>
        <v>0</v>
      </c>
      <c r="AZ68" s="742">
        <f t="shared" si="191"/>
        <v>0</v>
      </c>
      <c r="BA68" s="742">
        <f t="shared" si="192"/>
        <v>0</v>
      </c>
      <c r="BB68" s="742">
        <f t="shared" si="193"/>
        <v>0</v>
      </c>
      <c r="BC68" s="742">
        <f t="shared" si="194"/>
        <v>0</v>
      </c>
      <c r="BD68" s="742">
        <f t="shared" si="195"/>
        <v>0</v>
      </c>
      <c r="BE68" s="742">
        <f t="shared" si="196"/>
        <v>0</v>
      </c>
      <c r="BF68" s="742">
        <f t="shared" si="197"/>
        <v>0</v>
      </c>
      <c r="BG68" s="743">
        <f t="shared" si="198"/>
        <v>0</v>
      </c>
      <c r="BH68" s="742">
        <f t="shared" si="199"/>
        <v>0</v>
      </c>
      <c r="BI68" s="742">
        <f t="shared" si="200"/>
        <v>0</v>
      </c>
      <c r="BJ68" s="742">
        <f t="shared" si="201"/>
        <v>0</v>
      </c>
      <c r="BK68" s="742">
        <f t="shared" si="202"/>
        <v>0</v>
      </c>
      <c r="BL68" s="742">
        <f t="shared" si="203"/>
        <v>0</v>
      </c>
      <c r="BM68" s="742">
        <f t="shared" si="204"/>
        <v>0</v>
      </c>
      <c r="BN68" s="742">
        <f t="shared" si="205"/>
        <v>0</v>
      </c>
      <c r="BO68" s="742">
        <f t="shared" si="206"/>
        <v>0</v>
      </c>
      <c r="BP68" s="742">
        <f t="shared" si="207"/>
        <v>0</v>
      </c>
      <c r="BQ68" s="742">
        <f t="shared" si="208"/>
        <v>0</v>
      </c>
      <c r="BR68" s="742">
        <f t="shared" si="209"/>
        <v>0</v>
      </c>
      <c r="BS68" s="743">
        <f t="shared" si="210"/>
        <v>0</v>
      </c>
      <c r="BT68" s="742">
        <f t="shared" si="211"/>
        <v>0</v>
      </c>
      <c r="BU68" s="742">
        <f t="shared" si="212"/>
        <v>0</v>
      </c>
      <c r="BV68" s="742">
        <f t="shared" si="213"/>
        <v>0</v>
      </c>
      <c r="BW68" s="742">
        <f t="shared" si="214"/>
        <v>0</v>
      </c>
      <c r="BX68" s="742">
        <f t="shared" si="215"/>
        <v>0</v>
      </c>
      <c r="BY68" s="742">
        <f t="shared" si="216"/>
        <v>0</v>
      </c>
      <c r="BZ68" s="742">
        <f t="shared" si="217"/>
        <v>0</v>
      </c>
      <c r="CA68" s="742">
        <f t="shared" si="218"/>
        <v>0</v>
      </c>
      <c r="CB68" s="742">
        <f t="shared" si="219"/>
        <v>0</v>
      </c>
      <c r="CC68" s="742">
        <f t="shared" si="220"/>
        <v>0</v>
      </c>
      <c r="CD68" s="742">
        <f t="shared" si="221"/>
        <v>0</v>
      </c>
      <c r="CE68" s="745">
        <f t="shared" si="222"/>
        <v>0</v>
      </c>
    </row>
    <row r="69" spans="16:83" x14ac:dyDescent="0.35">
      <c r="P69" s="933"/>
      <c r="Q69" s="731" t="s">
        <v>264</v>
      </c>
      <c r="R69" s="732">
        <f t="shared" ref="R69" ca="1" si="223">SUM(R70:R84)</f>
        <v>0</v>
      </c>
      <c r="S69" s="733">
        <f t="shared" ref="S69:T69" ca="1" si="224">SUM(S70:S84)</f>
        <v>0</v>
      </c>
      <c r="T69" s="733">
        <f t="shared" ca="1" si="224"/>
        <v>0</v>
      </c>
      <c r="U69" s="733">
        <f ca="1">SUM(U70:U84)</f>
        <v>0</v>
      </c>
      <c r="V69" s="734">
        <f ca="1">SUM(V70:V84)</f>
        <v>0</v>
      </c>
      <c r="W69" s="732">
        <f t="shared" ref="W69" si="225">SUM(W70:W84)</f>
        <v>0</v>
      </c>
      <c r="X69" s="732">
        <f t="shared" ref="X69:Y69" ca="1" si="226">SUM(X70:X84)</f>
        <v>0</v>
      </c>
      <c r="Y69" s="733">
        <f t="shared" ca="1" si="226"/>
        <v>0</v>
      </c>
      <c r="Z69" s="733">
        <f ca="1">SUM(Z70:Z84)</f>
        <v>0</v>
      </c>
      <c r="AA69" s="733">
        <f t="shared" ref="AA69" ca="1" si="227">SUM(AA70:AA84)</f>
        <v>0</v>
      </c>
      <c r="AB69" s="733">
        <f ca="1">SUM(AB70:AB84)</f>
        <v>0</v>
      </c>
      <c r="AC69" s="733">
        <f t="shared" ref="AC69:BS69" ca="1" si="228">SUM(AC70:AC84)</f>
        <v>0</v>
      </c>
      <c r="AD69" s="733">
        <f t="shared" ca="1" si="228"/>
        <v>0</v>
      </c>
      <c r="AE69" s="733">
        <f t="shared" ca="1" si="228"/>
        <v>0</v>
      </c>
      <c r="AF69" s="733">
        <f t="shared" ca="1" si="228"/>
        <v>0</v>
      </c>
      <c r="AG69" s="733">
        <f t="shared" ca="1" si="228"/>
        <v>0</v>
      </c>
      <c r="AH69" s="733">
        <f t="shared" ca="1" si="228"/>
        <v>0</v>
      </c>
      <c r="AI69" s="734">
        <f t="shared" ca="1" si="228"/>
        <v>0</v>
      </c>
      <c r="AJ69" s="732">
        <f t="shared" ca="1" si="228"/>
        <v>0</v>
      </c>
      <c r="AK69" s="733">
        <f t="shared" ca="1" si="228"/>
        <v>0</v>
      </c>
      <c r="AL69" s="733">
        <f t="shared" ca="1" si="228"/>
        <v>0</v>
      </c>
      <c r="AM69" s="733">
        <f t="shared" ca="1" si="228"/>
        <v>0</v>
      </c>
      <c r="AN69" s="733">
        <f t="shared" ca="1" si="228"/>
        <v>0</v>
      </c>
      <c r="AO69" s="733">
        <f t="shared" ca="1" si="228"/>
        <v>0</v>
      </c>
      <c r="AP69" s="733">
        <f t="shared" ca="1" si="228"/>
        <v>0</v>
      </c>
      <c r="AQ69" s="733">
        <f t="shared" ca="1" si="228"/>
        <v>0</v>
      </c>
      <c r="AR69" s="733">
        <f t="shared" ca="1" si="228"/>
        <v>0</v>
      </c>
      <c r="AS69" s="733">
        <f t="shared" ca="1" si="228"/>
        <v>0</v>
      </c>
      <c r="AT69" s="733">
        <f t="shared" ca="1" si="228"/>
        <v>0</v>
      </c>
      <c r="AU69" s="734">
        <f t="shared" ca="1" si="228"/>
        <v>0</v>
      </c>
      <c r="AV69" s="732">
        <f t="shared" ca="1" si="228"/>
        <v>0</v>
      </c>
      <c r="AW69" s="733">
        <f t="shared" ca="1" si="228"/>
        <v>0</v>
      </c>
      <c r="AX69" s="733">
        <f t="shared" ca="1" si="228"/>
        <v>0</v>
      </c>
      <c r="AY69" s="733">
        <f t="shared" ca="1" si="228"/>
        <v>0</v>
      </c>
      <c r="AZ69" s="733">
        <f t="shared" ca="1" si="228"/>
        <v>0</v>
      </c>
      <c r="BA69" s="733">
        <f t="shared" ca="1" si="228"/>
        <v>0</v>
      </c>
      <c r="BB69" s="733">
        <f t="shared" ca="1" si="228"/>
        <v>0</v>
      </c>
      <c r="BC69" s="733">
        <f t="shared" ca="1" si="228"/>
        <v>0</v>
      </c>
      <c r="BD69" s="733">
        <f t="shared" ca="1" si="228"/>
        <v>0</v>
      </c>
      <c r="BE69" s="733">
        <f t="shared" ca="1" si="228"/>
        <v>0</v>
      </c>
      <c r="BF69" s="733">
        <f t="shared" ca="1" si="228"/>
        <v>0</v>
      </c>
      <c r="BG69" s="734">
        <f t="shared" ca="1" si="228"/>
        <v>0</v>
      </c>
      <c r="BH69" s="733">
        <f t="shared" ca="1" si="228"/>
        <v>0</v>
      </c>
      <c r="BI69" s="733">
        <f t="shared" ca="1" si="228"/>
        <v>0</v>
      </c>
      <c r="BJ69" s="733">
        <f t="shared" ca="1" si="228"/>
        <v>0</v>
      </c>
      <c r="BK69" s="733">
        <f t="shared" ca="1" si="228"/>
        <v>0</v>
      </c>
      <c r="BL69" s="733">
        <f t="shared" ca="1" si="228"/>
        <v>0</v>
      </c>
      <c r="BM69" s="733">
        <f t="shared" ca="1" si="228"/>
        <v>0</v>
      </c>
      <c r="BN69" s="733">
        <f t="shared" ca="1" si="228"/>
        <v>0</v>
      </c>
      <c r="BO69" s="733">
        <f t="shared" ca="1" si="228"/>
        <v>0</v>
      </c>
      <c r="BP69" s="733">
        <f t="shared" ca="1" si="228"/>
        <v>0</v>
      </c>
      <c r="BQ69" s="733">
        <f t="shared" ca="1" si="228"/>
        <v>0</v>
      </c>
      <c r="BR69" s="733">
        <f t="shared" ca="1" si="228"/>
        <v>0</v>
      </c>
      <c r="BS69" s="734">
        <f t="shared" ca="1" si="228"/>
        <v>0</v>
      </c>
      <c r="BT69" s="733">
        <f t="shared" ref="BT69:CE69" ca="1" si="229">SUM(BT70:BT84)</f>
        <v>0</v>
      </c>
      <c r="BU69" s="733">
        <f t="shared" ca="1" si="229"/>
        <v>0</v>
      </c>
      <c r="BV69" s="733">
        <f t="shared" ca="1" si="229"/>
        <v>0</v>
      </c>
      <c r="BW69" s="733">
        <f t="shared" ca="1" si="229"/>
        <v>0</v>
      </c>
      <c r="BX69" s="733">
        <f t="shared" ca="1" si="229"/>
        <v>0</v>
      </c>
      <c r="BY69" s="733">
        <f t="shared" ca="1" si="229"/>
        <v>0</v>
      </c>
      <c r="BZ69" s="733">
        <f t="shared" ca="1" si="229"/>
        <v>0</v>
      </c>
      <c r="CA69" s="733">
        <f t="shared" ca="1" si="229"/>
        <v>0</v>
      </c>
      <c r="CB69" s="733">
        <f t="shared" ca="1" si="229"/>
        <v>0</v>
      </c>
      <c r="CC69" s="733">
        <f t="shared" ca="1" si="229"/>
        <v>0</v>
      </c>
      <c r="CD69" s="733">
        <f t="shared" ca="1" si="229"/>
        <v>0</v>
      </c>
      <c r="CE69" s="735">
        <f t="shared" ca="1" si="229"/>
        <v>0</v>
      </c>
    </row>
    <row r="70" spans="16:83" x14ac:dyDescent="0.35">
      <c r="P70" s="933"/>
      <c r="Q70" s="194" t="str">
        <f>$Q$6</f>
        <v/>
      </c>
      <c r="R70" s="197">
        <f t="shared" ref="R70:V84" ca="1" si="230">_xlfn.MAXIFS($X70:$CE70,$X$2:$CE$2,R$2)</f>
        <v>0</v>
      </c>
      <c r="S70" s="191">
        <f t="shared" ca="1" si="230"/>
        <v>0</v>
      </c>
      <c r="T70" s="191">
        <f t="shared" ca="1" si="230"/>
        <v>0</v>
      </c>
      <c r="U70" s="191">
        <f t="shared" ca="1" si="230"/>
        <v>0</v>
      </c>
      <c r="V70" s="198">
        <f t="shared" ref="V70" ca="1" si="231">_xlfn.MAXIFS($X70:$CE70,$X$2:$CE$2,V$2)</f>
        <v>0</v>
      </c>
      <c r="W70" s="697">
        <v>0</v>
      </c>
      <c r="X70" s="190">
        <f t="array" aca="1" ref="X70:BS84" ca="1">OFFSET(X6:BS20,0,2)</f>
        <v>0</v>
      </c>
      <c r="Y70" s="683">
        <f ca="1"/>
        <v>0</v>
      </c>
      <c r="Z70" s="684">
        <f ca="1"/>
        <v>0</v>
      </c>
      <c r="AA70" s="684">
        <f ca="1"/>
        <v>0</v>
      </c>
      <c r="AB70" s="684">
        <f ca="1"/>
        <v>0</v>
      </c>
      <c r="AC70" s="684">
        <f ca="1"/>
        <v>0</v>
      </c>
      <c r="AD70" s="684">
        <f ca="1"/>
        <v>0</v>
      </c>
      <c r="AE70" s="289">
        <f ca="1"/>
        <v>0</v>
      </c>
      <c r="AF70" s="289">
        <f ca="1"/>
        <v>0</v>
      </c>
      <c r="AG70" s="289">
        <f ca="1"/>
        <v>0</v>
      </c>
      <c r="AH70" s="289">
        <f ca="1"/>
        <v>0</v>
      </c>
      <c r="AI70" s="290">
        <f ca="1"/>
        <v>0</v>
      </c>
      <c r="AJ70" s="288">
        <f ca="1"/>
        <v>0</v>
      </c>
      <c r="AK70" s="289">
        <f ca="1"/>
        <v>0</v>
      </c>
      <c r="AL70" s="289">
        <f ca="1"/>
        <v>0</v>
      </c>
      <c r="AM70" s="289">
        <f ca="1"/>
        <v>0</v>
      </c>
      <c r="AN70" s="289">
        <f ca="1"/>
        <v>0</v>
      </c>
      <c r="AO70" s="289">
        <f ca="1"/>
        <v>0</v>
      </c>
      <c r="AP70" s="289">
        <f ca="1"/>
        <v>0</v>
      </c>
      <c r="AQ70" s="289">
        <f ca="1"/>
        <v>0</v>
      </c>
      <c r="AR70" s="289">
        <f ca="1"/>
        <v>0</v>
      </c>
      <c r="AS70" s="289">
        <f ca="1"/>
        <v>0</v>
      </c>
      <c r="AT70" s="289">
        <f ca="1"/>
        <v>0</v>
      </c>
      <c r="AU70" s="290">
        <f ca="1"/>
        <v>0</v>
      </c>
      <c r="AV70" s="289">
        <f ca="1"/>
        <v>0</v>
      </c>
      <c r="AW70" s="289">
        <f ca="1"/>
        <v>0</v>
      </c>
      <c r="AX70" s="289">
        <f ca="1"/>
        <v>0</v>
      </c>
      <c r="AY70" s="289">
        <f ca="1"/>
        <v>0</v>
      </c>
      <c r="AZ70" s="289">
        <f ca="1"/>
        <v>0</v>
      </c>
      <c r="BA70" s="289">
        <f ca="1"/>
        <v>0</v>
      </c>
      <c r="BB70" s="289">
        <f ca="1"/>
        <v>0</v>
      </c>
      <c r="BC70" s="289">
        <f ca="1"/>
        <v>0</v>
      </c>
      <c r="BD70" s="289">
        <f ca="1"/>
        <v>0</v>
      </c>
      <c r="BE70" s="289">
        <f ca="1"/>
        <v>0</v>
      </c>
      <c r="BF70" s="289">
        <f ca="1"/>
        <v>0</v>
      </c>
      <c r="BG70" s="290">
        <f ca="1"/>
        <v>0</v>
      </c>
      <c r="BH70" s="289">
        <f ca="1"/>
        <v>0</v>
      </c>
      <c r="BI70" s="289">
        <f ca="1"/>
        <v>0</v>
      </c>
      <c r="BJ70" s="289">
        <f ca="1"/>
        <v>0</v>
      </c>
      <c r="BK70" s="289">
        <f ca="1"/>
        <v>0</v>
      </c>
      <c r="BL70" s="289">
        <f ca="1"/>
        <v>0</v>
      </c>
      <c r="BM70" s="289">
        <f ca="1"/>
        <v>0</v>
      </c>
      <c r="BN70" s="289">
        <f ca="1"/>
        <v>0</v>
      </c>
      <c r="BO70" s="289">
        <f ca="1"/>
        <v>0</v>
      </c>
      <c r="BP70" s="289">
        <f ca="1"/>
        <v>0</v>
      </c>
      <c r="BQ70" s="289">
        <f ca="1"/>
        <v>0</v>
      </c>
      <c r="BR70" s="289">
        <f ca="1"/>
        <v>0</v>
      </c>
      <c r="BS70" s="290">
        <f ca="1"/>
        <v>0</v>
      </c>
      <c r="BT70" s="289">
        <f t="array" aca="1" ref="BT70:CE84" ca="1">OFFSET(BT6:DO20,0,'UW Model'!BK$15-1)</f>
        <v>0</v>
      </c>
      <c r="BU70" s="289">
        <f ca="1"/>
        <v>0</v>
      </c>
      <c r="BV70" s="289">
        <f ca="1"/>
        <v>0</v>
      </c>
      <c r="BW70" s="289">
        <f ca="1"/>
        <v>0</v>
      </c>
      <c r="BX70" s="289">
        <f ca="1"/>
        <v>0</v>
      </c>
      <c r="BY70" s="289">
        <f ca="1"/>
        <v>0</v>
      </c>
      <c r="BZ70" s="289">
        <f ca="1"/>
        <v>0</v>
      </c>
      <c r="CA70" s="289">
        <f ca="1"/>
        <v>0</v>
      </c>
      <c r="CB70" s="289">
        <f ca="1"/>
        <v>0</v>
      </c>
      <c r="CC70" s="289">
        <f ca="1"/>
        <v>0</v>
      </c>
      <c r="CD70" s="289">
        <f ca="1"/>
        <v>0</v>
      </c>
      <c r="CE70" s="291">
        <f ca="1"/>
        <v>0</v>
      </c>
    </row>
    <row r="71" spans="16:83" x14ac:dyDescent="0.35">
      <c r="P71" s="933"/>
      <c r="Q71" s="194" t="str">
        <f>$Q$7</f>
        <v/>
      </c>
      <c r="R71" s="197">
        <f t="shared" ca="1" si="230"/>
        <v>0</v>
      </c>
      <c r="S71" s="191">
        <f t="shared" ca="1" si="230"/>
        <v>0</v>
      </c>
      <c r="T71" s="191">
        <f t="shared" ca="1" si="230"/>
        <v>0</v>
      </c>
      <c r="U71" s="191">
        <f t="shared" ca="1" si="230"/>
        <v>0</v>
      </c>
      <c r="V71" s="198">
        <f t="shared" ca="1" si="230"/>
        <v>0</v>
      </c>
      <c r="W71" s="698">
        <v>0</v>
      </c>
      <c r="X71" s="190">
        <f ca="1"/>
        <v>0</v>
      </c>
      <c r="Y71" s="683">
        <f ca="1"/>
        <v>0</v>
      </c>
      <c r="Z71" s="684">
        <f ca="1"/>
        <v>0</v>
      </c>
      <c r="AA71" s="684">
        <f ca="1"/>
        <v>0</v>
      </c>
      <c r="AB71" s="684">
        <f ca="1"/>
        <v>0</v>
      </c>
      <c r="AC71" s="684">
        <f ca="1"/>
        <v>0</v>
      </c>
      <c r="AD71" s="684">
        <f ca="1"/>
        <v>0</v>
      </c>
      <c r="AE71" s="289">
        <f ca="1"/>
        <v>0</v>
      </c>
      <c r="AF71" s="289">
        <f ca="1"/>
        <v>0</v>
      </c>
      <c r="AG71" s="289">
        <f ca="1"/>
        <v>0</v>
      </c>
      <c r="AH71" s="289">
        <f ca="1"/>
        <v>0</v>
      </c>
      <c r="AI71" s="290">
        <f ca="1"/>
        <v>0</v>
      </c>
      <c r="AJ71" s="288">
        <f ca="1"/>
        <v>0</v>
      </c>
      <c r="AK71" s="289">
        <f ca="1"/>
        <v>0</v>
      </c>
      <c r="AL71" s="289">
        <f ca="1"/>
        <v>0</v>
      </c>
      <c r="AM71" s="289">
        <f ca="1"/>
        <v>0</v>
      </c>
      <c r="AN71" s="289">
        <f ca="1"/>
        <v>0</v>
      </c>
      <c r="AO71" s="289">
        <f ca="1"/>
        <v>0</v>
      </c>
      <c r="AP71" s="289">
        <f ca="1"/>
        <v>0</v>
      </c>
      <c r="AQ71" s="289">
        <f ca="1"/>
        <v>0</v>
      </c>
      <c r="AR71" s="289">
        <f ca="1"/>
        <v>0</v>
      </c>
      <c r="AS71" s="289">
        <f ca="1"/>
        <v>0</v>
      </c>
      <c r="AT71" s="289">
        <f ca="1"/>
        <v>0</v>
      </c>
      <c r="AU71" s="290">
        <f ca="1"/>
        <v>0</v>
      </c>
      <c r="AV71" s="289">
        <f ca="1"/>
        <v>0</v>
      </c>
      <c r="AW71" s="289">
        <f ca="1"/>
        <v>0</v>
      </c>
      <c r="AX71" s="289">
        <f ca="1"/>
        <v>0</v>
      </c>
      <c r="AY71" s="289">
        <f ca="1"/>
        <v>0</v>
      </c>
      <c r="AZ71" s="289">
        <f ca="1"/>
        <v>0</v>
      </c>
      <c r="BA71" s="289">
        <f ca="1"/>
        <v>0</v>
      </c>
      <c r="BB71" s="289">
        <f ca="1"/>
        <v>0</v>
      </c>
      <c r="BC71" s="289">
        <f ca="1"/>
        <v>0</v>
      </c>
      <c r="BD71" s="289">
        <f ca="1"/>
        <v>0</v>
      </c>
      <c r="BE71" s="289">
        <f ca="1"/>
        <v>0</v>
      </c>
      <c r="BF71" s="289">
        <f ca="1"/>
        <v>0</v>
      </c>
      <c r="BG71" s="290">
        <f ca="1"/>
        <v>0</v>
      </c>
      <c r="BH71" s="289">
        <f ca="1"/>
        <v>0</v>
      </c>
      <c r="BI71" s="289">
        <f ca="1"/>
        <v>0</v>
      </c>
      <c r="BJ71" s="289">
        <f ca="1"/>
        <v>0</v>
      </c>
      <c r="BK71" s="289">
        <f ca="1"/>
        <v>0</v>
      </c>
      <c r="BL71" s="289">
        <f ca="1"/>
        <v>0</v>
      </c>
      <c r="BM71" s="289">
        <f ca="1"/>
        <v>0</v>
      </c>
      <c r="BN71" s="289">
        <f ca="1"/>
        <v>0</v>
      </c>
      <c r="BO71" s="289">
        <f ca="1"/>
        <v>0</v>
      </c>
      <c r="BP71" s="289">
        <f ca="1"/>
        <v>0</v>
      </c>
      <c r="BQ71" s="289">
        <f ca="1"/>
        <v>0</v>
      </c>
      <c r="BR71" s="289">
        <f ca="1"/>
        <v>0</v>
      </c>
      <c r="BS71" s="290">
        <f ca="1"/>
        <v>0</v>
      </c>
      <c r="BT71" s="289">
        <f ca="1"/>
        <v>0</v>
      </c>
      <c r="BU71" s="289">
        <f ca="1"/>
        <v>0</v>
      </c>
      <c r="BV71" s="289">
        <f ca="1"/>
        <v>0</v>
      </c>
      <c r="BW71" s="289">
        <f ca="1"/>
        <v>0</v>
      </c>
      <c r="BX71" s="289">
        <f ca="1"/>
        <v>0</v>
      </c>
      <c r="BY71" s="289">
        <f ca="1"/>
        <v>0</v>
      </c>
      <c r="BZ71" s="289">
        <f ca="1"/>
        <v>0</v>
      </c>
      <c r="CA71" s="289">
        <f ca="1"/>
        <v>0</v>
      </c>
      <c r="CB71" s="289">
        <f ca="1"/>
        <v>0</v>
      </c>
      <c r="CC71" s="289">
        <f ca="1"/>
        <v>0</v>
      </c>
      <c r="CD71" s="289">
        <f ca="1"/>
        <v>0</v>
      </c>
      <c r="CE71" s="291">
        <f ca="1"/>
        <v>0</v>
      </c>
    </row>
    <row r="72" spans="16:83" x14ac:dyDescent="0.35">
      <c r="P72" s="933"/>
      <c r="Q72" s="194" t="str">
        <f>$Q$8</f>
        <v/>
      </c>
      <c r="R72" s="197">
        <f t="shared" ca="1" si="230"/>
        <v>0</v>
      </c>
      <c r="S72" s="191">
        <f t="shared" ca="1" si="230"/>
        <v>0</v>
      </c>
      <c r="T72" s="191">
        <f t="shared" ca="1" si="230"/>
        <v>0</v>
      </c>
      <c r="U72" s="191">
        <f t="shared" ca="1" si="230"/>
        <v>0</v>
      </c>
      <c r="V72" s="198">
        <f t="shared" ca="1" si="230"/>
        <v>0</v>
      </c>
      <c r="W72" s="698">
        <v>0</v>
      </c>
      <c r="X72" s="190">
        <f ca="1"/>
        <v>0</v>
      </c>
      <c r="Y72" s="683">
        <f ca="1"/>
        <v>0</v>
      </c>
      <c r="Z72" s="684">
        <f ca="1"/>
        <v>0</v>
      </c>
      <c r="AA72" s="684">
        <f ca="1"/>
        <v>0</v>
      </c>
      <c r="AB72" s="684">
        <f ca="1"/>
        <v>0</v>
      </c>
      <c r="AC72" s="684">
        <f ca="1"/>
        <v>0</v>
      </c>
      <c r="AD72" s="684">
        <f ca="1"/>
        <v>0</v>
      </c>
      <c r="AE72" s="289">
        <f ca="1"/>
        <v>0</v>
      </c>
      <c r="AF72" s="289">
        <f ca="1"/>
        <v>0</v>
      </c>
      <c r="AG72" s="289">
        <f ca="1"/>
        <v>0</v>
      </c>
      <c r="AH72" s="289">
        <f ca="1"/>
        <v>0</v>
      </c>
      <c r="AI72" s="290">
        <f ca="1"/>
        <v>0</v>
      </c>
      <c r="AJ72" s="288">
        <f ca="1"/>
        <v>0</v>
      </c>
      <c r="AK72" s="289">
        <f ca="1"/>
        <v>0</v>
      </c>
      <c r="AL72" s="289">
        <f ca="1"/>
        <v>0</v>
      </c>
      <c r="AM72" s="289">
        <f ca="1"/>
        <v>0</v>
      </c>
      <c r="AN72" s="289">
        <f ca="1"/>
        <v>0</v>
      </c>
      <c r="AO72" s="289">
        <f ca="1"/>
        <v>0</v>
      </c>
      <c r="AP72" s="289">
        <f ca="1"/>
        <v>0</v>
      </c>
      <c r="AQ72" s="289">
        <f ca="1"/>
        <v>0</v>
      </c>
      <c r="AR72" s="289">
        <f ca="1"/>
        <v>0</v>
      </c>
      <c r="AS72" s="289">
        <f ca="1"/>
        <v>0</v>
      </c>
      <c r="AT72" s="289">
        <f ca="1"/>
        <v>0</v>
      </c>
      <c r="AU72" s="290">
        <f ca="1"/>
        <v>0</v>
      </c>
      <c r="AV72" s="289">
        <f ca="1"/>
        <v>0</v>
      </c>
      <c r="AW72" s="289">
        <f ca="1"/>
        <v>0</v>
      </c>
      <c r="AX72" s="289">
        <f ca="1"/>
        <v>0</v>
      </c>
      <c r="AY72" s="289">
        <f ca="1"/>
        <v>0</v>
      </c>
      <c r="AZ72" s="289">
        <f ca="1"/>
        <v>0</v>
      </c>
      <c r="BA72" s="289">
        <f ca="1"/>
        <v>0</v>
      </c>
      <c r="BB72" s="289">
        <f ca="1"/>
        <v>0</v>
      </c>
      <c r="BC72" s="289">
        <f ca="1"/>
        <v>0</v>
      </c>
      <c r="BD72" s="289">
        <f ca="1"/>
        <v>0</v>
      </c>
      <c r="BE72" s="289">
        <f ca="1"/>
        <v>0</v>
      </c>
      <c r="BF72" s="289">
        <f ca="1"/>
        <v>0</v>
      </c>
      <c r="BG72" s="290">
        <f ca="1"/>
        <v>0</v>
      </c>
      <c r="BH72" s="289">
        <f ca="1"/>
        <v>0</v>
      </c>
      <c r="BI72" s="289">
        <f ca="1"/>
        <v>0</v>
      </c>
      <c r="BJ72" s="289">
        <f ca="1"/>
        <v>0</v>
      </c>
      <c r="BK72" s="289">
        <f ca="1"/>
        <v>0</v>
      </c>
      <c r="BL72" s="289">
        <f ca="1"/>
        <v>0</v>
      </c>
      <c r="BM72" s="289">
        <f ca="1"/>
        <v>0</v>
      </c>
      <c r="BN72" s="289">
        <f ca="1"/>
        <v>0</v>
      </c>
      <c r="BO72" s="289">
        <f ca="1"/>
        <v>0</v>
      </c>
      <c r="BP72" s="289">
        <f ca="1"/>
        <v>0</v>
      </c>
      <c r="BQ72" s="289">
        <f ca="1"/>
        <v>0</v>
      </c>
      <c r="BR72" s="289">
        <f ca="1"/>
        <v>0</v>
      </c>
      <c r="BS72" s="290">
        <f ca="1"/>
        <v>0</v>
      </c>
      <c r="BT72" s="289">
        <f ca="1"/>
        <v>0</v>
      </c>
      <c r="BU72" s="289">
        <f ca="1"/>
        <v>0</v>
      </c>
      <c r="BV72" s="289">
        <f ca="1"/>
        <v>0</v>
      </c>
      <c r="BW72" s="289">
        <f ca="1"/>
        <v>0</v>
      </c>
      <c r="BX72" s="289">
        <f ca="1"/>
        <v>0</v>
      </c>
      <c r="BY72" s="289">
        <f ca="1"/>
        <v>0</v>
      </c>
      <c r="BZ72" s="289">
        <f ca="1"/>
        <v>0</v>
      </c>
      <c r="CA72" s="289">
        <f ca="1"/>
        <v>0</v>
      </c>
      <c r="CB72" s="289">
        <f ca="1"/>
        <v>0</v>
      </c>
      <c r="CC72" s="289">
        <f ca="1"/>
        <v>0</v>
      </c>
      <c r="CD72" s="289">
        <f ca="1"/>
        <v>0</v>
      </c>
      <c r="CE72" s="291">
        <f ca="1"/>
        <v>0</v>
      </c>
    </row>
    <row r="73" spans="16:83" x14ac:dyDescent="0.35">
      <c r="P73" s="933"/>
      <c r="Q73" s="194" t="str">
        <f>$Q$9</f>
        <v/>
      </c>
      <c r="R73" s="197">
        <f t="shared" ca="1" si="230"/>
        <v>0</v>
      </c>
      <c r="S73" s="191">
        <f t="shared" ca="1" si="230"/>
        <v>0</v>
      </c>
      <c r="T73" s="191">
        <f t="shared" ca="1" si="230"/>
        <v>0</v>
      </c>
      <c r="U73" s="191">
        <f t="shared" ca="1" si="230"/>
        <v>0</v>
      </c>
      <c r="V73" s="198">
        <f t="shared" ca="1" si="230"/>
        <v>0</v>
      </c>
      <c r="W73" s="698">
        <v>0</v>
      </c>
      <c r="X73" s="190">
        <f ca="1"/>
        <v>0</v>
      </c>
      <c r="Y73" s="683">
        <f ca="1"/>
        <v>0</v>
      </c>
      <c r="Z73" s="684">
        <f ca="1"/>
        <v>0</v>
      </c>
      <c r="AA73" s="684">
        <f ca="1"/>
        <v>0</v>
      </c>
      <c r="AB73" s="684">
        <f ca="1"/>
        <v>0</v>
      </c>
      <c r="AC73" s="684">
        <f ca="1"/>
        <v>0</v>
      </c>
      <c r="AD73" s="684">
        <f ca="1"/>
        <v>0</v>
      </c>
      <c r="AE73" s="289">
        <f ca="1"/>
        <v>0</v>
      </c>
      <c r="AF73" s="289">
        <f ca="1"/>
        <v>0</v>
      </c>
      <c r="AG73" s="289">
        <f ca="1"/>
        <v>0</v>
      </c>
      <c r="AH73" s="289">
        <f ca="1"/>
        <v>0</v>
      </c>
      <c r="AI73" s="290">
        <f ca="1"/>
        <v>0</v>
      </c>
      <c r="AJ73" s="288">
        <f ca="1"/>
        <v>0</v>
      </c>
      <c r="AK73" s="289">
        <f ca="1"/>
        <v>0</v>
      </c>
      <c r="AL73" s="289">
        <f ca="1"/>
        <v>0</v>
      </c>
      <c r="AM73" s="289">
        <f ca="1"/>
        <v>0</v>
      </c>
      <c r="AN73" s="289">
        <f ca="1"/>
        <v>0</v>
      </c>
      <c r="AO73" s="289">
        <f ca="1"/>
        <v>0</v>
      </c>
      <c r="AP73" s="289">
        <f ca="1"/>
        <v>0</v>
      </c>
      <c r="AQ73" s="289">
        <f ca="1"/>
        <v>0</v>
      </c>
      <c r="AR73" s="289">
        <f ca="1"/>
        <v>0</v>
      </c>
      <c r="AS73" s="289">
        <f ca="1"/>
        <v>0</v>
      </c>
      <c r="AT73" s="289">
        <f ca="1"/>
        <v>0</v>
      </c>
      <c r="AU73" s="290">
        <f ca="1"/>
        <v>0</v>
      </c>
      <c r="AV73" s="289">
        <f ca="1"/>
        <v>0</v>
      </c>
      <c r="AW73" s="289">
        <f ca="1"/>
        <v>0</v>
      </c>
      <c r="AX73" s="289">
        <f ca="1"/>
        <v>0</v>
      </c>
      <c r="AY73" s="289">
        <f ca="1"/>
        <v>0</v>
      </c>
      <c r="AZ73" s="289">
        <f ca="1"/>
        <v>0</v>
      </c>
      <c r="BA73" s="289">
        <f ca="1"/>
        <v>0</v>
      </c>
      <c r="BB73" s="289">
        <f ca="1"/>
        <v>0</v>
      </c>
      <c r="BC73" s="289">
        <f ca="1"/>
        <v>0</v>
      </c>
      <c r="BD73" s="289">
        <f ca="1"/>
        <v>0</v>
      </c>
      <c r="BE73" s="289">
        <f ca="1"/>
        <v>0</v>
      </c>
      <c r="BF73" s="289">
        <f ca="1"/>
        <v>0</v>
      </c>
      <c r="BG73" s="290">
        <f ca="1"/>
        <v>0</v>
      </c>
      <c r="BH73" s="289">
        <f ca="1"/>
        <v>0</v>
      </c>
      <c r="BI73" s="289">
        <f ca="1"/>
        <v>0</v>
      </c>
      <c r="BJ73" s="289">
        <f ca="1"/>
        <v>0</v>
      </c>
      <c r="BK73" s="289">
        <f ca="1"/>
        <v>0</v>
      </c>
      <c r="BL73" s="289">
        <f ca="1"/>
        <v>0</v>
      </c>
      <c r="BM73" s="289">
        <f ca="1"/>
        <v>0</v>
      </c>
      <c r="BN73" s="289">
        <f ca="1"/>
        <v>0</v>
      </c>
      <c r="BO73" s="289">
        <f ca="1"/>
        <v>0</v>
      </c>
      <c r="BP73" s="289">
        <f ca="1"/>
        <v>0</v>
      </c>
      <c r="BQ73" s="289">
        <f ca="1"/>
        <v>0</v>
      </c>
      <c r="BR73" s="289">
        <f ca="1"/>
        <v>0</v>
      </c>
      <c r="BS73" s="290">
        <f ca="1"/>
        <v>0</v>
      </c>
      <c r="BT73" s="289">
        <f ca="1"/>
        <v>0</v>
      </c>
      <c r="BU73" s="289">
        <f ca="1"/>
        <v>0</v>
      </c>
      <c r="BV73" s="289">
        <f ca="1"/>
        <v>0</v>
      </c>
      <c r="BW73" s="289">
        <f ca="1"/>
        <v>0</v>
      </c>
      <c r="BX73" s="289">
        <f ca="1"/>
        <v>0</v>
      </c>
      <c r="BY73" s="289">
        <f ca="1"/>
        <v>0</v>
      </c>
      <c r="BZ73" s="289">
        <f ca="1"/>
        <v>0</v>
      </c>
      <c r="CA73" s="289">
        <f ca="1"/>
        <v>0</v>
      </c>
      <c r="CB73" s="289">
        <f ca="1"/>
        <v>0</v>
      </c>
      <c r="CC73" s="289">
        <f ca="1"/>
        <v>0</v>
      </c>
      <c r="CD73" s="289">
        <f ca="1"/>
        <v>0</v>
      </c>
      <c r="CE73" s="291">
        <f ca="1"/>
        <v>0</v>
      </c>
    </row>
    <row r="74" spans="16:83" x14ac:dyDescent="0.35">
      <c r="P74" s="115"/>
      <c r="Q74" s="194" t="str">
        <f>$Q$10</f>
        <v/>
      </c>
      <c r="R74" s="197">
        <f t="shared" ca="1" si="230"/>
        <v>0</v>
      </c>
      <c r="S74" s="191">
        <f t="shared" ca="1" si="230"/>
        <v>0</v>
      </c>
      <c r="T74" s="191">
        <f t="shared" ca="1" si="230"/>
        <v>0</v>
      </c>
      <c r="U74" s="191">
        <f t="shared" ca="1" si="230"/>
        <v>0</v>
      </c>
      <c r="V74" s="198">
        <f t="shared" ca="1" si="230"/>
        <v>0</v>
      </c>
      <c r="W74" s="696">
        <v>0</v>
      </c>
      <c r="X74" s="9">
        <f ca="1"/>
        <v>0</v>
      </c>
      <c r="Y74" s="72">
        <f ca="1"/>
        <v>0</v>
      </c>
      <c r="Z74" s="338">
        <f ca="1"/>
        <v>0</v>
      </c>
      <c r="AA74" s="338">
        <f ca="1"/>
        <v>0</v>
      </c>
      <c r="AB74" s="338">
        <f ca="1"/>
        <v>0</v>
      </c>
      <c r="AC74" s="338">
        <f ca="1"/>
        <v>0</v>
      </c>
      <c r="AD74" s="338">
        <f ca="1"/>
        <v>0</v>
      </c>
      <c r="AE74" s="11">
        <f ca="1"/>
        <v>0</v>
      </c>
      <c r="AF74" s="11">
        <f ca="1"/>
        <v>0</v>
      </c>
      <c r="AG74" s="11">
        <f ca="1"/>
        <v>0</v>
      </c>
      <c r="AH74" s="11">
        <f ca="1"/>
        <v>0</v>
      </c>
      <c r="AI74" s="71">
        <f ca="1"/>
        <v>0</v>
      </c>
      <c r="AJ74" s="201">
        <f ca="1"/>
        <v>0</v>
      </c>
      <c r="AK74" s="11">
        <f ca="1"/>
        <v>0</v>
      </c>
      <c r="AL74" s="11">
        <f ca="1"/>
        <v>0</v>
      </c>
      <c r="AM74" s="11">
        <f ca="1"/>
        <v>0</v>
      </c>
      <c r="AN74" s="11">
        <f ca="1"/>
        <v>0</v>
      </c>
      <c r="AO74" s="11">
        <f ca="1"/>
        <v>0</v>
      </c>
      <c r="AP74" s="11">
        <f ca="1"/>
        <v>0</v>
      </c>
      <c r="AQ74" s="11">
        <f ca="1"/>
        <v>0</v>
      </c>
      <c r="AR74" s="11">
        <f ca="1"/>
        <v>0</v>
      </c>
      <c r="AS74" s="11">
        <f ca="1"/>
        <v>0</v>
      </c>
      <c r="AT74" s="11">
        <f ca="1"/>
        <v>0</v>
      </c>
      <c r="AU74" s="71">
        <f ca="1"/>
        <v>0</v>
      </c>
      <c r="AV74" s="11">
        <f ca="1"/>
        <v>0</v>
      </c>
      <c r="AW74" s="11">
        <f ca="1"/>
        <v>0</v>
      </c>
      <c r="AX74" s="11">
        <f ca="1"/>
        <v>0</v>
      </c>
      <c r="AY74" s="11">
        <f ca="1"/>
        <v>0</v>
      </c>
      <c r="AZ74" s="11">
        <f ca="1"/>
        <v>0</v>
      </c>
      <c r="BA74" s="11">
        <f ca="1"/>
        <v>0</v>
      </c>
      <c r="BB74" s="11">
        <f ca="1"/>
        <v>0</v>
      </c>
      <c r="BC74" s="11">
        <f ca="1"/>
        <v>0</v>
      </c>
      <c r="BD74" s="11">
        <f ca="1"/>
        <v>0</v>
      </c>
      <c r="BE74" s="11">
        <f ca="1"/>
        <v>0</v>
      </c>
      <c r="BF74" s="11">
        <f ca="1"/>
        <v>0</v>
      </c>
      <c r="BG74" s="71">
        <f ca="1"/>
        <v>0</v>
      </c>
      <c r="BH74" s="11">
        <f ca="1"/>
        <v>0</v>
      </c>
      <c r="BI74" s="11">
        <f ca="1"/>
        <v>0</v>
      </c>
      <c r="BJ74" s="11">
        <f ca="1"/>
        <v>0</v>
      </c>
      <c r="BK74" s="11">
        <f ca="1"/>
        <v>0</v>
      </c>
      <c r="BL74" s="11">
        <f ca="1"/>
        <v>0</v>
      </c>
      <c r="BM74" s="11">
        <f ca="1"/>
        <v>0</v>
      </c>
      <c r="BN74" s="11">
        <f ca="1"/>
        <v>0</v>
      </c>
      <c r="BO74" s="11">
        <f ca="1"/>
        <v>0</v>
      </c>
      <c r="BP74" s="11">
        <f ca="1"/>
        <v>0</v>
      </c>
      <c r="BQ74" s="11">
        <f ca="1"/>
        <v>0</v>
      </c>
      <c r="BR74" s="11">
        <f ca="1"/>
        <v>0</v>
      </c>
      <c r="BS74" s="71">
        <f ca="1"/>
        <v>0</v>
      </c>
      <c r="BT74" s="11">
        <f ca="1"/>
        <v>0</v>
      </c>
      <c r="BU74" s="11">
        <f ca="1"/>
        <v>0</v>
      </c>
      <c r="BV74" s="11">
        <f ca="1"/>
        <v>0</v>
      </c>
      <c r="BW74" s="11">
        <f ca="1"/>
        <v>0</v>
      </c>
      <c r="BX74" s="11">
        <f ca="1"/>
        <v>0</v>
      </c>
      <c r="BY74" s="11">
        <f ca="1"/>
        <v>0</v>
      </c>
      <c r="BZ74" s="11">
        <f ca="1"/>
        <v>0</v>
      </c>
      <c r="CA74" s="11">
        <f ca="1"/>
        <v>0</v>
      </c>
      <c r="CB74" s="11">
        <f ca="1"/>
        <v>0</v>
      </c>
      <c r="CC74" s="11">
        <f ca="1"/>
        <v>0</v>
      </c>
      <c r="CD74" s="11">
        <f ca="1"/>
        <v>0</v>
      </c>
      <c r="CE74" s="88">
        <f ca="1"/>
        <v>0</v>
      </c>
    </row>
    <row r="75" spans="16:83" x14ac:dyDescent="0.35">
      <c r="P75" s="115"/>
      <c r="Q75" s="194" t="str">
        <f>$Q$11</f>
        <v/>
      </c>
      <c r="R75" s="197">
        <f t="shared" ca="1" si="230"/>
        <v>0</v>
      </c>
      <c r="S75" s="191">
        <f t="shared" ca="1" si="230"/>
        <v>0</v>
      </c>
      <c r="T75" s="191">
        <f t="shared" ca="1" si="230"/>
        <v>0</v>
      </c>
      <c r="U75" s="191">
        <f t="shared" ca="1" si="230"/>
        <v>0</v>
      </c>
      <c r="V75" s="198">
        <f t="shared" ca="1" si="230"/>
        <v>0</v>
      </c>
      <c r="W75" s="696">
        <v>0</v>
      </c>
      <c r="X75" s="9">
        <f ca="1"/>
        <v>0</v>
      </c>
      <c r="Y75" s="72">
        <f ca="1"/>
        <v>0</v>
      </c>
      <c r="Z75" s="338">
        <f ca="1"/>
        <v>0</v>
      </c>
      <c r="AA75" s="338">
        <f ca="1"/>
        <v>0</v>
      </c>
      <c r="AB75" s="338">
        <f ca="1"/>
        <v>0</v>
      </c>
      <c r="AC75" s="338">
        <f ca="1"/>
        <v>0</v>
      </c>
      <c r="AD75" s="338">
        <f ca="1"/>
        <v>0</v>
      </c>
      <c r="AE75" s="11">
        <f ca="1"/>
        <v>0</v>
      </c>
      <c r="AF75" s="11">
        <f ca="1"/>
        <v>0</v>
      </c>
      <c r="AG75" s="11">
        <f ca="1"/>
        <v>0</v>
      </c>
      <c r="AH75" s="11">
        <f ca="1"/>
        <v>0</v>
      </c>
      <c r="AI75" s="71">
        <f ca="1"/>
        <v>0</v>
      </c>
      <c r="AJ75" s="201">
        <f ca="1"/>
        <v>0</v>
      </c>
      <c r="AK75" s="11">
        <f ca="1"/>
        <v>0</v>
      </c>
      <c r="AL75" s="11">
        <f ca="1"/>
        <v>0</v>
      </c>
      <c r="AM75" s="11">
        <f ca="1"/>
        <v>0</v>
      </c>
      <c r="AN75" s="11">
        <f ca="1"/>
        <v>0</v>
      </c>
      <c r="AO75" s="11">
        <f ca="1"/>
        <v>0</v>
      </c>
      <c r="AP75" s="11">
        <f ca="1"/>
        <v>0</v>
      </c>
      <c r="AQ75" s="11">
        <f ca="1"/>
        <v>0</v>
      </c>
      <c r="AR75" s="11">
        <f ca="1"/>
        <v>0</v>
      </c>
      <c r="AS75" s="11">
        <f ca="1"/>
        <v>0</v>
      </c>
      <c r="AT75" s="11">
        <f ca="1"/>
        <v>0</v>
      </c>
      <c r="AU75" s="71">
        <f ca="1"/>
        <v>0</v>
      </c>
      <c r="AV75" s="11">
        <f ca="1"/>
        <v>0</v>
      </c>
      <c r="AW75" s="11">
        <f ca="1"/>
        <v>0</v>
      </c>
      <c r="AX75" s="11">
        <f ca="1"/>
        <v>0</v>
      </c>
      <c r="AY75" s="11">
        <f ca="1"/>
        <v>0</v>
      </c>
      <c r="AZ75" s="11">
        <f ca="1"/>
        <v>0</v>
      </c>
      <c r="BA75" s="11">
        <f ca="1"/>
        <v>0</v>
      </c>
      <c r="BB75" s="11">
        <f ca="1"/>
        <v>0</v>
      </c>
      <c r="BC75" s="11">
        <f ca="1"/>
        <v>0</v>
      </c>
      <c r="BD75" s="11">
        <f ca="1"/>
        <v>0</v>
      </c>
      <c r="BE75" s="11">
        <f ca="1"/>
        <v>0</v>
      </c>
      <c r="BF75" s="11">
        <f ca="1"/>
        <v>0</v>
      </c>
      <c r="BG75" s="71">
        <f ca="1"/>
        <v>0</v>
      </c>
      <c r="BH75" s="11">
        <f ca="1"/>
        <v>0</v>
      </c>
      <c r="BI75" s="11">
        <f ca="1"/>
        <v>0</v>
      </c>
      <c r="BJ75" s="11">
        <f ca="1"/>
        <v>0</v>
      </c>
      <c r="BK75" s="11">
        <f ca="1"/>
        <v>0</v>
      </c>
      <c r="BL75" s="11">
        <f ca="1"/>
        <v>0</v>
      </c>
      <c r="BM75" s="11">
        <f ca="1"/>
        <v>0</v>
      </c>
      <c r="BN75" s="11">
        <f ca="1"/>
        <v>0</v>
      </c>
      <c r="BO75" s="11">
        <f ca="1"/>
        <v>0</v>
      </c>
      <c r="BP75" s="11">
        <f ca="1"/>
        <v>0</v>
      </c>
      <c r="BQ75" s="11">
        <f ca="1"/>
        <v>0</v>
      </c>
      <c r="BR75" s="11">
        <f ca="1"/>
        <v>0</v>
      </c>
      <c r="BS75" s="71">
        <f ca="1"/>
        <v>0</v>
      </c>
      <c r="BT75" s="11">
        <f ca="1"/>
        <v>0</v>
      </c>
      <c r="BU75" s="11">
        <f ca="1"/>
        <v>0</v>
      </c>
      <c r="BV75" s="11">
        <f ca="1"/>
        <v>0</v>
      </c>
      <c r="BW75" s="11">
        <f ca="1"/>
        <v>0</v>
      </c>
      <c r="BX75" s="11">
        <f ca="1"/>
        <v>0</v>
      </c>
      <c r="BY75" s="11">
        <f ca="1"/>
        <v>0</v>
      </c>
      <c r="BZ75" s="11">
        <f ca="1"/>
        <v>0</v>
      </c>
      <c r="CA75" s="11">
        <f ca="1"/>
        <v>0</v>
      </c>
      <c r="CB75" s="11">
        <f ca="1"/>
        <v>0</v>
      </c>
      <c r="CC75" s="11">
        <f ca="1"/>
        <v>0</v>
      </c>
      <c r="CD75" s="11">
        <f ca="1"/>
        <v>0</v>
      </c>
      <c r="CE75" s="88">
        <f ca="1"/>
        <v>0</v>
      </c>
    </row>
    <row r="76" spans="16:83" x14ac:dyDescent="0.35">
      <c r="P76" s="115"/>
      <c r="Q76" s="196" t="str">
        <f>$Q$12</f>
        <v/>
      </c>
      <c r="R76" s="197">
        <f t="shared" ca="1" si="230"/>
        <v>0</v>
      </c>
      <c r="S76" s="191">
        <f t="shared" ca="1" si="230"/>
        <v>0</v>
      </c>
      <c r="T76" s="191">
        <f t="shared" ca="1" si="230"/>
        <v>0</v>
      </c>
      <c r="U76" s="191">
        <f t="shared" ca="1" si="230"/>
        <v>0</v>
      </c>
      <c r="V76" s="198">
        <f t="shared" ca="1" si="230"/>
        <v>0</v>
      </c>
      <c r="W76" s="696">
        <v>0</v>
      </c>
      <c r="X76" s="9">
        <f ca="1"/>
        <v>0</v>
      </c>
      <c r="Y76" s="72">
        <f ca="1"/>
        <v>0</v>
      </c>
      <c r="Z76" s="338">
        <f ca="1"/>
        <v>0</v>
      </c>
      <c r="AA76" s="338">
        <f ca="1"/>
        <v>0</v>
      </c>
      <c r="AB76" s="338">
        <f ca="1"/>
        <v>0</v>
      </c>
      <c r="AC76" s="338">
        <f ca="1"/>
        <v>0</v>
      </c>
      <c r="AD76" s="338">
        <f ca="1"/>
        <v>0</v>
      </c>
      <c r="AE76" s="11">
        <f ca="1"/>
        <v>0</v>
      </c>
      <c r="AF76" s="11">
        <f ca="1"/>
        <v>0</v>
      </c>
      <c r="AG76" s="11">
        <f ca="1"/>
        <v>0</v>
      </c>
      <c r="AH76" s="11">
        <f ca="1"/>
        <v>0</v>
      </c>
      <c r="AI76" s="71">
        <f ca="1"/>
        <v>0</v>
      </c>
      <c r="AJ76" s="201">
        <f ca="1"/>
        <v>0</v>
      </c>
      <c r="AK76" s="11">
        <f ca="1"/>
        <v>0</v>
      </c>
      <c r="AL76" s="11">
        <f ca="1"/>
        <v>0</v>
      </c>
      <c r="AM76" s="11">
        <f ca="1"/>
        <v>0</v>
      </c>
      <c r="AN76" s="11">
        <f ca="1"/>
        <v>0</v>
      </c>
      <c r="AO76" s="11">
        <f ca="1"/>
        <v>0</v>
      </c>
      <c r="AP76" s="11">
        <f ca="1"/>
        <v>0</v>
      </c>
      <c r="AQ76" s="11">
        <f ca="1"/>
        <v>0</v>
      </c>
      <c r="AR76" s="11">
        <f ca="1"/>
        <v>0</v>
      </c>
      <c r="AS76" s="11">
        <f ca="1"/>
        <v>0</v>
      </c>
      <c r="AT76" s="11">
        <f ca="1"/>
        <v>0</v>
      </c>
      <c r="AU76" s="71">
        <f ca="1"/>
        <v>0</v>
      </c>
      <c r="AV76" s="11">
        <f ca="1"/>
        <v>0</v>
      </c>
      <c r="AW76" s="11">
        <f ca="1"/>
        <v>0</v>
      </c>
      <c r="AX76" s="11">
        <f ca="1"/>
        <v>0</v>
      </c>
      <c r="AY76" s="11">
        <f ca="1"/>
        <v>0</v>
      </c>
      <c r="AZ76" s="11">
        <f ca="1"/>
        <v>0</v>
      </c>
      <c r="BA76" s="11">
        <f ca="1"/>
        <v>0</v>
      </c>
      <c r="BB76" s="11">
        <f ca="1"/>
        <v>0</v>
      </c>
      <c r="BC76" s="11">
        <f ca="1"/>
        <v>0</v>
      </c>
      <c r="BD76" s="11">
        <f ca="1"/>
        <v>0</v>
      </c>
      <c r="BE76" s="11">
        <f ca="1"/>
        <v>0</v>
      </c>
      <c r="BF76" s="11">
        <f ca="1"/>
        <v>0</v>
      </c>
      <c r="BG76" s="71">
        <f ca="1"/>
        <v>0</v>
      </c>
      <c r="BH76" s="11">
        <f ca="1"/>
        <v>0</v>
      </c>
      <c r="BI76" s="11">
        <f ca="1"/>
        <v>0</v>
      </c>
      <c r="BJ76" s="11">
        <f ca="1"/>
        <v>0</v>
      </c>
      <c r="BK76" s="11">
        <f ca="1"/>
        <v>0</v>
      </c>
      <c r="BL76" s="11">
        <f ca="1"/>
        <v>0</v>
      </c>
      <c r="BM76" s="11">
        <f ca="1"/>
        <v>0</v>
      </c>
      <c r="BN76" s="11">
        <f ca="1"/>
        <v>0</v>
      </c>
      <c r="BO76" s="11">
        <f ca="1"/>
        <v>0</v>
      </c>
      <c r="BP76" s="11">
        <f ca="1"/>
        <v>0</v>
      </c>
      <c r="BQ76" s="11">
        <f ca="1"/>
        <v>0</v>
      </c>
      <c r="BR76" s="11">
        <f ca="1"/>
        <v>0</v>
      </c>
      <c r="BS76" s="71">
        <f ca="1"/>
        <v>0</v>
      </c>
      <c r="BT76" s="11">
        <f ca="1"/>
        <v>0</v>
      </c>
      <c r="BU76" s="11">
        <f ca="1"/>
        <v>0</v>
      </c>
      <c r="BV76" s="11">
        <f ca="1"/>
        <v>0</v>
      </c>
      <c r="BW76" s="11">
        <f ca="1"/>
        <v>0</v>
      </c>
      <c r="BX76" s="11">
        <f ca="1"/>
        <v>0</v>
      </c>
      <c r="BY76" s="11">
        <f ca="1"/>
        <v>0</v>
      </c>
      <c r="BZ76" s="11">
        <f ca="1"/>
        <v>0</v>
      </c>
      <c r="CA76" s="11">
        <f ca="1"/>
        <v>0</v>
      </c>
      <c r="CB76" s="11">
        <f ca="1"/>
        <v>0</v>
      </c>
      <c r="CC76" s="11">
        <f ca="1"/>
        <v>0</v>
      </c>
      <c r="CD76" s="11">
        <f ca="1"/>
        <v>0</v>
      </c>
      <c r="CE76" s="88">
        <f ca="1"/>
        <v>0</v>
      </c>
    </row>
    <row r="77" spans="16:83" x14ac:dyDescent="0.35">
      <c r="P77" s="115"/>
      <c r="Q77" s="196" t="str">
        <f>$Q$13</f>
        <v/>
      </c>
      <c r="R77" s="197">
        <f t="shared" ca="1" si="230"/>
        <v>0</v>
      </c>
      <c r="S77" s="191">
        <f t="shared" ca="1" si="230"/>
        <v>0</v>
      </c>
      <c r="T77" s="191">
        <f t="shared" ca="1" si="230"/>
        <v>0</v>
      </c>
      <c r="U77" s="191">
        <f t="shared" ca="1" si="230"/>
        <v>0</v>
      </c>
      <c r="V77" s="198">
        <f t="shared" ca="1" si="230"/>
        <v>0</v>
      </c>
      <c r="W77" s="696">
        <v>0</v>
      </c>
      <c r="X77" s="9">
        <f ca="1"/>
        <v>0</v>
      </c>
      <c r="Y77" s="72">
        <f ca="1"/>
        <v>0</v>
      </c>
      <c r="Z77" s="338">
        <f ca="1"/>
        <v>0</v>
      </c>
      <c r="AA77" s="338">
        <f ca="1"/>
        <v>0</v>
      </c>
      <c r="AB77" s="338">
        <f ca="1"/>
        <v>0</v>
      </c>
      <c r="AC77" s="338">
        <f ca="1"/>
        <v>0</v>
      </c>
      <c r="AD77" s="338">
        <f ca="1"/>
        <v>0</v>
      </c>
      <c r="AE77" s="11">
        <f ca="1"/>
        <v>0</v>
      </c>
      <c r="AF77" s="11">
        <f ca="1"/>
        <v>0</v>
      </c>
      <c r="AG77" s="11">
        <f ca="1"/>
        <v>0</v>
      </c>
      <c r="AH77" s="11">
        <f ca="1"/>
        <v>0</v>
      </c>
      <c r="AI77" s="71">
        <f ca="1"/>
        <v>0</v>
      </c>
      <c r="AJ77" s="201">
        <f ca="1"/>
        <v>0</v>
      </c>
      <c r="AK77" s="11">
        <f ca="1"/>
        <v>0</v>
      </c>
      <c r="AL77" s="11">
        <f ca="1"/>
        <v>0</v>
      </c>
      <c r="AM77" s="11">
        <f ca="1"/>
        <v>0</v>
      </c>
      <c r="AN77" s="11">
        <f ca="1"/>
        <v>0</v>
      </c>
      <c r="AO77" s="11">
        <f ca="1"/>
        <v>0</v>
      </c>
      <c r="AP77" s="11">
        <f ca="1"/>
        <v>0</v>
      </c>
      <c r="AQ77" s="11">
        <f ca="1"/>
        <v>0</v>
      </c>
      <c r="AR77" s="11">
        <f ca="1"/>
        <v>0</v>
      </c>
      <c r="AS77" s="11">
        <f ca="1"/>
        <v>0</v>
      </c>
      <c r="AT77" s="11">
        <f ca="1"/>
        <v>0</v>
      </c>
      <c r="AU77" s="71">
        <f ca="1"/>
        <v>0</v>
      </c>
      <c r="AV77" s="11">
        <f ca="1"/>
        <v>0</v>
      </c>
      <c r="AW77" s="11">
        <f ca="1"/>
        <v>0</v>
      </c>
      <c r="AX77" s="11">
        <f ca="1"/>
        <v>0</v>
      </c>
      <c r="AY77" s="11">
        <f ca="1"/>
        <v>0</v>
      </c>
      <c r="AZ77" s="11">
        <f ca="1"/>
        <v>0</v>
      </c>
      <c r="BA77" s="11">
        <f ca="1"/>
        <v>0</v>
      </c>
      <c r="BB77" s="11">
        <f ca="1"/>
        <v>0</v>
      </c>
      <c r="BC77" s="11">
        <f ca="1"/>
        <v>0</v>
      </c>
      <c r="BD77" s="11">
        <f ca="1"/>
        <v>0</v>
      </c>
      <c r="BE77" s="11">
        <f ca="1"/>
        <v>0</v>
      </c>
      <c r="BF77" s="11">
        <f ca="1"/>
        <v>0</v>
      </c>
      <c r="BG77" s="71">
        <f ca="1"/>
        <v>0</v>
      </c>
      <c r="BH77" s="11">
        <f ca="1"/>
        <v>0</v>
      </c>
      <c r="BI77" s="11">
        <f ca="1"/>
        <v>0</v>
      </c>
      <c r="BJ77" s="11">
        <f ca="1"/>
        <v>0</v>
      </c>
      <c r="BK77" s="11">
        <f ca="1"/>
        <v>0</v>
      </c>
      <c r="BL77" s="11">
        <f ca="1"/>
        <v>0</v>
      </c>
      <c r="BM77" s="11">
        <f ca="1"/>
        <v>0</v>
      </c>
      <c r="BN77" s="11">
        <f ca="1"/>
        <v>0</v>
      </c>
      <c r="BO77" s="11">
        <f ca="1"/>
        <v>0</v>
      </c>
      <c r="BP77" s="11">
        <f ca="1"/>
        <v>0</v>
      </c>
      <c r="BQ77" s="11">
        <f ca="1"/>
        <v>0</v>
      </c>
      <c r="BR77" s="11">
        <f ca="1"/>
        <v>0</v>
      </c>
      <c r="BS77" s="71">
        <f ca="1"/>
        <v>0</v>
      </c>
      <c r="BT77" s="11">
        <f ca="1"/>
        <v>0</v>
      </c>
      <c r="BU77" s="11">
        <f ca="1"/>
        <v>0</v>
      </c>
      <c r="BV77" s="11">
        <f ca="1"/>
        <v>0</v>
      </c>
      <c r="BW77" s="11">
        <f ca="1"/>
        <v>0</v>
      </c>
      <c r="BX77" s="11">
        <f ca="1"/>
        <v>0</v>
      </c>
      <c r="BY77" s="11">
        <f ca="1"/>
        <v>0</v>
      </c>
      <c r="BZ77" s="11">
        <f ca="1"/>
        <v>0</v>
      </c>
      <c r="CA77" s="11">
        <f ca="1"/>
        <v>0</v>
      </c>
      <c r="CB77" s="11">
        <f ca="1"/>
        <v>0</v>
      </c>
      <c r="CC77" s="11">
        <f ca="1"/>
        <v>0</v>
      </c>
      <c r="CD77" s="11">
        <f ca="1"/>
        <v>0</v>
      </c>
      <c r="CE77" s="88">
        <f ca="1"/>
        <v>0</v>
      </c>
    </row>
    <row r="78" spans="16:83" x14ac:dyDescent="0.35">
      <c r="P78" s="115"/>
      <c r="Q78" s="196" t="str">
        <f>$Q$14</f>
        <v/>
      </c>
      <c r="R78" s="197">
        <f t="shared" ca="1" si="230"/>
        <v>0</v>
      </c>
      <c r="S78" s="191">
        <f t="shared" ca="1" si="230"/>
        <v>0</v>
      </c>
      <c r="T78" s="191">
        <f t="shared" ca="1" si="230"/>
        <v>0</v>
      </c>
      <c r="U78" s="191">
        <f t="shared" ca="1" si="230"/>
        <v>0</v>
      </c>
      <c r="V78" s="198">
        <f t="shared" ca="1" si="230"/>
        <v>0</v>
      </c>
      <c r="W78" s="696">
        <v>0</v>
      </c>
      <c r="X78" s="9">
        <f ca="1"/>
        <v>0</v>
      </c>
      <c r="Y78" s="72">
        <f ca="1"/>
        <v>0</v>
      </c>
      <c r="Z78" s="338">
        <f ca="1"/>
        <v>0</v>
      </c>
      <c r="AA78" s="338">
        <f ca="1"/>
        <v>0</v>
      </c>
      <c r="AB78" s="338">
        <f ca="1"/>
        <v>0</v>
      </c>
      <c r="AC78" s="338">
        <f ca="1"/>
        <v>0</v>
      </c>
      <c r="AD78" s="338">
        <f ca="1"/>
        <v>0</v>
      </c>
      <c r="AE78" s="11">
        <f ca="1"/>
        <v>0</v>
      </c>
      <c r="AF78" s="11">
        <f ca="1"/>
        <v>0</v>
      </c>
      <c r="AG78" s="11">
        <f ca="1"/>
        <v>0</v>
      </c>
      <c r="AH78" s="11">
        <f ca="1"/>
        <v>0</v>
      </c>
      <c r="AI78" s="71">
        <f ca="1"/>
        <v>0</v>
      </c>
      <c r="AJ78" s="201">
        <f ca="1"/>
        <v>0</v>
      </c>
      <c r="AK78" s="11">
        <f ca="1"/>
        <v>0</v>
      </c>
      <c r="AL78" s="11">
        <f ca="1"/>
        <v>0</v>
      </c>
      <c r="AM78" s="11">
        <f ca="1"/>
        <v>0</v>
      </c>
      <c r="AN78" s="11">
        <f ca="1"/>
        <v>0</v>
      </c>
      <c r="AO78" s="11">
        <f ca="1"/>
        <v>0</v>
      </c>
      <c r="AP78" s="11">
        <f ca="1"/>
        <v>0</v>
      </c>
      <c r="AQ78" s="11">
        <f ca="1"/>
        <v>0</v>
      </c>
      <c r="AR78" s="11">
        <f ca="1"/>
        <v>0</v>
      </c>
      <c r="AS78" s="11">
        <f ca="1"/>
        <v>0</v>
      </c>
      <c r="AT78" s="11">
        <f ca="1"/>
        <v>0</v>
      </c>
      <c r="AU78" s="71">
        <f ca="1"/>
        <v>0</v>
      </c>
      <c r="AV78" s="11">
        <f ca="1"/>
        <v>0</v>
      </c>
      <c r="AW78" s="11">
        <f ca="1"/>
        <v>0</v>
      </c>
      <c r="AX78" s="11">
        <f ca="1"/>
        <v>0</v>
      </c>
      <c r="AY78" s="11">
        <f ca="1"/>
        <v>0</v>
      </c>
      <c r="AZ78" s="11">
        <f ca="1"/>
        <v>0</v>
      </c>
      <c r="BA78" s="11">
        <f ca="1"/>
        <v>0</v>
      </c>
      <c r="BB78" s="11">
        <f ca="1"/>
        <v>0</v>
      </c>
      <c r="BC78" s="11">
        <f ca="1"/>
        <v>0</v>
      </c>
      <c r="BD78" s="11">
        <f ca="1"/>
        <v>0</v>
      </c>
      <c r="BE78" s="11">
        <f ca="1"/>
        <v>0</v>
      </c>
      <c r="BF78" s="11">
        <f ca="1"/>
        <v>0</v>
      </c>
      <c r="BG78" s="71">
        <f ca="1"/>
        <v>0</v>
      </c>
      <c r="BH78" s="11">
        <f ca="1"/>
        <v>0</v>
      </c>
      <c r="BI78" s="11">
        <f ca="1"/>
        <v>0</v>
      </c>
      <c r="BJ78" s="11">
        <f ca="1"/>
        <v>0</v>
      </c>
      <c r="BK78" s="11">
        <f ca="1"/>
        <v>0</v>
      </c>
      <c r="BL78" s="11">
        <f ca="1"/>
        <v>0</v>
      </c>
      <c r="BM78" s="11">
        <f ca="1"/>
        <v>0</v>
      </c>
      <c r="BN78" s="11">
        <f ca="1"/>
        <v>0</v>
      </c>
      <c r="BO78" s="11">
        <f ca="1"/>
        <v>0</v>
      </c>
      <c r="BP78" s="11">
        <f ca="1"/>
        <v>0</v>
      </c>
      <c r="BQ78" s="11">
        <f ca="1"/>
        <v>0</v>
      </c>
      <c r="BR78" s="11">
        <f ca="1"/>
        <v>0</v>
      </c>
      <c r="BS78" s="71">
        <f ca="1"/>
        <v>0</v>
      </c>
      <c r="BT78" s="11">
        <f ca="1"/>
        <v>0</v>
      </c>
      <c r="BU78" s="11">
        <f ca="1"/>
        <v>0</v>
      </c>
      <c r="BV78" s="11">
        <f ca="1"/>
        <v>0</v>
      </c>
      <c r="BW78" s="11">
        <f ca="1"/>
        <v>0</v>
      </c>
      <c r="BX78" s="11">
        <f ca="1"/>
        <v>0</v>
      </c>
      <c r="BY78" s="11">
        <f ca="1"/>
        <v>0</v>
      </c>
      <c r="BZ78" s="11">
        <f ca="1"/>
        <v>0</v>
      </c>
      <c r="CA78" s="11">
        <f ca="1"/>
        <v>0</v>
      </c>
      <c r="CB78" s="11">
        <f ca="1"/>
        <v>0</v>
      </c>
      <c r="CC78" s="11">
        <f ca="1"/>
        <v>0</v>
      </c>
      <c r="CD78" s="11">
        <f ca="1"/>
        <v>0</v>
      </c>
      <c r="CE78" s="88">
        <f ca="1"/>
        <v>0</v>
      </c>
    </row>
    <row r="79" spans="16:83" x14ac:dyDescent="0.35">
      <c r="P79" s="115"/>
      <c r="Q79" s="194" t="str">
        <f>$Q$15</f>
        <v/>
      </c>
      <c r="R79" s="197">
        <f t="shared" ca="1" si="230"/>
        <v>0</v>
      </c>
      <c r="S79" s="191">
        <f t="shared" ca="1" si="230"/>
        <v>0</v>
      </c>
      <c r="T79" s="191">
        <f t="shared" ca="1" si="230"/>
        <v>0</v>
      </c>
      <c r="U79" s="191">
        <f t="shared" ca="1" si="230"/>
        <v>0</v>
      </c>
      <c r="V79" s="198">
        <f t="shared" ca="1" si="230"/>
        <v>0</v>
      </c>
      <c r="W79" s="696">
        <v>0</v>
      </c>
      <c r="X79" s="9">
        <f ca="1"/>
        <v>0</v>
      </c>
      <c r="Y79" s="9">
        <f ca="1"/>
        <v>0</v>
      </c>
      <c r="Z79" s="11">
        <f ca="1"/>
        <v>0</v>
      </c>
      <c r="AA79" s="11">
        <f ca="1"/>
        <v>0</v>
      </c>
      <c r="AB79" s="11">
        <f ca="1"/>
        <v>0</v>
      </c>
      <c r="AC79" s="11">
        <f ca="1"/>
        <v>0</v>
      </c>
      <c r="AD79" s="11">
        <f ca="1"/>
        <v>0</v>
      </c>
      <c r="AE79" s="11">
        <f ca="1"/>
        <v>0</v>
      </c>
      <c r="AF79" s="11">
        <f ca="1"/>
        <v>0</v>
      </c>
      <c r="AG79" s="11">
        <f ca="1"/>
        <v>0</v>
      </c>
      <c r="AH79" s="11">
        <f ca="1"/>
        <v>0</v>
      </c>
      <c r="AI79" s="71">
        <f ca="1"/>
        <v>0</v>
      </c>
      <c r="AJ79" s="201">
        <f ca="1"/>
        <v>0</v>
      </c>
      <c r="AK79" s="11">
        <f ca="1"/>
        <v>0</v>
      </c>
      <c r="AL79" s="11">
        <f ca="1"/>
        <v>0</v>
      </c>
      <c r="AM79" s="11">
        <f ca="1"/>
        <v>0</v>
      </c>
      <c r="AN79" s="11">
        <f ca="1"/>
        <v>0</v>
      </c>
      <c r="AO79" s="11">
        <f ca="1"/>
        <v>0</v>
      </c>
      <c r="AP79" s="11">
        <f ca="1"/>
        <v>0</v>
      </c>
      <c r="AQ79" s="11">
        <f ca="1"/>
        <v>0</v>
      </c>
      <c r="AR79" s="11">
        <f ca="1"/>
        <v>0</v>
      </c>
      <c r="AS79" s="11">
        <f ca="1"/>
        <v>0</v>
      </c>
      <c r="AT79" s="11">
        <f ca="1"/>
        <v>0</v>
      </c>
      <c r="AU79" s="71">
        <f ca="1"/>
        <v>0</v>
      </c>
      <c r="AV79" s="11">
        <f ca="1"/>
        <v>0</v>
      </c>
      <c r="AW79" s="11">
        <f ca="1"/>
        <v>0</v>
      </c>
      <c r="AX79" s="11">
        <f ca="1"/>
        <v>0</v>
      </c>
      <c r="AY79" s="11">
        <f ca="1"/>
        <v>0</v>
      </c>
      <c r="AZ79" s="11">
        <f ca="1"/>
        <v>0</v>
      </c>
      <c r="BA79" s="11">
        <f ca="1"/>
        <v>0</v>
      </c>
      <c r="BB79" s="11">
        <f ca="1"/>
        <v>0</v>
      </c>
      <c r="BC79" s="11">
        <f ca="1"/>
        <v>0</v>
      </c>
      <c r="BD79" s="11">
        <f ca="1"/>
        <v>0</v>
      </c>
      <c r="BE79" s="11">
        <f ca="1"/>
        <v>0</v>
      </c>
      <c r="BF79" s="11">
        <f ca="1"/>
        <v>0</v>
      </c>
      <c r="BG79" s="71">
        <f ca="1"/>
        <v>0</v>
      </c>
      <c r="BH79" s="11">
        <f ca="1"/>
        <v>0</v>
      </c>
      <c r="BI79" s="11">
        <f ca="1"/>
        <v>0</v>
      </c>
      <c r="BJ79" s="11">
        <f ca="1"/>
        <v>0</v>
      </c>
      <c r="BK79" s="11">
        <f ca="1"/>
        <v>0</v>
      </c>
      <c r="BL79" s="11">
        <f ca="1"/>
        <v>0</v>
      </c>
      <c r="BM79" s="11">
        <f ca="1"/>
        <v>0</v>
      </c>
      <c r="BN79" s="11">
        <f ca="1"/>
        <v>0</v>
      </c>
      <c r="BO79" s="11">
        <f ca="1"/>
        <v>0</v>
      </c>
      <c r="BP79" s="11">
        <f ca="1"/>
        <v>0</v>
      </c>
      <c r="BQ79" s="11">
        <f ca="1"/>
        <v>0</v>
      </c>
      <c r="BR79" s="11">
        <f ca="1"/>
        <v>0</v>
      </c>
      <c r="BS79" s="71">
        <f ca="1"/>
        <v>0</v>
      </c>
      <c r="BT79" s="11">
        <f ca="1"/>
        <v>0</v>
      </c>
      <c r="BU79" s="11">
        <f ca="1"/>
        <v>0</v>
      </c>
      <c r="BV79" s="11">
        <f ca="1"/>
        <v>0</v>
      </c>
      <c r="BW79" s="11">
        <f ca="1"/>
        <v>0</v>
      </c>
      <c r="BX79" s="11">
        <f ca="1"/>
        <v>0</v>
      </c>
      <c r="BY79" s="11">
        <f ca="1"/>
        <v>0</v>
      </c>
      <c r="BZ79" s="11">
        <f ca="1"/>
        <v>0</v>
      </c>
      <c r="CA79" s="11">
        <f ca="1"/>
        <v>0</v>
      </c>
      <c r="CB79" s="11">
        <f ca="1"/>
        <v>0</v>
      </c>
      <c r="CC79" s="11">
        <f ca="1"/>
        <v>0</v>
      </c>
      <c r="CD79" s="11">
        <f ca="1"/>
        <v>0</v>
      </c>
      <c r="CE79" s="88">
        <f ca="1"/>
        <v>0</v>
      </c>
    </row>
    <row r="80" spans="16:83" x14ac:dyDescent="0.35">
      <c r="P80" s="115"/>
      <c r="Q80" s="194" t="str">
        <f>$Q$16</f>
        <v/>
      </c>
      <c r="R80" s="197">
        <f t="shared" ca="1" si="230"/>
        <v>0</v>
      </c>
      <c r="S80" s="191">
        <f t="shared" ca="1" si="230"/>
        <v>0</v>
      </c>
      <c r="T80" s="191">
        <f t="shared" ca="1" si="230"/>
        <v>0</v>
      </c>
      <c r="U80" s="191">
        <f t="shared" ca="1" si="230"/>
        <v>0</v>
      </c>
      <c r="V80" s="198">
        <f t="shared" ca="1" si="230"/>
        <v>0</v>
      </c>
      <c r="W80" s="696">
        <v>0</v>
      </c>
      <c r="X80" s="9">
        <f ca="1"/>
        <v>0</v>
      </c>
      <c r="Y80" s="9">
        <f ca="1"/>
        <v>0</v>
      </c>
      <c r="Z80" s="11">
        <f ca="1"/>
        <v>0</v>
      </c>
      <c r="AA80" s="11">
        <f ca="1"/>
        <v>0</v>
      </c>
      <c r="AB80" s="11">
        <f ca="1"/>
        <v>0</v>
      </c>
      <c r="AC80" s="11">
        <f ca="1"/>
        <v>0</v>
      </c>
      <c r="AD80" s="11">
        <f ca="1"/>
        <v>0</v>
      </c>
      <c r="AE80" s="11">
        <f ca="1"/>
        <v>0</v>
      </c>
      <c r="AF80" s="11">
        <f ca="1"/>
        <v>0</v>
      </c>
      <c r="AG80" s="11">
        <f ca="1"/>
        <v>0</v>
      </c>
      <c r="AH80" s="11">
        <f ca="1"/>
        <v>0</v>
      </c>
      <c r="AI80" s="71">
        <f ca="1"/>
        <v>0</v>
      </c>
      <c r="AJ80" s="201">
        <f ca="1"/>
        <v>0</v>
      </c>
      <c r="AK80" s="11">
        <f ca="1"/>
        <v>0</v>
      </c>
      <c r="AL80" s="11">
        <f ca="1"/>
        <v>0</v>
      </c>
      <c r="AM80" s="11">
        <f ca="1"/>
        <v>0</v>
      </c>
      <c r="AN80" s="11">
        <f ca="1"/>
        <v>0</v>
      </c>
      <c r="AO80" s="11">
        <f ca="1"/>
        <v>0</v>
      </c>
      <c r="AP80" s="11">
        <f ca="1"/>
        <v>0</v>
      </c>
      <c r="AQ80" s="11">
        <f ca="1"/>
        <v>0</v>
      </c>
      <c r="AR80" s="11">
        <f ca="1"/>
        <v>0</v>
      </c>
      <c r="AS80" s="11">
        <f ca="1"/>
        <v>0</v>
      </c>
      <c r="AT80" s="11">
        <f ca="1"/>
        <v>0</v>
      </c>
      <c r="AU80" s="71">
        <f ca="1"/>
        <v>0</v>
      </c>
      <c r="AV80" s="11">
        <f ca="1"/>
        <v>0</v>
      </c>
      <c r="AW80" s="11">
        <f ca="1"/>
        <v>0</v>
      </c>
      <c r="AX80" s="11">
        <f ca="1"/>
        <v>0</v>
      </c>
      <c r="AY80" s="11">
        <f ca="1"/>
        <v>0</v>
      </c>
      <c r="AZ80" s="11">
        <f ca="1"/>
        <v>0</v>
      </c>
      <c r="BA80" s="11">
        <f ca="1"/>
        <v>0</v>
      </c>
      <c r="BB80" s="11">
        <f ca="1"/>
        <v>0</v>
      </c>
      <c r="BC80" s="11">
        <f ca="1"/>
        <v>0</v>
      </c>
      <c r="BD80" s="11">
        <f ca="1"/>
        <v>0</v>
      </c>
      <c r="BE80" s="11">
        <f ca="1"/>
        <v>0</v>
      </c>
      <c r="BF80" s="11">
        <f ca="1"/>
        <v>0</v>
      </c>
      <c r="BG80" s="71">
        <f ca="1"/>
        <v>0</v>
      </c>
      <c r="BH80" s="11">
        <f ca="1"/>
        <v>0</v>
      </c>
      <c r="BI80" s="11">
        <f ca="1"/>
        <v>0</v>
      </c>
      <c r="BJ80" s="11">
        <f ca="1"/>
        <v>0</v>
      </c>
      <c r="BK80" s="11">
        <f ca="1"/>
        <v>0</v>
      </c>
      <c r="BL80" s="11">
        <f ca="1"/>
        <v>0</v>
      </c>
      <c r="BM80" s="11">
        <f ca="1"/>
        <v>0</v>
      </c>
      <c r="BN80" s="11">
        <f ca="1"/>
        <v>0</v>
      </c>
      <c r="BO80" s="11">
        <f ca="1"/>
        <v>0</v>
      </c>
      <c r="BP80" s="11">
        <f ca="1"/>
        <v>0</v>
      </c>
      <c r="BQ80" s="11">
        <f ca="1"/>
        <v>0</v>
      </c>
      <c r="BR80" s="11">
        <f ca="1"/>
        <v>0</v>
      </c>
      <c r="BS80" s="71">
        <f ca="1"/>
        <v>0</v>
      </c>
      <c r="BT80" s="11">
        <f ca="1"/>
        <v>0</v>
      </c>
      <c r="BU80" s="11">
        <f ca="1"/>
        <v>0</v>
      </c>
      <c r="BV80" s="11">
        <f ca="1"/>
        <v>0</v>
      </c>
      <c r="BW80" s="11">
        <f ca="1"/>
        <v>0</v>
      </c>
      <c r="BX80" s="11">
        <f ca="1"/>
        <v>0</v>
      </c>
      <c r="BY80" s="11">
        <f ca="1"/>
        <v>0</v>
      </c>
      <c r="BZ80" s="11">
        <f ca="1"/>
        <v>0</v>
      </c>
      <c r="CA80" s="11">
        <f ca="1"/>
        <v>0</v>
      </c>
      <c r="CB80" s="11">
        <f ca="1"/>
        <v>0</v>
      </c>
      <c r="CC80" s="11">
        <f ca="1"/>
        <v>0</v>
      </c>
      <c r="CD80" s="11">
        <f ca="1"/>
        <v>0</v>
      </c>
      <c r="CE80" s="88">
        <f ca="1"/>
        <v>0</v>
      </c>
    </row>
    <row r="81" spans="16:83" x14ac:dyDescent="0.35">
      <c r="P81" s="115"/>
      <c r="Q81" s="196" t="str">
        <f>$Q$17</f>
        <v/>
      </c>
      <c r="R81" s="197">
        <f t="shared" ca="1" si="230"/>
        <v>0</v>
      </c>
      <c r="S81" s="191">
        <f t="shared" ca="1" si="230"/>
        <v>0</v>
      </c>
      <c r="T81" s="191">
        <f t="shared" ca="1" si="230"/>
        <v>0</v>
      </c>
      <c r="U81" s="191">
        <f t="shared" ca="1" si="230"/>
        <v>0</v>
      </c>
      <c r="V81" s="198">
        <f t="shared" ca="1" si="230"/>
        <v>0</v>
      </c>
      <c r="W81" s="696">
        <v>0</v>
      </c>
      <c r="X81" s="9">
        <f ca="1"/>
        <v>0</v>
      </c>
      <c r="Y81" s="9">
        <f ca="1"/>
        <v>0</v>
      </c>
      <c r="Z81" s="11">
        <f ca="1"/>
        <v>0</v>
      </c>
      <c r="AA81" s="11">
        <f ca="1"/>
        <v>0</v>
      </c>
      <c r="AB81" s="11">
        <f ca="1"/>
        <v>0</v>
      </c>
      <c r="AC81" s="11">
        <f ca="1"/>
        <v>0</v>
      </c>
      <c r="AD81" s="11">
        <f ca="1"/>
        <v>0</v>
      </c>
      <c r="AE81" s="11">
        <f ca="1"/>
        <v>0</v>
      </c>
      <c r="AF81" s="11">
        <f ca="1"/>
        <v>0</v>
      </c>
      <c r="AG81" s="11">
        <f ca="1"/>
        <v>0</v>
      </c>
      <c r="AH81" s="11">
        <f ca="1"/>
        <v>0</v>
      </c>
      <c r="AI81" s="71">
        <f ca="1"/>
        <v>0</v>
      </c>
      <c r="AJ81" s="201">
        <f ca="1"/>
        <v>0</v>
      </c>
      <c r="AK81" s="11">
        <f ca="1"/>
        <v>0</v>
      </c>
      <c r="AL81" s="11">
        <f ca="1"/>
        <v>0</v>
      </c>
      <c r="AM81" s="11">
        <f ca="1"/>
        <v>0</v>
      </c>
      <c r="AN81" s="11">
        <f ca="1"/>
        <v>0</v>
      </c>
      <c r="AO81" s="11">
        <f ca="1"/>
        <v>0</v>
      </c>
      <c r="AP81" s="11">
        <f ca="1"/>
        <v>0</v>
      </c>
      <c r="AQ81" s="11">
        <f ca="1"/>
        <v>0</v>
      </c>
      <c r="AR81" s="11">
        <f ca="1"/>
        <v>0</v>
      </c>
      <c r="AS81" s="11">
        <f ca="1"/>
        <v>0</v>
      </c>
      <c r="AT81" s="11">
        <f ca="1"/>
        <v>0</v>
      </c>
      <c r="AU81" s="71">
        <f ca="1"/>
        <v>0</v>
      </c>
      <c r="AV81" s="11">
        <f ca="1"/>
        <v>0</v>
      </c>
      <c r="AW81" s="11">
        <f ca="1"/>
        <v>0</v>
      </c>
      <c r="AX81" s="11">
        <f ca="1"/>
        <v>0</v>
      </c>
      <c r="AY81" s="11">
        <f ca="1"/>
        <v>0</v>
      </c>
      <c r="AZ81" s="11">
        <f ca="1"/>
        <v>0</v>
      </c>
      <c r="BA81" s="11">
        <f ca="1"/>
        <v>0</v>
      </c>
      <c r="BB81" s="11">
        <f ca="1"/>
        <v>0</v>
      </c>
      <c r="BC81" s="11">
        <f ca="1"/>
        <v>0</v>
      </c>
      <c r="BD81" s="11">
        <f ca="1"/>
        <v>0</v>
      </c>
      <c r="BE81" s="11">
        <f ca="1"/>
        <v>0</v>
      </c>
      <c r="BF81" s="11">
        <f ca="1"/>
        <v>0</v>
      </c>
      <c r="BG81" s="71">
        <f ca="1"/>
        <v>0</v>
      </c>
      <c r="BH81" s="11">
        <f ca="1"/>
        <v>0</v>
      </c>
      <c r="BI81" s="11">
        <f ca="1"/>
        <v>0</v>
      </c>
      <c r="BJ81" s="11">
        <f ca="1"/>
        <v>0</v>
      </c>
      <c r="BK81" s="11">
        <f ca="1"/>
        <v>0</v>
      </c>
      <c r="BL81" s="11">
        <f ca="1"/>
        <v>0</v>
      </c>
      <c r="BM81" s="11">
        <f ca="1"/>
        <v>0</v>
      </c>
      <c r="BN81" s="11">
        <f ca="1"/>
        <v>0</v>
      </c>
      <c r="BO81" s="11">
        <f ca="1"/>
        <v>0</v>
      </c>
      <c r="BP81" s="11">
        <f ca="1"/>
        <v>0</v>
      </c>
      <c r="BQ81" s="11">
        <f ca="1"/>
        <v>0</v>
      </c>
      <c r="BR81" s="11">
        <f ca="1"/>
        <v>0</v>
      </c>
      <c r="BS81" s="71">
        <f ca="1"/>
        <v>0</v>
      </c>
      <c r="BT81" s="11">
        <f ca="1"/>
        <v>0</v>
      </c>
      <c r="BU81" s="11">
        <f ca="1"/>
        <v>0</v>
      </c>
      <c r="BV81" s="11">
        <f ca="1"/>
        <v>0</v>
      </c>
      <c r="BW81" s="11">
        <f ca="1"/>
        <v>0</v>
      </c>
      <c r="BX81" s="11">
        <f ca="1"/>
        <v>0</v>
      </c>
      <c r="BY81" s="11">
        <f ca="1"/>
        <v>0</v>
      </c>
      <c r="BZ81" s="11">
        <f ca="1"/>
        <v>0</v>
      </c>
      <c r="CA81" s="11">
        <f ca="1"/>
        <v>0</v>
      </c>
      <c r="CB81" s="11">
        <f ca="1"/>
        <v>0</v>
      </c>
      <c r="CC81" s="11">
        <f ca="1"/>
        <v>0</v>
      </c>
      <c r="CD81" s="11">
        <f ca="1"/>
        <v>0</v>
      </c>
      <c r="CE81" s="88">
        <f ca="1"/>
        <v>0</v>
      </c>
    </row>
    <row r="82" spans="16:83" x14ac:dyDescent="0.35">
      <c r="P82" s="115"/>
      <c r="Q82" s="196" t="str">
        <f>$Q$18</f>
        <v/>
      </c>
      <c r="R82" s="197">
        <f t="shared" ca="1" si="230"/>
        <v>0</v>
      </c>
      <c r="S82" s="191">
        <f t="shared" ca="1" si="230"/>
        <v>0</v>
      </c>
      <c r="T82" s="191">
        <f t="shared" ca="1" si="230"/>
        <v>0</v>
      </c>
      <c r="U82" s="191">
        <f t="shared" ca="1" si="230"/>
        <v>0</v>
      </c>
      <c r="V82" s="198">
        <f t="shared" ca="1" si="230"/>
        <v>0</v>
      </c>
      <c r="W82" s="696">
        <v>0</v>
      </c>
      <c r="X82" s="9">
        <f ca="1"/>
        <v>0</v>
      </c>
      <c r="Y82" s="9">
        <f ca="1"/>
        <v>0</v>
      </c>
      <c r="Z82" s="11">
        <f ca="1"/>
        <v>0</v>
      </c>
      <c r="AA82" s="11">
        <f ca="1"/>
        <v>0</v>
      </c>
      <c r="AB82" s="11">
        <f ca="1"/>
        <v>0</v>
      </c>
      <c r="AC82" s="11">
        <f ca="1"/>
        <v>0</v>
      </c>
      <c r="AD82" s="11">
        <f ca="1"/>
        <v>0</v>
      </c>
      <c r="AE82" s="11">
        <f ca="1"/>
        <v>0</v>
      </c>
      <c r="AF82" s="11">
        <f ca="1"/>
        <v>0</v>
      </c>
      <c r="AG82" s="11">
        <f ca="1"/>
        <v>0</v>
      </c>
      <c r="AH82" s="11">
        <f ca="1"/>
        <v>0</v>
      </c>
      <c r="AI82" s="71">
        <f ca="1"/>
        <v>0</v>
      </c>
      <c r="AJ82" s="201">
        <f ca="1"/>
        <v>0</v>
      </c>
      <c r="AK82" s="11">
        <f ca="1"/>
        <v>0</v>
      </c>
      <c r="AL82" s="11">
        <f ca="1"/>
        <v>0</v>
      </c>
      <c r="AM82" s="11">
        <f ca="1"/>
        <v>0</v>
      </c>
      <c r="AN82" s="11">
        <f ca="1"/>
        <v>0</v>
      </c>
      <c r="AO82" s="11">
        <f ca="1"/>
        <v>0</v>
      </c>
      <c r="AP82" s="11">
        <f ca="1"/>
        <v>0</v>
      </c>
      <c r="AQ82" s="11">
        <f ca="1"/>
        <v>0</v>
      </c>
      <c r="AR82" s="11">
        <f ca="1"/>
        <v>0</v>
      </c>
      <c r="AS82" s="11">
        <f ca="1"/>
        <v>0</v>
      </c>
      <c r="AT82" s="11">
        <f ca="1"/>
        <v>0</v>
      </c>
      <c r="AU82" s="71">
        <f ca="1"/>
        <v>0</v>
      </c>
      <c r="AV82" s="11">
        <f ca="1"/>
        <v>0</v>
      </c>
      <c r="AW82" s="11">
        <f ca="1"/>
        <v>0</v>
      </c>
      <c r="AX82" s="11">
        <f ca="1"/>
        <v>0</v>
      </c>
      <c r="AY82" s="11">
        <f ca="1"/>
        <v>0</v>
      </c>
      <c r="AZ82" s="11">
        <f ca="1"/>
        <v>0</v>
      </c>
      <c r="BA82" s="11">
        <f ca="1"/>
        <v>0</v>
      </c>
      <c r="BB82" s="11">
        <f ca="1"/>
        <v>0</v>
      </c>
      <c r="BC82" s="11">
        <f ca="1"/>
        <v>0</v>
      </c>
      <c r="BD82" s="11">
        <f ca="1"/>
        <v>0</v>
      </c>
      <c r="BE82" s="11">
        <f ca="1"/>
        <v>0</v>
      </c>
      <c r="BF82" s="11">
        <f ca="1"/>
        <v>0</v>
      </c>
      <c r="BG82" s="71">
        <f ca="1"/>
        <v>0</v>
      </c>
      <c r="BH82" s="11">
        <f ca="1"/>
        <v>0</v>
      </c>
      <c r="BI82" s="11">
        <f ca="1"/>
        <v>0</v>
      </c>
      <c r="BJ82" s="11">
        <f ca="1"/>
        <v>0</v>
      </c>
      <c r="BK82" s="11">
        <f ca="1"/>
        <v>0</v>
      </c>
      <c r="BL82" s="11">
        <f ca="1"/>
        <v>0</v>
      </c>
      <c r="BM82" s="11">
        <f ca="1"/>
        <v>0</v>
      </c>
      <c r="BN82" s="11">
        <f ca="1"/>
        <v>0</v>
      </c>
      <c r="BO82" s="11">
        <f ca="1"/>
        <v>0</v>
      </c>
      <c r="BP82" s="11">
        <f ca="1"/>
        <v>0</v>
      </c>
      <c r="BQ82" s="11">
        <f ca="1"/>
        <v>0</v>
      </c>
      <c r="BR82" s="11">
        <f ca="1"/>
        <v>0</v>
      </c>
      <c r="BS82" s="71">
        <f ca="1"/>
        <v>0</v>
      </c>
      <c r="BT82" s="11">
        <f ca="1"/>
        <v>0</v>
      </c>
      <c r="BU82" s="11">
        <f ca="1"/>
        <v>0</v>
      </c>
      <c r="BV82" s="11">
        <f ca="1"/>
        <v>0</v>
      </c>
      <c r="BW82" s="11">
        <f ca="1"/>
        <v>0</v>
      </c>
      <c r="BX82" s="11">
        <f ca="1"/>
        <v>0</v>
      </c>
      <c r="BY82" s="11">
        <f ca="1"/>
        <v>0</v>
      </c>
      <c r="BZ82" s="11">
        <f ca="1"/>
        <v>0</v>
      </c>
      <c r="CA82" s="11">
        <f ca="1"/>
        <v>0</v>
      </c>
      <c r="CB82" s="11">
        <f ca="1"/>
        <v>0</v>
      </c>
      <c r="CC82" s="11">
        <f ca="1"/>
        <v>0</v>
      </c>
      <c r="CD82" s="11">
        <f ca="1"/>
        <v>0</v>
      </c>
      <c r="CE82" s="88">
        <f ca="1"/>
        <v>0</v>
      </c>
    </row>
    <row r="83" spans="16:83" x14ac:dyDescent="0.35">
      <c r="P83" s="115"/>
      <c r="Q83" s="196" t="str">
        <f>$Q$19</f>
        <v/>
      </c>
      <c r="R83" s="197">
        <f t="shared" ca="1" si="230"/>
        <v>0</v>
      </c>
      <c r="S83" s="191">
        <f t="shared" ca="1" si="230"/>
        <v>0</v>
      </c>
      <c r="T83" s="191">
        <f t="shared" ca="1" si="230"/>
        <v>0</v>
      </c>
      <c r="U83" s="191">
        <f t="shared" ca="1" si="230"/>
        <v>0</v>
      </c>
      <c r="V83" s="198">
        <f t="shared" ca="1" si="230"/>
        <v>0</v>
      </c>
      <c r="W83" s="696">
        <v>0</v>
      </c>
      <c r="X83" s="9">
        <f ca="1"/>
        <v>0</v>
      </c>
      <c r="Y83" s="9">
        <f ca="1"/>
        <v>0</v>
      </c>
      <c r="Z83" s="11">
        <f ca="1"/>
        <v>0</v>
      </c>
      <c r="AA83" s="11">
        <f ca="1"/>
        <v>0</v>
      </c>
      <c r="AB83" s="11">
        <f ca="1"/>
        <v>0</v>
      </c>
      <c r="AC83" s="11">
        <f ca="1"/>
        <v>0</v>
      </c>
      <c r="AD83" s="11">
        <f ca="1"/>
        <v>0</v>
      </c>
      <c r="AE83" s="11">
        <f ca="1"/>
        <v>0</v>
      </c>
      <c r="AF83" s="11">
        <f ca="1"/>
        <v>0</v>
      </c>
      <c r="AG83" s="11">
        <f ca="1"/>
        <v>0</v>
      </c>
      <c r="AH83" s="11">
        <f ca="1"/>
        <v>0</v>
      </c>
      <c r="AI83" s="71">
        <f ca="1"/>
        <v>0</v>
      </c>
      <c r="AJ83" s="201">
        <f ca="1"/>
        <v>0</v>
      </c>
      <c r="AK83" s="11">
        <f ca="1"/>
        <v>0</v>
      </c>
      <c r="AL83" s="11">
        <f ca="1"/>
        <v>0</v>
      </c>
      <c r="AM83" s="11">
        <f ca="1"/>
        <v>0</v>
      </c>
      <c r="AN83" s="11">
        <f ca="1"/>
        <v>0</v>
      </c>
      <c r="AO83" s="11">
        <f ca="1"/>
        <v>0</v>
      </c>
      <c r="AP83" s="11">
        <f ca="1"/>
        <v>0</v>
      </c>
      <c r="AQ83" s="11">
        <f ca="1"/>
        <v>0</v>
      </c>
      <c r="AR83" s="11">
        <f ca="1"/>
        <v>0</v>
      </c>
      <c r="AS83" s="11">
        <f ca="1"/>
        <v>0</v>
      </c>
      <c r="AT83" s="11">
        <f ca="1"/>
        <v>0</v>
      </c>
      <c r="AU83" s="71">
        <f ca="1"/>
        <v>0</v>
      </c>
      <c r="AV83" s="11">
        <f ca="1"/>
        <v>0</v>
      </c>
      <c r="AW83" s="11">
        <f ca="1"/>
        <v>0</v>
      </c>
      <c r="AX83" s="11">
        <f ca="1"/>
        <v>0</v>
      </c>
      <c r="AY83" s="11">
        <f ca="1"/>
        <v>0</v>
      </c>
      <c r="AZ83" s="11">
        <f ca="1"/>
        <v>0</v>
      </c>
      <c r="BA83" s="11">
        <f ca="1"/>
        <v>0</v>
      </c>
      <c r="BB83" s="11">
        <f ca="1"/>
        <v>0</v>
      </c>
      <c r="BC83" s="11">
        <f ca="1"/>
        <v>0</v>
      </c>
      <c r="BD83" s="11">
        <f ca="1"/>
        <v>0</v>
      </c>
      <c r="BE83" s="11">
        <f ca="1"/>
        <v>0</v>
      </c>
      <c r="BF83" s="11">
        <f ca="1"/>
        <v>0</v>
      </c>
      <c r="BG83" s="71">
        <f ca="1"/>
        <v>0</v>
      </c>
      <c r="BH83" s="11">
        <f ca="1"/>
        <v>0</v>
      </c>
      <c r="BI83" s="11">
        <f ca="1"/>
        <v>0</v>
      </c>
      <c r="BJ83" s="11">
        <f ca="1"/>
        <v>0</v>
      </c>
      <c r="BK83" s="11">
        <f ca="1"/>
        <v>0</v>
      </c>
      <c r="BL83" s="11">
        <f ca="1"/>
        <v>0</v>
      </c>
      <c r="BM83" s="11">
        <f ca="1"/>
        <v>0</v>
      </c>
      <c r="BN83" s="11">
        <f ca="1"/>
        <v>0</v>
      </c>
      <c r="BO83" s="11">
        <f ca="1"/>
        <v>0</v>
      </c>
      <c r="BP83" s="11">
        <f ca="1"/>
        <v>0</v>
      </c>
      <c r="BQ83" s="11">
        <f ca="1"/>
        <v>0</v>
      </c>
      <c r="BR83" s="11">
        <f ca="1"/>
        <v>0</v>
      </c>
      <c r="BS83" s="71">
        <f ca="1"/>
        <v>0</v>
      </c>
      <c r="BT83" s="11">
        <f ca="1"/>
        <v>0</v>
      </c>
      <c r="BU83" s="11">
        <f ca="1"/>
        <v>0</v>
      </c>
      <c r="BV83" s="11">
        <f ca="1"/>
        <v>0</v>
      </c>
      <c r="BW83" s="11">
        <f ca="1"/>
        <v>0</v>
      </c>
      <c r="BX83" s="11">
        <f ca="1"/>
        <v>0</v>
      </c>
      <c r="BY83" s="11">
        <f ca="1"/>
        <v>0</v>
      </c>
      <c r="BZ83" s="11">
        <f ca="1"/>
        <v>0</v>
      </c>
      <c r="CA83" s="11">
        <f ca="1"/>
        <v>0</v>
      </c>
      <c r="CB83" s="11">
        <f ca="1"/>
        <v>0</v>
      </c>
      <c r="CC83" s="11">
        <f ca="1"/>
        <v>0</v>
      </c>
      <c r="CD83" s="11">
        <f ca="1"/>
        <v>0</v>
      </c>
      <c r="CE83" s="88">
        <f ca="1"/>
        <v>0</v>
      </c>
    </row>
    <row r="84" spans="16:83" ht="15" thickBot="1" x14ac:dyDescent="0.4">
      <c r="P84" s="726"/>
      <c r="Q84" s="196" t="str">
        <f>$Q$20</f>
        <v/>
      </c>
      <c r="R84" s="197">
        <f t="shared" ca="1" si="230"/>
        <v>0</v>
      </c>
      <c r="S84" s="191">
        <f t="shared" ca="1" si="230"/>
        <v>0</v>
      </c>
      <c r="T84" s="191">
        <f t="shared" ca="1" si="230"/>
        <v>0</v>
      </c>
      <c r="U84" s="191">
        <f t="shared" ca="1" si="230"/>
        <v>0</v>
      </c>
      <c r="V84" s="198">
        <f t="shared" ca="1" si="230"/>
        <v>0</v>
      </c>
      <c r="W84" s="696">
        <v>0</v>
      </c>
      <c r="X84" s="9">
        <f ca="1"/>
        <v>0</v>
      </c>
      <c r="Y84" s="9">
        <f ca="1"/>
        <v>0</v>
      </c>
      <c r="Z84" s="11">
        <f ca="1"/>
        <v>0</v>
      </c>
      <c r="AA84" s="11">
        <f ca="1"/>
        <v>0</v>
      </c>
      <c r="AB84" s="11">
        <f ca="1"/>
        <v>0</v>
      </c>
      <c r="AC84" s="11">
        <f ca="1"/>
        <v>0</v>
      </c>
      <c r="AD84" s="11">
        <f ca="1"/>
        <v>0</v>
      </c>
      <c r="AE84" s="11">
        <f ca="1"/>
        <v>0</v>
      </c>
      <c r="AF84" s="11">
        <f ca="1"/>
        <v>0</v>
      </c>
      <c r="AG84" s="11">
        <f ca="1"/>
        <v>0</v>
      </c>
      <c r="AH84" s="11">
        <f ca="1"/>
        <v>0</v>
      </c>
      <c r="AI84" s="71">
        <f ca="1"/>
        <v>0</v>
      </c>
      <c r="AJ84" s="201">
        <f ca="1"/>
        <v>0</v>
      </c>
      <c r="AK84" s="11">
        <f ca="1"/>
        <v>0</v>
      </c>
      <c r="AL84" s="11">
        <f ca="1"/>
        <v>0</v>
      </c>
      <c r="AM84" s="11">
        <f ca="1"/>
        <v>0</v>
      </c>
      <c r="AN84" s="11">
        <f ca="1"/>
        <v>0</v>
      </c>
      <c r="AO84" s="11">
        <f ca="1"/>
        <v>0</v>
      </c>
      <c r="AP84" s="11">
        <f ca="1"/>
        <v>0</v>
      </c>
      <c r="AQ84" s="11">
        <f ca="1"/>
        <v>0</v>
      </c>
      <c r="AR84" s="11">
        <f ca="1"/>
        <v>0</v>
      </c>
      <c r="AS84" s="11">
        <f ca="1"/>
        <v>0</v>
      </c>
      <c r="AT84" s="11">
        <f ca="1"/>
        <v>0</v>
      </c>
      <c r="AU84" s="71">
        <f ca="1"/>
        <v>0</v>
      </c>
      <c r="AV84" s="11">
        <f ca="1"/>
        <v>0</v>
      </c>
      <c r="AW84" s="11">
        <f ca="1"/>
        <v>0</v>
      </c>
      <c r="AX84" s="11">
        <f ca="1"/>
        <v>0</v>
      </c>
      <c r="AY84" s="11">
        <f ca="1"/>
        <v>0</v>
      </c>
      <c r="AZ84" s="11">
        <f ca="1"/>
        <v>0</v>
      </c>
      <c r="BA84" s="11">
        <f ca="1"/>
        <v>0</v>
      </c>
      <c r="BB84" s="11">
        <f ca="1"/>
        <v>0</v>
      </c>
      <c r="BC84" s="11">
        <f ca="1"/>
        <v>0</v>
      </c>
      <c r="BD84" s="11">
        <f ca="1"/>
        <v>0</v>
      </c>
      <c r="BE84" s="11">
        <f ca="1"/>
        <v>0</v>
      </c>
      <c r="BF84" s="11">
        <f ca="1"/>
        <v>0</v>
      </c>
      <c r="BG84" s="71">
        <f ca="1"/>
        <v>0</v>
      </c>
      <c r="BH84" s="11">
        <f ca="1"/>
        <v>0</v>
      </c>
      <c r="BI84" s="11">
        <f ca="1"/>
        <v>0</v>
      </c>
      <c r="BJ84" s="11">
        <f ca="1"/>
        <v>0</v>
      </c>
      <c r="BK84" s="11">
        <f ca="1"/>
        <v>0</v>
      </c>
      <c r="BL84" s="11">
        <f ca="1"/>
        <v>0</v>
      </c>
      <c r="BM84" s="11">
        <f ca="1"/>
        <v>0</v>
      </c>
      <c r="BN84" s="11">
        <f ca="1"/>
        <v>0</v>
      </c>
      <c r="BO84" s="11">
        <f ca="1"/>
        <v>0</v>
      </c>
      <c r="BP84" s="11">
        <f ca="1"/>
        <v>0</v>
      </c>
      <c r="BQ84" s="11">
        <f ca="1"/>
        <v>0</v>
      </c>
      <c r="BR84" s="11">
        <f ca="1"/>
        <v>0</v>
      </c>
      <c r="BS84" s="71">
        <f ca="1"/>
        <v>0</v>
      </c>
      <c r="BT84" s="11">
        <f ca="1"/>
        <v>0</v>
      </c>
      <c r="BU84" s="11">
        <f ca="1"/>
        <v>0</v>
      </c>
      <c r="BV84" s="11">
        <f ca="1"/>
        <v>0</v>
      </c>
      <c r="BW84" s="11">
        <f ca="1"/>
        <v>0</v>
      </c>
      <c r="BX84" s="11">
        <f ca="1"/>
        <v>0</v>
      </c>
      <c r="BY84" s="11">
        <f ca="1"/>
        <v>0</v>
      </c>
      <c r="BZ84" s="11">
        <f ca="1"/>
        <v>0</v>
      </c>
      <c r="CA84" s="11">
        <f ca="1"/>
        <v>0</v>
      </c>
      <c r="CB84" s="11">
        <f ca="1"/>
        <v>0</v>
      </c>
      <c r="CC84" s="11">
        <f ca="1"/>
        <v>0</v>
      </c>
      <c r="CD84" s="11">
        <f ca="1"/>
        <v>0</v>
      </c>
      <c r="CE84" s="88">
        <f ca="1"/>
        <v>0</v>
      </c>
    </row>
    <row r="85" spans="16:83" ht="14.5" customHeight="1" thickTop="1" x14ac:dyDescent="0.35">
      <c r="P85" s="936" t="s">
        <v>272</v>
      </c>
      <c r="Q85" s="715" t="s">
        <v>265</v>
      </c>
      <c r="R85" s="716">
        <f>SUM(R86:R100)</f>
        <v>0</v>
      </c>
      <c r="S85" s="717">
        <f t="shared" ref="S85:BS85" si="232">SUM(S86:S100)</f>
        <v>0</v>
      </c>
      <c r="T85" s="717">
        <f t="shared" si="232"/>
        <v>0</v>
      </c>
      <c r="U85" s="717">
        <f t="shared" si="232"/>
        <v>0</v>
      </c>
      <c r="V85" s="718">
        <f t="shared" ref="V85" si="233">SUM(V86:V100)</f>
        <v>0</v>
      </c>
      <c r="W85" s="719">
        <v>0</v>
      </c>
      <c r="X85" s="720">
        <f t="shared" si="232"/>
        <v>0</v>
      </c>
      <c r="Y85" s="721">
        <f t="shared" si="232"/>
        <v>0</v>
      </c>
      <c r="Z85" s="722">
        <f t="shared" si="232"/>
        <v>0</v>
      </c>
      <c r="AA85" s="722">
        <f t="shared" si="232"/>
        <v>0</v>
      </c>
      <c r="AB85" s="722">
        <f t="shared" si="232"/>
        <v>0</v>
      </c>
      <c r="AC85" s="722">
        <f t="shared" si="232"/>
        <v>0</v>
      </c>
      <c r="AD85" s="722">
        <f t="shared" si="232"/>
        <v>0</v>
      </c>
      <c r="AE85" s="722">
        <f t="shared" si="232"/>
        <v>0</v>
      </c>
      <c r="AF85" s="722">
        <f t="shared" si="232"/>
        <v>0</v>
      </c>
      <c r="AG85" s="722">
        <f t="shared" si="232"/>
        <v>0</v>
      </c>
      <c r="AH85" s="722">
        <f t="shared" si="232"/>
        <v>0</v>
      </c>
      <c r="AI85" s="723">
        <f t="shared" si="232"/>
        <v>0</v>
      </c>
      <c r="AJ85" s="724">
        <f t="shared" si="232"/>
        <v>0</v>
      </c>
      <c r="AK85" s="722">
        <f t="shared" si="232"/>
        <v>0</v>
      </c>
      <c r="AL85" s="722">
        <f t="shared" si="232"/>
        <v>0</v>
      </c>
      <c r="AM85" s="722">
        <f t="shared" si="232"/>
        <v>0</v>
      </c>
      <c r="AN85" s="722">
        <f t="shared" si="232"/>
        <v>0</v>
      </c>
      <c r="AO85" s="722">
        <f t="shared" si="232"/>
        <v>0</v>
      </c>
      <c r="AP85" s="722">
        <f t="shared" si="232"/>
        <v>0</v>
      </c>
      <c r="AQ85" s="722">
        <f t="shared" si="232"/>
        <v>0</v>
      </c>
      <c r="AR85" s="722">
        <f t="shared" si="232"/>
        <v>0</v>
      </c>
      <c r="AS85" s="722">
        <f t="shared" si="232"/>
        <v>0</v>
      </c>
      <c r="AT85" s="722">
        <f t="shared" si="232"/>
        <v>0</v>
      </c>
      <c r="AU85" s="723">
        <f t="shared" si="232"/>
        <v>0</v>
      </c>
      <c r="AV85" s="722">
        <f t="shared" si="232"/>
        <v>0</v>
      </c>
      <c r="AW85" s="722">
        <f t="shared" si="232"/>
        <v>0</v>
      </c>
      <c r="AX85" s="722">
        <f t="shared" si="232"/>
        <v>0</v>
      </c>
      <c r="AY85" s="722">
        <f t="shared" si="232"/>
        <v>0</v>
      </c>
      <c r="AZ85" s="722">
        <f t="shared" si="232"/>
        <v>0</v>
      </c>
      <c r="BA85" s="722">
        <f t="shared" si="232"/>
        <v>0</v>
      </c>
      <c r="BB85" s="722">
        <f t="shared" si="232"/>
        <v>0</v>
      </c>
      <c r="BC85" s="722">
        <f t="shared" si="232"/>
        <v>0</v>
      </c>
      <c r="BD85" s="722">
        <f t="shared" si="232"/>
        <v>0</v>
      </c>
      <c r="BE85" s="722">
        <f t="shared" si="232"/>
        <v>0</v>
      </c>
      <c r="BF85" s="722">
        <f t="shared" si="232"/>
        <v>0</v>
      </c>
      <c r="BG85" s="723">
        <f t="shared" si="232"/>
        <v>0</v>
      </c>
      <c r="BH85" s="722">
        <f t="shared" si="232"/>
        <v>0</v>
      </c>
      <c r="BI85" s="722">
        <f t="shared" si="232"/>
        <v>0</v>
      </c>
      <c r="BJ85" s="722">
        <f t="shared" si="232"/>
        <v>0</v>
      </c>
      <c r="BK85" s="722">
        <f t="shared" si="232"/>
        <v>0</v>
      </c>
      <c r="BL85" s="722">
        <f t="shared" si="232"/>
        <v>0</v>
      </c>
      <c r="BM85" s="722">
        <f t="shared" si="232"/>
        <v>0</v>
      </c>
      <c r="BN85" s="722">
        <f t="shared" si="232"/>
        <v>0</v>
      </c>
      <c r="BO85" s="722">
        <f t="shared" si="232"/>
        <v>0</v>
      </c>
      <c r="BP85" s="722">
        <f t="shared" si="232"/>
        <v>0</v>
      </c>
      <c r="BQ85" s="722">
        <f t="shared" si="232"/>
        <v>0</v>
      </c>
      <c r="BR85" s="722">
        <f t="shared" si="232"/>
        <v>0</v>
      </c>
      <c r="BS85" s="723">
        <f t="shared" si="232"/>
        <v>0</v>
      </c>
      <c r="BT85" s="722">
        <f t="shared" ref="BT85:CE85" si="234">SUM(BT86:BT100)</f>
        <v>0</v>
      </c>
      <c r="BU85" s="722">
        <f t="shared" si="234"/>
        <v>0</v>
      </c>
      <c r="BV85" s="722">
        <f t="shared" si="234"/>
        <v>0</v>
      </c>
      <c r="BW85" s="722">
        <f t="shared" si="234"/>
        <v>0</v>
      </c>
      <c r="BX85" s="722">
        <f t="shared" si="234"/>
        <v>0</v>
      </c>
      <c r="BY85" s="722">
        <f t="shared" si="234"/>
        <v>0</v>
      </c>
      <c r="BZ85" s="722">
        <f t="shared" si="234"/>
        <v>0</v>
      </c>
      <c r="CA85" s="722">
        <f t="shared" si="234"/>
        <v>0</v>
      </c>
      <c r="CB85" s="722">
        <f t="shared" si="234"/>
        <v>0</v>
      </c>
      <c r="CC85" s="722">
        <f t="shared" si="234"/>
        <v>0</v>
      </c>
      <c r="CD85" s="722">
        <f t="shared" si="234"/>
        <v>0</v>
      </c>
      <c r="CE85" s="725">
        <f t="shared" si="234"/>
        <v>0</v>
      </c>
    </row>
    <row r="86" spans="16:83" x14ac:dyDescent="0.35">
      <c r="P86" s="936"/>
      <c r="Q86" s="194" t="str">
        <f>$Q$6</f>
        <v/>
      </c>
      <c r="R86" s="197">
        <f t="shared" ref="R86:V100" si="235">_xlfn.MINIFS($X86:$CE86,$X$2:$CE$2,R$2)</f>
        <v>0</v>
      </c>
      <c r="S86" s="191">
        <f t="shared" si="235"/>
        <v>0</v>
      </c>
      <c r="T86" s="191">
        <f t="shared" si="235"/>
        <v>0</v>
      </c>
      <c r="U86" s="191">
        <f t="shared" si="235"/>
        <v>0</v>
      </c>
      <c r="V86" s="198">
        <f t="shared" ref="V86" si="236">_xlfn.MINIFS($X86:$CE86,$X$2:$CE$2,V$2)</f>
        <v>0</v>
      </c>
      <c r="W86" s="193">
        <v>0</v>
      </c>
      <c r="X86" s="193">
        <f>'UW Model'!$H28-X6</f>
        <v>0</v>
      </c>
      <c r="Y86" s="190">
        <f>'UW Model'!$H28-Y6</f>
        <v>0</v>
      </c>
      <c r="Z86" s="190">
        <f>'UW Model'!$H28-Z6</f>
        <v>0</v>
      </c>
      <c r="AA86" s="190">
        <f>'UW Model'!$H28-AA6</f>
        <v>0</v>
      </c>
      <c r="AB86" s="190">
        <f>'UW Model'!$H28-AB6</f>
        <v>0</v>
      </c>
      <c r="AC86" s="190">
        <f>'UW Model'!$H28-AC6</f>
        <v>0</v>
      </c>
      <c r="AD86" s="190">
        <f>'UW Model'!$H28-AD6</f>
        <v>0</v>
      </c>
      <c r="AE86" s="190">
        <f>'UW Model'!$H28-AE6</f>
        <v>0</v>
      </c>
      <c r="AF86" s="190">
        <f>'UW Model'!$H28-AF6</f>
        <v>0</v>
      </c>
      <c r="AG86" s="190">
        <f>'UW Model'!$H28-AG6</f>
        <v>0</v>
      </c>
      <c r="AH86" s="190">
        <f>'UW Model'!$H28-AH6</f>
        <v>0</v>
      </c>
      <c r="AI86" s="192">
        <f>'UW Model'!$H28-AI6</f>
        <v>0</v>
      </c>
      <c r="AJ86" s="193">
        <f>'UW Model'!$H28-AJ6</f>
        <v>0</v>
      </c>
      <c r="AK86" s="190">
        <f>'UW Model'!$H28-AK6</f>
        <v>0</v>
      </c>
      <c r="AL86" s="190">
        <f>'UW Model'!$H28-AL6</f>
        <v>0</v>
      </c>
      <c r="AM86" s="190">
        <f>'UW Model'!$H28-AM6</f>
        <v>0</v>
      </c>
      <c r="AN86" s="190">
        <f>'UW Model'!$H28-AN6</f>
        <v>0</v>
      </c>
      <c r="AO86" s="190">
        <f>'UW Model'!$H28-AO6</f>
        <v>0</v>
      </c>
      <c r="AP86" s="190">
        <f>'UW Model'!$H28-AP6</f>
        <v>0</v>
      </c>
      <c r="AQ86" s="190">
        <f>'UW Model'!$H28-AQ6</f>
        <v>0</v>
      </c>
      <c r="AR86" s="190">
        <f>'UW Model'!$H28-AR6</f>
        <v>0</v>
      </c>
      <c r="AS86" s="190">
        <f>'UW Model'!$H28-AS6</f>
        <v>0</v>
      </c>
      <c r="AT86" s="190">
        <f>'UW Model'!$H28-AT6</f>
        <v>0</v>
      </c>
      <c r="AU86" s="192">
        <f>'UW Model'!$H28-AU6</f>
        <v>0</v>
      </c>
      <c r="AV86" s="190">
        <f>'UW Model'!$H28-AV6</f>
        <v>0</v>
      </c>
      <c r="AW86" s="190">
        <f>'UW Model'!$H28-AW6</f>
        <v>0</v>
      </c>
      <c r="AX86" s="190">
        <f>'UW Model'!$H28-AX6</f>
        <v>0</v>
      </c>
      <c r="AY86" s="190">
        <f>'UW Model'!$H28-AY6</f>
        <v>0</v>
      </c>
      <c r="AZ86" s="190">
        <f>'UW Model'!$H28-AZ6</f>
        <v>0</v>
      </c>
      <c r="BA86" s="190">
        <f>'UW Model'!$H28-BA6</f>
        <v>0</v>
      </c>
      <c r="BB86" s="190">
        <f>'UW Model'!$H28-BB6</f>
        <v>0</v>
      </c>
      <c r="BC86" s="190">
        <f>'UW Model'!$H28-BC6</f>
        <v>0</v>
      </c>
      <c r="BD86" s="190">
        <f>'UW Model'!$H28-BD6</f>
        <v>0</v>
      </c>
      <c r="BE86" s="190">
        <f>'UW Model'!$H28-BE6</f>
        <v>0</v>
      </c>
      <c r="BF86" s="190">
        <f>'UW Model'!$H28-BF6</f>
        <v>0</v>
      </c>
      <c r="BG86" s="192">
        <f>'UW Model'!$H28-BG6</f>
        <v>0</v>
      </c>
      <c r="BH86" s="190">
        <f>'UW Model'!$H28-BH6</f>
        <v>0</v>
      </c>
      <c r="BI86" s="190">
        <f>'UW Model'!$H28-BI6</f>
        <v>0</v>
      </c>
      <c r="BJ86" s="190">
        <f>'UW Model'!$H28-BJ6</f>
        <v>0</v>
      </c>
      <c r="BK86" s="190">
        <f>'UW Model'!$H28-BK6</f>
        <v>0</v>
      </c>
      <c r="BL86" s="190">
        <f>'UW Model'!$H28-BL6</f>
        <v>0</v>
      </c>
      <c r="BM86" s="190">
        <f>'UW Model'!$H28-BM6</f>
        <v>0</v>
      </c>
      <c r="BN86" s="190">
        <f>'UW Model'!$H28-BN6</f>
        <v>0</v>
      </c>
      <c r="BO86" s="190">
        <f>'UW Model'!$H28-BO6</f>
        <v>0</v>
      </c>
      <c r="BP86" s="190">
        <f>'UW Model'!$H28-BP6</f>
        <v>0</v>
      </c>
      <c r="BQ86" s="190">
        <f>'UW Model'!$H28-BQ6</f>
        <v>0</v>
      </c>
      <c r="BR86" s="190">
        <f>'UW Model'!$H28-BR6</f>
        <v>0</v>
      </c>
      <c r="BS86" s="192">
        <f>'UW Model'!$H28-BS6</f>
        <v>0</v>
      </c>
      <c r="BT86" s="190">
        <f>'UW Model'!$H28-BT6</f>
        <v>0</v>
      </c>
      <c r="BU86" s="190">
        <f>'UW Model'!$H28-BU6</f>
        <v>0</v>
      </c>
      <c r="BV86" s="190">
        <f>'UW Model'!$H28-BV6</f>
        <v>0</v>
      </c>
      <c r="BW86" s="190">
        <f>'UW Model'!$H28-BW6</f>
        <v>0</v>
      </c>
      <c r="BX86" s="190">
        <f>'UW Model'!$H28-BX6</f>
        <v>0</v>
      </c>
      <c r="BY86" s="190">
        <f>'UW Model'!$H28-BY6</f>
        <v>0</v>
      </c>
      <c r="BZ86" s="190">
        <f>'UW Model'!$H28-BZ6</f>
        <v>0</v>
      </c>
      <c r="CA86" s="190">
        <f>'UW Model'!$H28-CA6</f>
        <v>0</v>
      </c>
      <c r="CB86" s="190">
        <f>'UW Model'!$H28-CB6</f>
        <v>0</v>
      </c>
      <c r="CC86" s="190">
        <f>'UW Model'!$H28-CC6</f>
        <v>0</v>
      </c>
      <c r="CD86" s="190">
        <f>'UW Model'!$H28-CD6</f>
        <v>0</v>
      </c>
      <c r="CE86" s="195">
        <f>'UW Model'!$H28-CE6</f>
        <v>0</v>
      </c>
    </row>
    <row r="87" spans="16:83" x14ac:dyDescent="0.35">
      <c r="P87" s="936"/>
      <c r="Q87" s="194" t="str">
        <f>$Q$7</f>
        <v/>
      </c>
      <c r="R87" s="197">
        <f t="shared" si="235"/>
        <v>0</v>
      </c>
      <c r="S87" s="191">
        <f t="shared" si="235"/>
        <v>0</v>
      </c>
      <c r="T87" s="191">
        <f t="shared" si="235"/>
        <v>0</v>
      </c>
      <c r="U87" s="191">
        <f t="shared" si="235"/>
        <v>0</v>
      </c>
      <c r="V87" s="198">
        <f t="shared" si="235"/>
        <v>0</v>
      </c>
      <c r="W87" s="193">
        <v>0</v>
      </c>
      <c r="X87" s="193">
        <f>'UW Model'!$H29-X7</f>
        <v>0</v>
      </c>
      <c r="Y87" s="190">
        <f>'UW Model'!$H29-Y7</f>
        <v>0</v>
      </c>
      <c r="Z87" s="190">
        <f>'UW Model'!$H29-Z7</f>
        <v>0</v>
      </c>
      <c r="AA87" s="190">
        <f>'UW Model'!$H29-AA7</f>
        <v>0</v>
      </c>
      <c r="AB87" s="190">
        <f>'UW Model'!$H29-AB7</f>
        <v>0</v>
      </c>
      <c r="AC87" s="190">
        <f>'UW Model'!$H29-AC7</f>
        <v>0</v>
      </c>
      <c r="AD87" s="190">
        <f>'UW Model'!$H29-AD7</f>
        <v>0</v>
      </c>
      <c r="AE87" s="190">
        <f>'UW Model'!$H29-AE7</f>
        <v>0</v>
      </c>
      <c r="AF87" s="190">
        <f>'UW Model'!$H29-AF7</f>
        <v>0</v>
      </c>
      <c r="AG87" s="190">
        <f>'UW Model'!$H29-AG7</f>
        <v>0</v>
      </c>
      <c r="AH87" s="190">
        <f>'UW Model'!$H29-AH7</f>
        <v>0</v>
      </c>
      <c r="AI87" s="192">
        <f>'UW Model'!$H29-AI7</f>
        <v>0</v>
      </c>
      <c r="AJ87" s="193">
        <f>'UW Model'!$H29-AJ7</f>
        <v>0</v>
      </c>
      <c r="AK87" s="190">
        <f>'UW Model'!$H29-AK7</f>
        <v>0</v>
      </c>
      <c r="AL87" s="190">
        <f>'UW Model'!$H29-AL7</f>
        <v>0</v>
      </c>
      <c r="AM87" s="190">
        <f>'UW Model'!$H29-AM7</f>
        <v>0</v>
      </c>
      <c r="AN87" s="190">
        <f>'UW Model'!$H29-AN7</f>
        <v>0</v>
      </c>
      <c r="AO87" s="190">
        <f>'UW Model'!$H29-AO7</f>
        <v>0</v>
      </c>
      <c r="AP87" s="190">
        <f>'UW Model'!$H29-AP7</f>
        <v>0</v>
      </c>
      <c r="AQ87" s="190">
        <f>'UW Model'!$H29-AQ7</f>
        <v>0</v>
      </c>
      <c r="AR87" s="190">
        <f>'UW Model'!$H29-AR7</f>
        <v>0</v>
      </c>
      <c r="AS87" s="190">
        <f>'UW Model'!$H29-AS7</f>
        <v>0</v>
      </c>
      <c r="AT87" s="190">
        <f>'UW Model'!$H29-AT7</f>
        <v>0</v>
      </c>
      <c r="AU87" s="192">
        <f>'UW Model'!$H29-AU7</f>
        <v>0</v>
      </c>
      <c r="AV87" s="190">
        <f>'UW Model'!$H29-AV7</f>
        <v>0</v>
      </c>
      <c r="AW87" s="190">
        <f>'UW Model'!$H29-AW7</f>
        <v>0</v>
      </c>
      <c r="AX87" s="190">
        <f>'UW Model'!$H29-AX7</f>
        <v>0</v>
      </c>
      <c r="AY87" s="190">
        <f>'UW Model'!$H29-AY7</f>
        <v>0</v>
      </c>
      <c r="AZ87" s="190">
        <f>'UW Model'!$H29-AZ7</f>
        <v>0</v>
      </c>
      <c r="BA87" s="190">
        <f>'UW Model'!$H29-BA7</f>
        <v>0</v>
      </c>
      <c r="BB87" s="190">
        <f>'UW Model'!$H29-BB7</f>
        <v>0</v>
      </c>
      <c r="BC87" s="190">
        <f>'UW Model'!$H29-BC7</f>
        <v>0</v>
      </c>
      <c r="BD87" s="190">
        <f>'UW Model'!$H29-BD7</f>
        <v>0</v>
      </c>
      <c r="BE87" s="190">
        <f>'UW Model'!$H29-BE7</f>
        <v>0</v>
      </c>
      <c r="BF87" s="190">
        <f>'UW Model'!$H29-BF7</f>
        <v>0</v>
      </c>
      <c r="BG87" s="192">
        <f>'UW Model'!$H29-BG7</f>
        <v>0</v>
      </c>
      <c r="BH87" s="190">
        <f>'UW Model'!$H29-BH7</f>
        <v>0</v>
      </c>
      <c r="BI87" s="190">
        <f>'UW Model'!$H29-BI7</f>
        <v>0</v>
      </c>
      <c r="BJ87" s="190">
        <f>'UW Model'!$H29-BJ7</f>
        <v>0</v>
      </c>
      <c r="BK87" s="190">
        <f>'UW Model'!$H29-BK7</f>
        <v>0</v>
      </c>
      <c r="BL87" s="190">
        <f>'UW Model'!$H29-BL7</f>
        <v>0</v>
      </c>
      <c r="BM87" s="190">
        <f>'UW Model'!$H29-BM7</f>
        <v>0</v>
      </c>
      <c r="BN87" s="190">
        <f>'UW Model'!$H29-BN7</f>
        <v>0</v>
      </c>
      <c r="BO87" s="190">
        <f>'UW Model'!$H29-BO7</f>
        <v>0</v>
      </c>
      <c r="BP87" s="190">
        <f>'UW Model'!$H29-BP7</f>
        <v>0</v>
      </c>
      <c r="BQ87" s="190">
        <f>'UW Model'!$H29-BQ7</f>
        <v>0</v>
      </c>
      <c r="BR87" s="190">
        <f>'UW Model'!$H29-BR7</f>
        <v>0</v>
      </c>
      <c r="BS87" s="192">
        <f>'UW Model'!$H29-BS7</f>
        <v>0</v>
      </c>
      <c r="BT87" s="190">
        <f>'UW Model'!$H29-BT7</f>
        <v>0</v>
      </c>
      <c r="BU87" s="190">
        <f>'UW Model'!$H29-BU7</f>
        <v>0</v>
      </c>
      <c r="BV87" s="190">
        <f>'UW Model'!$H29-BV7</f>
        <v>0</v>
      </c>
      <c r="BW87" s="190">
        <f>'UW Model'!$H29-BW7</f>
        <v>0</v>
      </c>
      <c r="BX87" s="190">
        <f>'UW Model'!$H29-BX7</f>
        <v>0</v>
      </c>
      <c r="BY87" s="190">
        <f>'UW Model'!$H29-BY7</f>
        <v>0</v>
      </c>
      <c r="BZ87" s="190">
        <f>'UW Model'!$H29-BZ7</f>
        <v>0</v>
      </c>
      <c r="CA87" s="190">
        <f>'UW Model'!$H29-CA7</f>
        <v>0</v>
      </c>
      <c r="CB87" s="190">
        <f>'UW Model'!$H29-CB7</f>
        <v>0</v>
      </c>
      <c r="CC87" s="190">
        <f>'UW Model'!$H29-CC7</f>
        <v>0</v>
      </c>
      <c r="CD87" s="190">
        <f>'UW Model'!$H29-CD7</f>
        <v>0</v>
      </c>
      <c r="CE87" s="195">
        <f>'UW Model'!$H29-CE7</f>
        <v>0</v>
      </c>
    </row>
    <row r="88" spans="16:83" x14ac:dyDescent="0.35">
      <c r="P88" s="936"/>
      <c r="Q88" s="194" t="str">
        <f>$Q$8</f>
        <v/>
      </c>
      <c r="R88" s="197">
        <f t="shared" si="235"/>
        <v>0</v>
      </c>
      <c r="S88" s="191">
        <f t="shared" si="235"/>
        <v>0</v>
      </c>
      <c r="T88" s="191">
        <f t="shared" si="235"/>
        <v>0</v>
      </c>
      <c r="U88" s="191">
        <f t="shared" si="235"/>
        <v>0</v>
      </c>
      <c r="V88" s="198">
        <f t="shared" si="235"/>
        <v>0</v>
      </c>
      <c r="W88" s="193">
        <v>0</v>
      </c>
      <c r="X88" s="193">
        <f>'UW Model'!$H30-X8</f>
        <v>0</v>
      </c>
      <c r="Y88" s="190">
        <f>'UW Model'!$H30-Y8</f>
        <v>0</v>
      </c>
      <c r="Z88" s="190">
        <f>'UW Model'!$H30-Z8</f>
        <v>0</v>
      </c>
      <c r="AA88" s="190">
        <f>'UW Model'!$H30-AA8</f>
        <v>0</v>
      </c>
      <c r="AB88" s="190">
        <f>'UW Model'!$H30-AB8</f>
        <v>0</v>
      </c>
      <c r="AC88" s="190">
        <f>'UW Model'!$H30-AC8</f>
        <v>0</v>
      </c>
      <c r="AD88" s="190">
        <f>'UW Model'!$H30-AD8</f>
        <v>0</v>
      </c>
      <c r="AE88" s="190">
        <f>'UW Model'!$H30-AE8</f>
        <v>0</v>
      </c>
      <c r="AF88" s="190">
        <f>'UW Model'!$H30-AF8</f>
        <v>0</v>
      </c>
      <c r="AG88" s="190">
        <f>'UW Model'!$H30-AG8</f>
        <v>0</v>
      </c>
      <c r="AH88" s="190">
        <f>'UW Model'!$H30-AH8</f>
        <v>0</v>
      </c>
      <c r="AI88" s="192">
        <f>'UW Model'!$H30-AI8</f>
        <v>0</v>
      </c>
      <c r="AJ88" s="193">
        <f>'UW Model'!$H30-AJ8</f>
        <v>0</v>
      </c>
      <c r="AK88" s="190">
        <f>'UW Model'!$H30-AK8</f>
        <v>0</v>
      </c>
      <c r="AL88" s="190">
        <f>'UW Model'!$H30-AL8</f>
        <v>0</v>
      </c>
      <c r="AM88" s="190">
        <f>'UW Model'!$H30-AM8</f>
        <v>0</v>
      </c>
      <c r="AN88" s="190">
        <f>'UW Model'!$H30-AN8</f>
        <v>0</v>
      </c>
      <c r="AO88" s="190">
        <f>'UW Model'!$H30-AO8</f>
        <v>0</v>
      </c>
      <c r="AP88" s="190">
        <f>'UW Model'!$H30-AP8</f>
        <v>0</v>
      </c>
      <c r="AQ88" s="190">
        <f>'UW Model'!$H30-AQ8</f>
        <v>0</v>
      </c>
      <c r="AR88" s="190">
        <f>'UW Model'!$H30-AR8</f>
        <v>0</v>
      </c>
      <c r="AS88" s="190">
        <f>'UW Model'!$H30-AS8</f>
        <v>0</v>
      </c>
      <c r="AT88" s="190">
        <f>'UW Model'!$H30-AT8</f>
        <v>0</v>
      </c>
      <c r="AU88" s="678">
        <f>'UW Model'!$H30-AU8</f>
        <v>0</v>
      </c>
      <c r="AV88" s="190">
        <f>'UW Model'!$H30-AV8</f>
        <v>0</v>
      </c>
      <c r="AW88" s="190">
        <f>'UW Model'!$H30-AW8</f>
        <v>0</v>
      </c>
      <c r="AX88" s="190">
        <f>'UW Model'!$H30-AX8</f>
        <v>0</v>
      </c>
      <c r="AY88" s="190">
        <f>'UW Model'!$H30-AY8</f>
        <v>0</v>
      </c>
      <c r="AZ88" s="190">
        <f>'UW Model'!$H30-AZ8</f>
        <v>0</v>
      </c>
      <c r="BA88" s="190">
        <f>'UW Model'!$H30-BA8</f>
        <v>0</v>
      </c>
      <c r="BB88" s="190">
        <f>'UW Model'!$H30-BB8</f>
        <v>0</v>
      </c>
      <c r="BC88" s="190">
        <f>'UW Model'!$H30-BC8</f>
        <v>0</v>
      </c>
      <c r="BD88" s="190">
        <f>'UW Model'!$H30-BD8</f>
        <v>0</v>
      </c>
      <c r="BE88" s="190">
        <f>'UW Model'!$H30-BE8</f>
        <v>0</v>
      </c>
      <c r="BF88" s="190">
        <f>'UW Model'!$H30-BF8</f>
        <v>0</v>
      </c>
      <c r="BG88" s="192">
        <f>'UW Model'!$H30-BG8</f>
        <v>0</v>
      </c>
      <c r="BH88" s="190">
        <f>'UW Model'!$H30-BH8</f>
        <v>0</v>
      </c>
      <c r="BI88" s="190">
        <f>'UW Model'!$H30-BI8</f>
        <v>0</v>
      </c>
      <c r="BJ88" s="190">
        <f>'UW Model'!$H30-BJ8</f>
        <v>0</v>
      </c>
      <c r="BK88" s="190">
        <f>'UW Model'!$H30-BK8</f>
        <v>0</v>
      </c>
      <c r="BL88" s="190">
        <f>'UW Model'!$H30-BL8</f>
        <v>0</v>
      </c>
      <c r="BM88" s="190">
        <f>'UW Model'!$H30-BM8</f>
        <v>0</v>
      </c>
      <c r="BN88" s="190">
        <f>'UW Model'!$H30-BN8</f>
        <v>0</v>
      </c>
      <c r="BO88" s="190">
        <f>'UW Model'!$H30-BO8</f>
        <v>0</v>
      </c>
      <c r="BP88" s="190">
        <f>'UW Model'!$H30-BP8</f>
        <v>0</v>
      </c>
      <c r="BQ88" s="190">
        <f>'UW Model'!$H30-BQ8</f>
        <v>0</v>
      </c>
      <c r="BR88" s="190">
        <f>'UW Model'!$H30-BR8</f>
        <v>0</v>
      </c>
      <c r="BS88" s="192">
        <f>'UW Model'!$H30-BS8</f>
        <v>0</v>
      </c>
      <c r="BT88" s="190">
        <f>'UW Model'!$H30-BT8</f>
        <v>0</v>
      </c>
      <c r="BU88" s="190">
        <f>'UW Model'!$H30-BU8</f>
        <v>0</v>
      </c>
      <c r="BV88" s="190">
        <f>'UW Model'!$H30-BV8</f>
        <v>0</v>
      </c>
      <c r="BW88" s="190">
        <f>'UW Model'!$H30-BW8</f>
        <v>0</v>
      </c>
      <c r="BX88" s="190">
        <f>'UW Model'!$H30-BX8</f>
        <v>0</v>
      </c>
      <c r="BY88" s="190">
        <f>'UW Model'!$H30-BY8</f>
        <v>0</v>
      </c>
      <c r="BZ88" s="190">
        <f>'UW Model'!$H30-BZ8</f>
        <v>0</v>
      </c>
      <c r="CA88" s="190">
        <f>'UW Model'!$H30-CA8</f>
        <v>0</v>
      </c>
      <c r="CB88" s="190">
        <f>'UW Model'!$H30-CB8</f>
        <v>0</v>
      </c>
      <c r="CC88" s="190">
        <f>'UW Model'!$H30-CC8</f>
        <v>0</v>
      </c>
      <c r="CD88" s="190">
        <f>'UW Model'!$H30-CD8</f>
        <v>0</v>
      </c>
      <c r="CE88" s="195">
        <f>'UW Model'!$H30-CE8</f>
        <v>0</v>
      </c>
    </row>
    <row r="89" spans="16:83" x14ac:dyDescent="0.35">
      <c r="P89" s="936"/>
      <c r="Q89" s="194" t="str">
        <f>$Q$9</f>
        <v/>
      </c>
      <c r="R89" s="197">
        <f t="shared" si="235"/>
        <v>0</v>
      </c>
      <c r="S89" s="191">
        <f t="shared" si="235"/>
        <v>0</v>
      </c>
      <c r="T89" s="191">
        <f t="shared" si="235"/>
        <v>0</v>
      </c>
      <c r="U89" s="191">
        <f t="shared" si="235"/>
        <v>0</v>
      </c>
      <c r="V89" s="198">
        <f t="shared" si="235"/>
        <v>0</v>
      </c>
      <c r="W89" s="193">
        <v>0</v>
      </c>
      <c r="X89" s="193">
        <f>'UW Model'!$H31-X9</f>
        <v>0</v>
      </c>
      <c r="Y89" s="190">
        <f>'UW Model'!$H31-Y9</f>
        <v>0</v>
      </c>
      <c r="Z89" s="190">
        <f>'UW Model'!$H31-Z9</f>
        <v>0</v>
      </c>
      <c r="AA89" s="190">
        <f>'UW Model'!$H31-AA9</f>
        <v>0</v>
      </c>
      <c r="AB89" s="190">
        <f>'UW Model'!$H31-AB9</f>
        <v>0</v>
      </c>
      <c r="AC89" s="190">
        <f>'UW Model'!$H31-AC9</f>
        <v>0</v>
      </c>
      <c r="AD89" s="190">
        <f>'UW Model'!$H31-AD9</f>
        <v>0</v>
      </c>
      <c r="AE89" s="190">
        <f>'UW Model'!$H31-AE9</f>
        <v>0</v>
      </c>
      <c r="AF89" s="190">
        <f>'UW Model'!$H31-AF9</f>
        <v>0</v>
      </c>
      <c r="AG89" s="190">
        <f>'UW Model'!$H31-AG9</f>
        <v>0</v>
      </c>
      <c r="AH89" s="190">
        <f>'UW Model'!$H31-AH9</f>
        <v>0</v>
      </c>
      <c r="AI89" s="192">
        <f>'UW Model'!$H31-AI9</f>
        <v>0</v>
      </c>
      <c r="AJ89" s="193">
        <f>'UW Model'!$H31-AJ9</f>
        <v>0</v>
      </c>
      <c r="AK89" s="190">
        <f>'UW Model'!$H31-AK9</f>
        <v>0</v>
      </c>
      <c r="AL89" s="190">
        <f>'UW Model'!$H31-AL9</f>
        <v>0</v>
      </c>
      <c r="AM89" s="190">
        <f>'UW Model'!$H31-AM9</f>
        <v>0</v>
      </c>
      <c r="AN89" s="190">
        <f>'UW Model'!$H31-AN9</f>
        <v>0</v>
      </c>
      <c r="AO89" s="190">
        <f>'UW Model'!$H31-AO9</f>
        <v>0</v>
      </c>
      <c r="AP89" s="190">
        <f>'UW Model'!$H31-AP9</f>
        <v>0</v>
      </c>
      <c r="AQ89" s="190">
        <f>'UW Model'!$H31-AQ9</f>
        <v>0</v>
      </c>
      <c r="AR89" s="190">
        <f>'UW Model'!$H31-AR9</f>
        <v>0</v>
      </c>
      <c r="AS89" s="190">
        <f>'UW Model'!$H31-AS9</f>
        <v>0</v>
      </c>
      <c r="AT89" s="190">
        <f>'UW Model'!$H31-AT9</f>
        <v>0</v>
      </c>
      <c r="AU89" s="192">
        <f>'UW Model'!$H31-AU9</f>
        <v>0</v>
      </c>
      <c r="AV89" s="190">
        <f>'UW Model'!$H31-AV9</f>
        <v>0</v>
      </c>
      <c r="AW89" s="190">
        <f>'UW Model'!$H31-AW9</f>
        <v>0</v>
      </c>
      <c r="AX89" s="190">
        <f>'UW Model'!$H31-AX9</f>
        <v>0</v>
      </c>
      <c r="AY89" s="190">
        <f>'UW Model'!$H31-AY9</f>
        <v>0</v>
      </c>
      <c r="AZ89" s="190">
        <f>'UW Model'!$H31-AZ9</f>
        <v>0</v>
      </c>
      <c r="BA89" s="190">
        <f>'UW Model'!$H31-BA9</f>
        <v>0</v>
      </c>
      <c r="BB89" s="190">
        <f>'UW Model'!$H31-BB9</f>
        <v>0</v>
      </c>
      <c r="BC89" s="190">
        <f>'UW Model'!$H31-BC9</f>
        <v>0</v>
      </c>
      <c r="BD89" s="190">
        <f>'UW Model'!$H31-BD9</f>
        <v>0</v>
      </c>
      <c r="BE89" s="190">
        <f>'UW Model'!$H31-BE9</f>
        <v>0</v>
      </c>
      <c r="BF89" s="190">
        <f>'UW Model'!$H31-BF9</f>
        <v>0</v>
      </c>
      <c r="BG89" s="192">
        <f>'UW Model'!$H31-BG9</f>
        <v>0</v>
      </c>
      <c r="BH89" s="190">
        <f>'UW Model'!$H31-BH9</f>
        <v>0</v>
      </c>
      <c r="BI89" s="190">
        <f>'UW Model'!$H31-BI9</f>
        <v>0</v>
      </c>
      <c r="BJ89" s="190">
        <f>'UW Model'!$H31-BJ9</f>
        <v>0</v>
      </c>
      <c r="BK89" s="190">
        <f>'UW Model'!$H31-BK9</f>
        <v>0</v>
      </c>
      <c r="BL89" s="190">
        <f>'UW Model'!$H31-BL9</f>
        <v>0</v>
      </c>
      <c r="BM89" s="190">
        <f>'UW Model'!$H31-BM9</f>
        <v>0</v>
      </c>
      <c r="BN89" s="190">
        <f>'UW Model'!$H31-BN9</f>
        <v>0</v>
      </c>
      <c r="BO89" s="190">
        <f>'UW Model'!$H31-BO9</f>
        <v>0</v>
      </c>
      <c r="BP89" s="190">
        <f>'UW Model'!$H31-BP9</f>
        <v>0</v>
      </c>
      <c r="BQ89" s="190">
        <f>'UW Model'!$H31-BQ9</f>
        <v>0</v>
      </c>
      <c r="BR89" s="190">
        <f>'UW Model'!$H31-BR9</f>
        <v>0</v>
      </c>
      <c r="BS89" s="192">
        <f>'UW Model'!$H31-BS9</f>
        <v>0</v>
      </c>
      <c r="BT89" s="190">
        <f>'UW Model'!$H31-BT9</f>
        <v>0</v>
      </c>
      <c r="BU89" s="190">
        <f>'UW Model'!$H31-BU9</f>
        <v>0</v>
      </c>
      <c r="BV89" s="190">
        <f>'UW Model'!$H31-BV9</f>
        <v>0</v>
      </c>
      <c r="BW89" s="190">
        <f>'UW Model'!$H31-BW9</f>
        <v>0</v>
      </c>
      <c r="BX89" s="190">
        <f>'UW Model'!$H31-BX9</f>
        <v>0</v>
      </c>
      <c r="BY89" s="190">
        <f>'UW Model'!$H31-BY9</f>
        <v>0</v>
      </c>
      <c r="BZ89" s="190">
        <f>'UW Model'!$H31-BZ9</f>
        <v>0</v>
      </c>
      <c r="CA89" s="190">
        <f>'UW Model'!$H31-CA9</f>
        <v>0</v>
      </c>
      <c r="CB89" s="190">
        <f>'UW Model'!$H31-CB9</f>
        <v>0</v>
      </c>
      <c r="CC89" s="190">
        <f>'UW Model'!$H31-CC9</f>
        <v>0</v>
      </c>
      <c r="CD89" s="190">
        <f>'UW Model'!$H31-CD9</f>
        <v>0</v>
      </c>
      <c r="CE89" s="195">
        <f>'UW Model'!$H31-CE9</f>
        <v>0</v>
      </c>
    </row>
    <row r="90" spans="16:83" x14ac:dyDescent="0.35">
      <c r="P90" s="936"/>
      <c r="Q90" s="194" t="str">
        <f>$Q$10</f>
        <v/>
      </c>
      <c r="R90" s="197">
        <f t="shared" si="235"/>
        <v>0</v>
      </c>
      <c r="S90" s="191">
        <f t="shared" si="235"/>
        <v>0</v>
      </c>
      <c r="T90" s="191">
        <f t="shared" si="235"/>
        <v>0</v>
      </c>
      <c r="U90" s="191">
        <f t="shared" si="235"/>
        <v>0</v>
      </c>
      <c r="V90" s="198">
        <f t="shared" si="235"/>
        <v>0</v>
      </c>
      <c r="W90" s="193">
        <v>0</v>
      </c>
      <c r="X90" s="193">
        <f>'UW Model'!$H32-X10</f>
        <v>0</v>
      </c>
      <c r="Y90" s="190">
        <f>'UW Model'!$H32-Y10</f>
        <v>0</v>
      </c>
      <c r="Z90" s="190">
        <f>'UW Model'!$H32-Z10</f>
        <v>0</v>
      </c>
      <c r="AA90" s="190">
        <f>'UW Model'!$H32-AA10</f>
        <v>0</v>
      </c>
      <c r="AB90" s="190">
        <f>'UW Model'!$H32-AB10</f>
        <v>0</v>
      </c>
      <c r="AC90" s="190">
        <f>'UW Model'!$H32-AC10</f>
        <v>0</v>
      </c>
      <c r="AD90" s="190">
        <f>'UW Model'!$H32-AD10</f>
        <v>0</v>
      </c>
      <c r="AE90" s="190">
        <f>'UW Model'!$H32-AE10</f>
        <v>0</v>
      </c>
      <c r="AF90" s="190">
        <f>'UW Model'!$H32-AF10</f>
        <v>0</v>
      </c>
      <c r="AG90" s="190">
        <f>'UW Model'!$H32-AG10</f>
        <v>0</v>
      </c>
      <c r="AH90" s="190">
        <f>'UW Model'!$H32-AH10</f>
        <v>0</v>
      </c>
      <c r="AI90" s="192">
        <f>'UW Model'!$H32-AI10</f>
        <v>0</v>
      </c>
      <c r="AJ90" s="193">
        <f>'UW Model'!$H32-AJ10</f>
        <v>0</v>
      </c>
      <c r="AK90" s="190">
        <f>'UW Model'!$H32-AK10</f>
        <v>0</v>
      </c>
      <c r="AL90" s="190">
        <f>'UW Model'!$H32-AL10</f>
        <v>0</v>
      </c>
      <c r="AM90" s="190">
        <f>'UW Model'!$H32-AM10</f>
        <v>0</v>
      </c>
      <c r="AN90" s="190">
        <f>'UW Model'!$H32-AN10</f>
        <v>0</v>
      </c>
      <c r="AO90" s="190">
        <f>'UW Model'!$H32-AO10</f>
        <v>0</v>
      </c>
      <c r="AP90" s="190">
        <f>'UW Model'!$H32-AP10</f>
        <v>0</v>
      </c>
      <c r="AQ90" s="190">
        <f>'UW Model'!$H32-AQ10</f>
        <v>0</v>
      </c>
      <c r="AR90" s="190">
        <f>'UW Model'!$H32-AR10</f>
        <v>0</v>
      </c>
      <c r="AS90" s="190">
        <f>'UW Model'!$H32-AS10</f>
        <v>0</v>
      </c>
      <c r="AT90" s="190">
        <f>'UW Model'!$H32-AT10</f>
        <v>0</v>
      </c>
      <c r="AU90" s="192">
        <f>'UW Model'!$H32-AU10</f>
        <v>0</v>
      </c>
      <c r="AV90" s="190">
        <f>'UW Model'!$H32-AV10</f>
        <v>0</v>
      </c>
      <c r="AW90" s="190">
        <f>'UW Model'!$H32-AW10</f>
        <v>0</v>
      </c>
      <c r="AX90" s="190">
        <f>'UW Model'!$H32-AX10</f>
        <v>0</v>
      </c>
      <c r="AY90" s="190">
        <f>'UW Model'!$H32-AY10</f>
        <v>0</v>
      </c>
      <c r="AZ90" s="190">
        <f>'UW Model'!$H32-AZ10</f>
        <v>0</v>
      </c>
      <c r="BA90" s="190">
        <f>'UW Model'!$H32-BA10</f>
        <v>0</v>
      </c>
      <c r="BB90" s="190">
        <f>'UW Model'!$H32-BB10</f>
        <v>0</v>
      </c>
      <c r="BC90" s="190">
        <f>'UW Model'!$H32-BC10</f>
        <v>0</v>
      </c>
      <c r="BD90" s="190">
        <f>'UW Model'!$H32-BD10</f>
        <v>0</v>
      </c>
      <c r="BE90" s="190">
        <f>'UW Model'!$H32-BE10</f>
        <v>0</v>
      </c>
      <c r="BF90" s="190">
        <f>'UW Model'!$H32-BF10</f>
        <v>0</v>
      </c>
      <c r="BG90" s="192">
        <f>'UW Model'!$H32-BG10</f>
        <v>0</v>
      </c>
      <c r="BH90" s="190">
        <f>'UW Model'!$H32-BH10</f>
        <v>0</v>
      </c>
      <c r="BI90" s="190">
        <f>'UW Model'!$H32-BI10</f>
        <v>0</v>
      </c>
      <c r="BJ90" s="190">
        <f>'UW Model'!$H32-BJ10</f>
        <v>0</v>
      </c>
      <c r="BK90" s="190">
        <f>'UW Model'!$H32-BK10</f>
        <v>0</v>
      </c>
      <c r="BL90" s="190">
        <f>'UW Model'!$H32-BL10</f>
        <v>0</v>
      </c>
      <c r="BM90" s="190">
        <f>'UW Model'!$H32-BM10</f>
        <v>0</v>
      </c>
      <c r="BN90" s="190">
        <f>'UW Model'!$H32-BN10</f>
        <v>0</v>
      </c>
      <c r="BO90" s="190">
        <f>'UW Model'!$H32-BO10</f>
        <v>0</v>
      </c>
      <c r="BP90" s="190">
        <f>'UW Model'!$H32-BP10</f>
        <v>0</v>
      </c>
      <c r="BQ90" s="190">
        <f>'UW Model'!$H32-BQ10</f>
        <v>0</v>
      </c>
      <c r="BR90" s="190">
        <f>'UW Model'!$H32-BR10</f>
        <v>0</v>
      </c>
      <c r="BS90" s="192">
        <f>'UW Model'!$H32-BS10</f>
        <v>0</v>
      </c>
      <c r="BT90" s="190">
        <f>'UW Model'!$H32-BT10</f>
        <v>0</v>
      </c>
      <c r="BU90" s="190">
        <f>'UW Model'!$H32-BU10</f>
        <v>0</v>
      </c>
      <c r="BV90" s="190">
        <f>'UW Model'!$H32-BV10</f>
        <v>0</v>
      </c>
      <c r="BW90" s="190">
        <f>'UW Model'!$H32-BW10</f>
        <v>0</v>
      </c>
      <c r="BX90" s="190">
        <f>'UW Model'!$H32-BX10</f>
        <v>0</v>
      </c>
      <c r="BY90" s="190">
        <f>'UW Model'!$H32-BY10</f>
        <v>0</v>
      </c>
      <c r="BZ90" s="190">
        <f>'UW Model'!$H32-BZ10</f>
        <v>0</v>
      </c>
      <c r="CA90" s="190">
        <f>'UW Model'!$H32-CA10</f>
        <v>0</v>
      </c>
      <c r="CB90" s="190">
        <f>'UW Model'!$H32-CB10</f>
        <v>0</v>
      </c>
      <c r="CC90" s="190">
        <f>'UW Model'!$H32-CC10</f>
        <v>0</v>
      </c>
      <c r="CD90" s="190">
        <f>'UW Model'!$H32-CD10</f>
        <v>0</v>
      </c>
      <c r="CE90" s="195">
        <f>'UW Model'!$H32-CE10</f>
        <v>0</v>
      </c>
    </row>
    <row r="91" spans="16:83" x14ac:dyDescent="0.35">
      <c r="P91" s="936"/>
      <c r="Q91" s="194" t="str">
        <f>$Q$11</f>
        <v/>
      </c>
      <c r="R91" s="197">
        <f t="shared" si="235"/>
        <v>0</v>
      </c>
      <c r="S91" s="191">
        <f t="shared" si="235"/>
        <v>0</v>
      </c>
      <c r="T91" s="191">
        <f t="shared" si="235"/>
        <v>0</v>
      </c>
      <c r="U91" s="191">
        <f t="shared" si="235"/>
        <v>0</v>
      </c>
      <c r="V91" s="198">
        <f t="shared" si="235"/>
        <v>0</v>
      </c>
      <c r="W91" s="193">
        <v>0</v>
      </c>
      <c r="X91" s="193">
        <f>'UW Model'!$H33-X11</f>
        <v>0</v>
      </c>
      <c r="Y91" s="190">
        <f>'UW Model'!$H33-Y11</f>
        <v>0</v>
      </c>
      <c r="Z91" s="190">
        <f>'UW Model'!$H33-Z11</f>
        <v>0</v>
      </c>
      <c r="AA91" s="190">
        <f>'UW Model'!$H33-AA11</f>
        <v>0</v>
      </c>
      <c r="AB91" s="190">
        <f>'UW Model'!$H33-AB11</f>
        <v>0</v>
      </c>
      <c r="AC91" s="190">
        <f>'UW Model'!$H33-AC11</f>
        <v>0</v>
      </c>
      <c r="AD91" s="190">
        <f>'UW Model'!$H33-AD11</f>
        <v>0</v>
      </c>
      <c r="AE91" s="190">
        <f>'UW Model'!$H33-AE11</f>
        <v>0</v>
      </c>
      <c r="AF91" s="190">
        <f>'UW Model'!$H33-AF11</f>
        <v>0</v>
      </c>
      <c r="AG91" s="190">
        <f>'UW Model'!$H33-AG11</f>
        <v>0</v>
      </c>
      <c r="AH91" s="190">
        <f>'UW Model'!$H33-AH11</f>
        <v>0</v>
      </c>
      <c r="AI91" s="192">
        <f>'UW Model'!$H33-AI11</f>
        <v>0</v>
      </c>
      <c r="AJ91" s="193">
        <f>'UW Model'!$H33-AJ11</f>
        <v>0</v>
      </c>
      <c r="AK91" s="190">
        <f>'UW Model'!$H33-AK11</f>
        <v>0</v>
      </c>
      <c r="AL91" s="190">
        <f>'UW Model'!$H33-AL11</f>
        <v>0</v>
      </c>
      <c r="AM91" s="190">
        <f>'UW Model'!$H33-AM11</f>
        <v>0</v>
      </c>
      <c r="AN91" s="190">
        <f>'UW Model'!$H33-AN11</f>
        <v>0</v>
      </c>
      <c r="AO91" s="190">
        <f>'UW Model'!$H33-AO11</f>
        <v>0</v>
      </c>
      <c r="AP91" s="190">
        <f>'UW Model'!$H33-AP11</f>
        <v>0</v>
      </c>
      <c r="AQ91" s="190">
        <f>'UW Model'!$H33-AQ11</f>
        <v>0</v>
      </c>
      <c r="AR91" s="190">
        <f>'UW Model'!$H33-AR11</f>
        <v>0</v>
      </c>
      <c r="AS91" s="190">
        <f>'UW Model'!$H33-AS11</f>
        <v>0</v>
      </c>
      <c r="AT91" s="190">
        <f>'UW Model'!$H33-AT11</f>
        <v>0</v>
      </c>
      <c r="AU91" s="192">
        <f>'UW Model'!$H33-AU11</f>
        <v>0</v>
      </c>
      <c r="AV91" s="190">
        <f>'UW Model'!$H33-AV11</f>
        <v>0</v>
      </c>
      <c r="AW91" s="190">
        <f>'UW Model'!$H33-AW11</f>
        <v>0</v>
      </c>
      <c r="AX91" s="190">
        <f>'UW Model'!$H33-AX11</f>
        <v>0</v>
      </c>
      <c r="AY91" s="190">
        <f>'UW Model'!$H33-AY11</f>
        <v>0</v>
      </c>
      <c r="AZ91" s="190">
        <f>'UW Model'!$H33-AZ11</f>
        <v>0</v>
      </c>
      <c r="BA91" s="190">
        <f>'UW Model'!$H33-BA11</f>
        <v>0</v>
      </c>
      <c r="BB91" s="190">
        <f>'UW Model'!$H33-BB11</f>
        <v>0</v>
      </c>
      <c r="BC91" s="190">
        <f>'UW Model'!$H33-BC11</f>
        <v>0</v>
      </c>
      <c r="BD91" s="190">
        <f>'UW Model'!$H33-BD11</f>
        <v>0</v>
      </c>
      <c r="BE91" s="190">
        <f>'UW Model'!$H33-BE11</f>
        <v>0</v>
      </c>
      <c r="BF91" s="190">
        <f>'UW Model'!$H33-BF11</f>
        <v>0</v>
      </c>
      <c r="BG91" s="192">
        <f>'UW Model'!$H33-BG11</f>
        <v>0</v>
      </c>
      <c r="BH91" s="190">
        <f>'UW Model'!$H33-BH11</f>
        <v>0</v>
      </c>
      <c r="BI91" s="190">
        <f>'UW Model'!$H33-BI11</f>
        <v>0</v>
      </c>
      <c r="BJ91" s="190">
        <f>'UW Model'!$H33-BJ11</f>
        <v>0</v>
      </c>
      <c r="BK91" s="190">
        <f>'UW Model'!$H33-BK11</f>
        <v>0</v>
      </c>
      <c r="BL91" s="190">
        <f>'UW Model'!$H33-BL11</f>
        <v>0</v>
      </c>
      <c r="BM91" s="190">
        <f>'UW Model'!$H33-BM11</f>
        <v>0</v>
      </c>
      <c r="BN91" s="190">
        <f>'UW Model'!$H33-BN11</f>
        <v>0</v>
      </c>
      <c r="BO91" s="190">
        <f>'UW Model'!$H33-BO11</f>
        <v>0</v>
      </c>
      <c r="BP91" s="190">
        <f>'UW Model'!$H33-BP11</f>
        <v>0</v>
      </c>
      <c r="BQ91" s="190">
        <f>'UW Model'!$H33-BQ11</f>
        <v>0</v>
      </c>
      <c r="BR91" s="190">
        <f>'UW Model'!$H33-BR11</f>
        <v>0</v>
      </c>
      <c r="BS91" s="192">
        <f>'UW Model'!$H33-BS11</f>
        <v>0</v>
      </c>
      <c r="BT91" s="190">
        <f>'UW Model'!$H33-BT11</f>
        <v>0</v>
      </c>
      <c r="BU91" s="190">
        <f>'UW Model'!$H33-BU11</f>
        <v>0</v>
      </c>
      <c r="BV91" s="190">
        <f>'UW Model'!$H33-BV11</f>
        <v>0</v>
      </c>
      <c r="BW91" s="190">
        <f>'UW Model'!$H33-BW11</f>
        <v>0</v>
      </c>
      <c r="BX91" s="190">
        <f>'UW Model'!$H33-BX11</f>
        <v>0</v>
      </c>
      <c r="BY91" s="190">
        <f>'UW Model'!$H33-BY11</f>
        <v>0</v>
      </c>
      <c r="BZ91" s="190">
        <f>'UW Model'!$H33-BZ11</f>
        <v>0</v>
      </c>
      <c r="CA91" s="190">
        <f>'UW Model'!$H33-CA11</f>
        <v>0</v>
      </c>
      <c r="CB91" s="190">
        <f>'UW Model'!$H33-CB11</f>
        <v>0</v>
      </c>
      <c r="CC91" s="190">
        <f>'UW Model'!$H33-CC11</f>
        <v>0</v>
      </c>
      <c r="CD91" s="190">
        <f>'UW Model'!$H33-CD11</f>
        <v>0</v>
      </c>
      <c r="CE91" s="195">
        <f>'UW Model'!$H33-CE11</f>
        <v>0</v>
      </c>
    </row>
    <row r="92" spans="16:83" x14ac:dyDescent="0.35">
      <c r="P92" s="936"/>
      <c r="Q92" s="196" t="str">
        <f>$Q$12</f>
        <v/>
      </c>
      <c r="R92" s="197">
        <f t="shared" si="235"/>
        <v>0</v>
      </c>
      <c r="S92" s="191">
        <f t="shared" si="235"/>
        <v>0</v>
      </c>
      <c r="T92" s="191">
        <f t="shared" si="235"/>
        <v>0</v>
      </c>
      <c r="U92" s="191">
        <f t="shared" si="235"/>
        <v>0</v>
      </c>
      <c r="V92" s="198">
        <f t="shared" si="235"/>
        <v>0</v>
      </c>
      <c r="W92" s="193">
        <v>0</v>
      </c>
      <c r="X92" s="193">
        <f>'UW Model'!$H34-X12</f>
        <v>0</v>
      </c>
      <c r="Y92" s="190">
        <f>'UW Model'!$H34-Y12</f>
        <v>0</v>
      </c>
      <c r="Z92" s="190">
        <f>'UW Model'!$H34-Z12</f>
        <v>0</v>
      </c>
      <c r="AA92" s="190">
        <f>'UW Model'!$H34-AA12</f>
        <v>0</v>
      </c>
      <c r="AB92" s="190">
        <f>'UW Model'!$H34-AB12</f>
        <v>0</v>
      </c>
      <c r="AC92" s="190">
        <f>'UW Model'!$H34-AC12</f>
        <v>0</v>
      </c>
      <c r="AD92" s="190">
        <f>'UW Model'!$H34-AD12</f>
        <v>0</v>
      </c>
      <c r="AE92" s="190">
        <f>'UW Model'!$H34-AE12</f>
        <v>0</v>
      </c>
      <c r="AF92" s="190">
        <f>'UW Model'!$H34-AF12</f>
        <v>0</v>
      </c>
      <c r="AG92" s="190">
        <f>'UW Model'!$H34-AG12</f>
        <v>0</v>
      </c>
      <c r="AH92" s="190">
        <f>'UW Model'!$H34-AH12</f>
        <v>0</v>
      </c>
      <c r="AI92" s="192">
        <f>'UW Model'!$H34-AI12</f>
        <v>0</v>
      </c>
      <c r="AJ92" s="193">
        <f>'UW Model'!$H34-AJ12</f>
        <v>0</v>
      </c>
      <c r="AK92" s="190">
        <f>'UW Model'!$H34-AK12</f>
        <v>0</v>
      </c>
      <c r="AL92" s="190">
        <f>'UW Model'!$H34-AL12</f>
        <v>0</v>
      </c>
      <c r="AM92" s="190">
        <f>'UW Model'!$H34-AM12</f>
        <v>0</v>
      </c>
      <c r="AN92" s="190">
        <f>'UW Model'!$H34-AN12</f>
        <v>0</v>
      </c>
      <c r="AO92" s="190">
        <f>'UW Model'!$H34-AO12</f>
        <v>0</v>
      </c>
      <c r="AP92" s="190">
        <f>'UW Model'!$H34-AP12</f>
        <v>0</v>
      </c>
      <c r="AQ92" s="190">
        <f>'UW Model'!$H34-AQ12</f>
        <v>0</v>
      </c>
      <c r="AR92" s="190">
        <f>'UW Model'!$H34-AR12</f>
        <v>0</v>
      </c>
      <c r="AS92" s="190">
        <f>'UW Model'!$H34-AS12</f>
        <v>0</v>
      </c>
      <c r="AT92" s="190">
        <f>'UW Model'!$H34-AT12</f>
        <v>0</v>
      </c>
      <c r="AU92" s="192">
        <f>'UW Model'!$H34-AU12</f>
        <v>0</v>
      </c>
      <c r="AV92" s="190">
        <f>'UW Model'!$H34-AV12</f>
        <v>0</v>
      </c>
      <c r="AW92" s="190">
        <f>'UW Model'!$H34-AW12</f>
        <v>0</v>
      </c>
      <c r="AX92" s="190">
        <f>'UW Model'!$H34-AX12</f>
        <v>0</v>
      </c>
      <c r="AY92" s="190">
        <f>'UW Model'!$H34-AY12</f>
        <v>0</v>
      </c>
      <c r="AZ92" s="190">
        <f>'UW Model'!$H34-AZ12</f>
        <v>0</v>
      </c>
      <c r="BA92" s="190">
        <f>'UW Model'!$H34-BA12</f>
        <v>0</v>
      </c>
      <c r="BB92" s="190">
        <f>'UW Model'!$H34-BB12</f>
        <v>0</v>
      </c>
      <c r="BC92" s="190">
        <f>'UW Model'!$H34-BC12</f>
        <v>0</v>
      </c>
      <c r="BD92" s="190">
        <f>'UW Model'!$H34-BD12</f>
        <v>0</v>
      </c>
      <c r="BE92" s="190">
        <f>'UW Model'!$H34-BE12</f>
        <v>0</v>
      </c>
      <c r="BF92" s="190">
        <f>'UW Model'!$H34-BF12</f>
        <v>0</v>
      </c>
      <c r="BG92" s="192">
        <f>'UW Model'!$H34-BG12</f>
        <v>0</v>
      </c>
      <c r="BH92" s="190">
        <f>'UW Model'!$H34-BH12</f>
        <v>0</v>
      </c>
      <c r="BI92" s="190">
        <f>'UW Model'!$H34-BI12</f>
        <v>0</v>
      </c>
      <c r="BJ92" s="190">
        <f>'UW Model'!$H34-BJ12</f>
        <v>0</v>
      </c>
      <c r="BK92" s="190">
        <f>'UW Model'!$H34-BK12</f>
        <v>0</v>
      </c>
      <c r="BL92" s="190">
        <f>'UW Model'!$H34-BL12</f>
        <v>0</v>
      </c>
      <c r="BM92" s="190">
        <f>'UW Model'!$H34-BM12</f>
        <v>0</v>
      </c>
      <c r="BN92" s="190">
        <f>'UW Model'!$H34-BN12</f>
        <v>0</v>
      </c>
      <c r="BO92" s="190">
        <f>'UW Model'!$H34-BO12</f>
        <v>0</v>
      </c>
      <c r="BP92" s="190">
        <f>'UW Model'!$H34-BP12</f>
        <v>0</v>
      </c>
      <c r="BQ92" s="190">
        <f>'UW Model'!$H34-BQ12</f>
        <v>0</v>
      </c>
      <c r="BR92" s="190">
        <f>'UW Model'!$H34-BR12</f>
        <v>0</v>
      </c>
      <c r="BS92" s="192">
        <f>'UW Model'!$H34-BS12</f>
        <v>0</v>
      </c>
      <c r="BT92" s="190">
        <f>'UW Model'!$H34-BT12</f>
        <v>0</v>
      </c>
      <c r="BU92" s="190">
        <f>'UW Model'!$H34-BU12</f>
        <v>0</v>
      </c>
      <c r="BV92" s="190">
        <f>'UW Model'!$H34-BV12</f>
        <v>0</v>
      </c>
      <c r="BW92" s="190">
        <f>'UW Model'!$H34-BW12</f>
        <v>0</v>
      </c>
      <c r="BX92" s="190">
        <f>'UW Model'!$H34-BX12</f>
        <v>0</v>
      </c>
      <c r="BY92" s="190">
        <f>'UW Model'!$H34-BY12</f>
        <v>0</v>
      </c>
      <c r="BZ92" s="190">
        <f>'UW Model'!$H34-BZ12</f>
        <v>0</v>
      </c>
      <c r="CA92" s="190">
        <f>'UW Model'!$H34-CA12</f>
        <v>0</v>
      </c>
      <c r="CB92" s="190">
        <f>'UW Model'!$H34-CB12</f>
        <v>0</v>
      </c>
      <c r="CC92" s="190">
        <f>'UW Model'!$H34-CC12</f>
        <v>0</v>
      </c>
      <c r="CD92" s="190">
        <f>'UW Model'!$H34-CD12</f>
        <v>0</v>
      </c>
      <c r="CE92" s="195">
        <f>'UW Model'!$H34-CE12</f>
        <v>0</v>
      </c>
    </row>
    <row r="93" spans="16:83" x14ac:dyDescent="0.35">
      <c r="P93" s="936"/>
      <c r="Q93" s="196" t="str">
        <f>$Q$13</f>
        <v/>
      </c>
      <c r="R93" s="197">
        <f t="shared" si="235"/>
        <v>0</v>
      </c>
      <c r="S93" s="191">
        <f t="shared" si="235"/>
        <v>0</v>
      </c>
      <c r="T93" s="191">
        <f t="shared" si="235"/>
        <v>0</v>
      </c>
      <c r="U93" s="191">
        <f t="shared" si="235"/>
        <v>0</v>
      </c>
      <c r="V93" s="198">
        <f t="shared" si="235"/>
        <v>0</v>
      </c>
      <c r="W93" s="193">
        <v>0</v>
      </c>
      <c r="X93" s="193">
        <f>'UW Model'!$H35-X13</f>
        <v>0</v>
      </c>
      <c r="Y93" s="190">
        <f>'UW Model'!$H35-Y13</f>
        <v>0</v>
      </c>
      <c r="Z93" s="190">
        <f>'UW Model'!$H35-Z13</f>
        <v>0</v>
      </c>
      <c r="AA93" s="190">
        <f>'UW Model'!$H35-AA13</f>
        <v>0</v>
      </c>
      <c r="AB93" s="190">
        <f>'UW Model'!$H35-AB13</f>
        <v>0</v>
      </c>
      <c r="AC93" s="190">
        <f>'UW Model'!$H35-AC13</f>
        <v>0</v>
      </c>
      <c r="AD93" s="190">
        <f>'UW Model'!$H35-AD13</f>
        <v>0</v>
      </c>
      <c r="AE93" s="190">
        <f>'UW Model'!$H35-AE13</f>
        <v>0</v>
      </c>
      <c r="AF93" s="190">
        <f>'UW Model'!$H35-AF13</f>
        <v>0</v>
      </c>
      <c r="AG93" s="190">
        <f>'UW Model'!$H35-AG13</f>
        <v>0</v>
      </c>
      <c r="AH93" s="190">
        <f>'UW Model'!$H35-AH13</f>
        <v>0</v>
      </c>
      <c r="AI93" s="192">
        <f>'UW Model'!$H35-AI13</f>
        <v>0</v>
      </c>
      <c r="AJ93" s="193">
        <f>'UW Model'!$H35-AJ13</f>
        <v>0</v>
      </c>
      <c r="AK93" s="190">
        <f>'UW Model'!$H35-AK13</f>
        <v>0</v>
      </c>
      <c r="AL93" s="190">
        <f>'UW Model'!$H35-AL13</f>
        <v>0</v>
      </c>
      <c r="AM93" s="190">
        <f>'UW Model'!$H35-AM13</f>
        <v>0</v>
      </c>
      <c r="AN93" s="190">
        <f>'UW Model'!$H35-AN13</f>
        <v>0</v>
      </c>
      <c r="AO93" s="190">
        <f>'UW Model'!$H35-AO13</f>
        <v>0</v>
      </c>
      <c r="AP93" s="190">
        <f>'UW Model'!$H35-AP13</f>
        <v>0</v>
      </c>
      <c r="AQ93" s="190">
        <f>'UW Model'!$H35-AQ13</f>
        <v>0</v>
      </c>
      <c r="AR93" s="190">
        <f>'UW Model'!$H35-AR13</f>
        <v>0</v>
      </c>
      <c r="AS93" s="190">
        <f>'UW Model'!$H35-AS13</f>
        <v>0</v>
      </c>
      <c r="AT93" s="190">
        <f>'UW Model'!$H35-AT13</f>
        <v>0</v>
      </c>
      <c r="AU93" s="192">
        <f>'UW Model'!$H35-AU13</f>
        <v>0</v>
      </c>
      <c r="AV93" s="190">
        <f>'UW Model'!$H35-AV13</f>
        <v>0</v>
      </c>
      <c r="AW93" s="190">
        <f>'UW Model'!$H35-AW13</f>
        <v>0</v>
      </c>
      <c r="AX93" s="190">
        <f>'UW Model'!$H35-AX13</f>
        <v>0</v>
      </c>
      <c r="AY93" s="190">
        <f>'UW Model'!$H35-AY13</f>
        <v>0</v>
      </c>
      <c r="AZ93" s="190">
        <f>'UW Model'!$H35-AZ13</f>
        <v>0</v>
      </c>
      <c r="BA93" s="190">
        <f>'UW Model'!$H35-BA13</f>
        <v>0</v>
      </c>
      <c r="BB93" s="190">
        <f>'UW Model'!$H35-BB13</f>
        <v>0</v>
      </c>
      <c r="BC93" s="190">
        <f>'UW Model'!$H35-BC13</f>
        <v>0</v>
      </c>
      <c r="BD93" s="190">
        <f>'UW Model'!$H35-BD13</f>
        <v>0</v>
      </c>
      <c r="BE93" s="190">
        <f>'UW Model'!$H35-BE13</f>
        <v>0</v>
      </c>
      <c r="BF93" s="190">
        <f>'UW Model'!$H35-BF13</f>
        <v>0</v>
      </c>
      <c r="BG93" s="192">
        <f>'UW Model'!$H35-BG13</f>
        <v>0</v>
      </c>
      <c r="BH93" s="190">
        <f>'UW Model'!$H35-BH13</f>
        <v>0</v>
      </c>
      <c r="BI93" s="190">
        <f>'UW Model'!$H35-BI13</f>
        <v>0</v>
      </c>
      <c r="BJ93" s="190">
        <f>'UW Model'!$H35-BJ13</f>
        <v>0</v>
      </c>
      <c r="BK93" s="190">
        <f>'UW Model'!$H35-BK13</f>
        <v>0</v>
      </c>
      <c r="BL93" s="190">
        <f>'UW Model'!$H35-BL13</f>
        <v>0</v>
      </c>
      <c r="BM93" s="190">
        <f>'UW Model'!$H35-BM13</f>
        <v>0</v>
      </c>
      <c r="BN93" s="190">
        <f>'UW Model'!$H35-BN13</f>
        <v>0</v>
      </c>
      <c r="BO93" s="190">
        <f>'UW Model'!$H35-BO13</f>
        <v>0</v>
      </c>
      <c r="BP93" s="190">
        <f>'UW Model'!$H35-BP13</f>
        <v>0</v>
      </c>
      <c r="BQ93" s="190">
        <f>'UW Model'!$H35-BQ13</f>
        <v>0</v>
      </c>
      <c r="BR93" s="190">
        <f>'UW Model'!$H35-BR13</f>
        <v>0</v>
      </c>
      <c r="BS93" s="192">
        <f>'UW Model'!$H35-BS13</f>
        <v>0</v>
      </c>
      <c r="BT93" s="190">
        <f>'UW Model'!$H35-BT13</f>
        <v>0</v>
      </c>
      <c r="BU93" s="190">
        <f>'UW Model'!$H35-BU13</f>
        <v>0</v>
      </c>
      <c r="BV93" s="190">
        <f>'UW Model'!$H35-BV13</f>
        <v>0</v>
      </c>
      <c r="BW93" s="190">
        <f>'UW Model'!$H35-BW13</f>
        <v>0</v>
      </c>
      <c r="BX93" s="190">
        <f>'UW Model'!$H35-BX13</f>
        <v>0</v>
      </c>
      <c r="BY93" s="190">
        <f>'UW Model'!$H35-BY13</f>
        <v>0</v>
      </c>
      <c r="BZ93" s="190">
        <f>'UW Model'!$H35-BZ13</f>
        <v>0</v>
      </c>
      <c r="CA93" s="190">
        <f>'UW Model'!$H35-CA13</f>
        <v>0</v>
      </c>
      <c r="CB93" s="190">
        <f>'UW Model'!$H35-CB13</f>
        <v>0</v>
      </c>
      <c r="CC93" s="190">
        <f>'UW Model'!$H35-CC13</f>
        <v>0</v>
      </c>
      <c r="CD93" s="190">
        <f>'UW Model'!$H35-CD13</f>
        <v>0</v>
      </c>
      <c r="CE93" s="195">
        <f>'UW Model'!$H35-CE13</f>
        <v>0</v>
      </c>
    </row>
    <row r="94" spans="16:83" x14ac:dyDescent="0.35">
      <c r="P94" s="936"/>
      <c r="Q94" s="196" t="str">
        <f>$Q$14</f>
        <v/>
      </c>
      <c r="R94" s="197">
        <f t="shared" si="235"/>
        <v>0</v>
      </c>
      <c r="S94" s="191">
        <f t="shared" si="235"/>
        <v>0</v>
      </c>
      <c r="T94" s="191">
        <f t="shared" si="235"/>
        <v>0</v>
      </c>
      <c r="U94" s="191">
        <f t="shared" si="235"/>
        <v>0</v>
      </c>
      <c r="V94" s="198">
        <f t="shared" si="235"/>
        <v>0</v>
      </c>
      <c r="W94" s="193">
        <v>0</v>
      </c>
      <c r="X94" s="193">
        <f>'UW Model'!$H36-X14</f>
        <v>0</v>
      </c>
      <c r="Y94" s="190">
        <f>'UW Model'!$H36-Y14</f>
        <v>0</v>
      </c>
      <c r="Z94" s="190">
        <f>'UW Model'!$H36-Z14</f>
        <v>0</v>
      </c>
      <c r="AA94" s="190">
        <f>'UW Model'!$H36-AA14</f>
        <v>0</v>
      </c>
      <c r="AB94" s="190">
        <f>'UW Model'!$H36-AB14</f>
        <v>0</v>
      </c>
      <c r="AC94" s="190">
        <f>'UW Model'!$H36-AC14</f>
        <v>0</v>
      </c>
      <c r="AD94" s="190">
        <f>'UW Model'!$H36-AD14</f>
        <v>0</v>
      </c>
      <c r="AE94" s="190">
        <f>'UW Model'!$H36-AE14</f>
        <v>0</v>
      </c>
      <c r="AF94" s="190">
        <f>'UW Model'!$H36-AF14</f>
        <v>0</v>
      </c>
      <c r="AG94" s="190">
        <f>'UW Model'!$H36-AG14</f>
        <v>0</v>
      </c>
      <c r="AH94" s="190">
        <f>'UW Model'!$H36-AH14</f>
        <v>0</v>
      </c>
      <c r="AI94" s="192">
        <f>'UW Model'!$H36-AI14</f>
        <v>0</v>
      </c>
      <c r="AJ94" s="193">
        <f>'UW Model'!$H36-AJ14</f>
        <v>0</v>
      </c>
      <c r="AK94" s="190">
        <f>'UW Model'!$H36-AK14</f>
        <v>0</v>
      </c>
      <c r="AL94" s="190">
        <f>'UW Model'!$H36-AL14</f>
        <v>0</v>
      </c>
      <c r="AM94" s="190">
        <f>'UW Model'!$H36-AM14</f>
        <v>0</v>
      </c>
      <c r="AN94" s="190">
        <f>'UW Model'!$H36-AN14</f>
        <v>0</v>
      </c>
      <c r="AO94" s="190">
        <f>'UW Model'!$H36-AO14</f>
        <v>0</v>
      </c>
      <c r="AP94" s="190">
        <f>'UW Model'!$H36-AP14</f>
        <v>0</v>
      </c>
      <c r="AQ94" s="190">
        <f>'UW Model'!$H36-AQ14</f>
        <v>0</v>
      </c>
      <c r="AR94" s="190">
        <f>'UW Model'!$H36-AR14</f>
        <v>0</v>
      </c>
      <c r="AS94" s="190">
        <f>'UW Model'!$H36-AS14</f>
        <v>0</v>
      </c>
      <c r="AT94" s="190">
        <f>'UW Model'!$H36-AT14</f>
        <v>0</v>
      </c>
      <c r="AU94" s="192">
        <f>'UW Model'!$H36-AU14</f>
        <v>0</v>
      </c>
      <c r="AV94" s="190">
        <f>'UW Model'!$H36-AV14</f>
        <v>0</v>
      </c>
      <c r="AW94" s="190">
        <f>'UW Model'!$H36-AW14</f>
        <v>0</v>
      </c>
      <c r="AX94" s="190">
        <f>'UW Model'!$H36-AX14</f>
        <v>0</v>
      </c>
      <c r="AY94" s="190">
        <f>'UW Model'!$H36-AY14</f>
        <v>0</v>
      </c>
      <c r="AZ94" s="190">
        <f>'UW Model'!$H36-AZ14</f>
        <v>0</v>
      </c>
      <c r="BA94" s="190">
        <f>'UW Model'!$H36-BA14</f>
        <v>0</v>
      </c>
      <c r="BB94" s="190">
        <f>'UW Model'!$H36-BB14</f>
        <v>0</v>
      </c>
      <c r="BC94" s="190">
        <f>'UW Model'!$H36-BC14</f>
        <v>0</v>
      </c>
      <c r="BD94" s="190">
        <f>'UW Model'!$H36-BD14</f>
        <v>0</v>
      </c>
      <c r="BE94" s="190">
        <f>'UW Model'!$H36-BE14</f>
        <v>0</v>
      </c>
      <c r="BF94" s="190">
        <f>'UW Model'!$H36-BF14</f>
        <v>0</v>
      </c>
      <c r="BG94" s="192">
        <f>'UW Model'!$H36-BG14</f>
        <v>0</v>
      </c>
      <c r="BH94" s="190">
        <f>'UW Model'!$H36-BH14</f>
        <v>0</v>
      </c>
      <c r="BI94" s="190">
        <f>'UW Model'!$H36-BI14</f>
        <v>0</v>
      </c>
      <c r="BJ94" s="190">
        <f>'UW Model'!$H36-BJ14</f>
        <v>0</v>
      </c>
      <c r="BK94" s="190">
        <f>'UW Model'!$H36-BK14</f>
        <v>0</v>
      </c>
      <c r="BL94" s="190">
        <f>'UW Model'!$H36-BL14</f>
        <v>0</v>
      </c>
      <c r="BM94" s="190">
        <f>'UW Model'!$H36-BM14</f>
        <v>0</v>
      </c>
      <c r="BN94" s="190">
        <f>'UW Model'!$H36-BN14</f>
        <v>0</v>
      </c>
      <c r="BO94" s="190">
        <f>'UW Model'!$H36-BO14</f>
        <v>0</v>
      </c>
      <c r="BP94" s="190">
        <f>'UW Model'!$H36-BP14</f>
        <v>0</v>
      </c>
      <c r="BQ94" s="190">
        <f>'UW Model'!$H36-BQ14</f>
        <v>0</v>
      </c>
      <c r="BR94" s="190">
        <f>'UW Model'!$H36-BR14</f>
        <v>0</v>
      </c>
      <c r="BS94" s="192">
        <f>'UW Model'!$H36-BS14</f>
        <v>0</v>
      </c>
      <c r="BT94" s="190">
        <f>'UW Model'!$H36-BT14</f>
        <v>0</v>
      </c>
      <c r="BU94" s="190">
        <f>'UW Model'!$H36-BU14</f>
        <v>0</v>
      </c>
      <c r="BV94" s="190">
        <f>'UW Model'!$H36-BV14</f>
        <v>0</v>
      </c>
      <c r="BW94" s="190">
        <f>'UW Model'!$H36-BW14</f>
        <v>0</v>
      </c>
      <c r="BX94" s="190">
        <f>'UW Model'!$H36-BX14</f>
        <v>0</v>
      </c>
      <c r="BY94" s="190">
        <f>'UW Model'!$H36-BY14</f>
        <v>0</v>
      </c>
      <c r="BZ94" s="190">
        <f>'UW Model'!$H36-BZ14</f>
        <v>0</v>
      </c>
      <c r="CA94" s="190">
        <f>'UW Model'!$H36-CA14</f>
        <v>0</v>
      </c>
      <c r="CB94" s="190">
        <f>'UW Model'!$H36-CB14</f>
        <v>0</v>
      </c>
      <c r="CC94" s="190">
        <f>'UW Model'!$H36-CC14</f>
        <v>0</v>
      </c>
      <c r="CD94" s="190">
        <f>'UW Model'!$H36-CD14</f>
        <v>0</v>
      </c>
      <c r="CE94" s="195">
        <f>'UW Model'!$H36-CE14</f>
        <v>0</v>
      </c>
    </row>
    <row r="95" spans="16:83" x14ac:dyDescent="0.35">
      <c r="P95" s="936"/>
      <c r="Q95" s="194" t="str">
        <f>$Q$15</f>
        <v/>
      </c>
      <c r="R95" s="197">
        <f t="shared" si="235"/>
        <v>0</v>
      </c>
      <c r="S95" s="191">
        <f t="shared" si="235"/>
        <v>0</v>
      </c>
      <c r="T95" s="191">
        <f t="shared" si="235"/>
        <v>0</v>
      </c>
      <c r="U95" s="191">
        <f t="shared" si="235"/>
        <v>0</v>
      </c>
      <c r="V95" s="198">
        <f t="shared" si="235"/>
        <v>0</v>
      </c>
      <c r="W95" s="193">
        <v>0</v>
      </c>
      <c r="X95" s="193">
        <f>'UW Model'!$H37-X15</f>
        <v>0</v>
      </c>
      <c r="Y95" s="190">
        <f>'UW Model'!$H37-Y15</f>
        <v>0</v>
      </c>
      <c r="Z95" s="190">
        <f>'UW Model'!$H37-Z15</f>
        <v>0</v>
      </c>
      <c r="AA95" s="190">
        <f>'UW Model'!$H37-AA15</f>
        <v>0</v>
      </c>
      <c r="AB95" s="190">
        <f>'UW Model'!$H37-AB15</f>
        <v>0</v>
      </c>
      <c r="AC95" s="190">
        <f>'UW Model'!$H37-AC15</f>
        <v>0</v>
      </c>
      <c r="AD95" s="190">
        <f>'UW Model'!$H37-AD15</f>
        <v>0</v>
      </c>
      <c r="AE95" s="190">
        <f>'UW Model'!$H37-AE15</f>
        <v>0</v>
      </c>
      <c r="AF95" s="190">
        <f>'UW Model'!$H37-AF15</f>
        <v>0</v>
      </c>
      <c r="AG95" s="190">
        <f>'UW Model'!$H37-AG15</f>
        <v>0</v>
      </c>
      <c r="AH95" s="190">
        <f>'UW Model'!$H37-AH15</f>
        <v>0</v>
      </c>
      <c r="AI95" s="192">
        <f>'UW Model'!$H37-AI15</f>
        <v>0</v>
      </c>
      <c r="AJ95" s="193">
        <f>'UW Model'!$H37-AJ15</f>
        <v>0</v>
      </c>
      <c r="AK95" s="190">
        <f>'UW Model'!$H37-AK15</f>
        <v>0</v>
      </c>
      <c r="AL95" s="190">
        <f>'UW Model'!$H37-AL15</f>
        <v>0</v>
      </c>
      <c r="AM95" s="190">
        <f>'UW Model'!$H37-AM15</f>
        <v>0</v>
      </c>
      <c r="AN95" s="190">
        <f>'UW Model'!$H37-AN15</f>
        <v>0</v>
      </c>
      <c r="AO95" s="190">
        <f>'UW Model'!$H37-AO15</f>
        <v>0</v>
      </c>
      <c r="AP95" s="190">
        <f>'UW Model'!$H37-AP15</f>
        <v>0</v>
      </c>
      <c r="AQ95" s="190">
        <f>'UW Model'!$H37-AQ15</f>
        <v>0</v>
      </c>
      <c r="AR95" s="190">
        <f>'UW Model'!$H37-AR15</f>
        <v>0</v>
      </c>
      <c r="AS95" s="190">
        <f>'UW Model'!$H37-AS15</f>
        <v>0</v>
      </c>
      <c r="AT95" s="190">
        <f>'UW Model'!$H37-AT15</f>
        <v>0</v>
      </c>
      <c r="AU95" s="192">
        <f>'UW Model'!$H37-AU15</f>
        <v>0</v>
      </c>
      <c r="AV95" s="190">
        <f>'UW Model'!$H37-AV15</f>
        <v>0</v>
      </c>
      <c r="AW95" s="190">
        <f>'UW Model'!$H37-AW15</f>
        <v>0</v>
      </c>
      <c r="AX95" s="190">
        <f>'UW Model'!$H37-AX15</f>
        <v>0</v>
      </c>
      <c r="AY95" s="190">
        <f>'UW Model'!$H37-AY15</f>
        <v>0</v>
      </c>
      <c r="AZ95" s="190">
        <f>'UW Model'!$H37-AZ15</f>
        <v>0</v>
      </c>
      <c r="BA95" s="190">
        <f>'UW Model'!$H37-BA15</f>
        <v>0</v>
      </c>
      <c r="BB95" s="190">
        <f>'UW Model'!$H37-BB15</f>
        <v>0</v>
      </c>
      <c r="BC95" s="190">
        <f>'UW Model'!$H37-BC15</f>
        <v>0</v>
      </c>
      <c r="BD95" s="190">
        <f>'UW Model'!$H37-BD15</f>
        <v>0</v>
      </c>
      <c r="BE95" s="190">
        <f>'UW Model'!$H37-BE15</f>
        <v>0</v>
      </c>
      <c r="BF95" s="190">
        <f>'UW Model'!$H37-BF15</f>
        <v>0</v>
      </c>
      <c r="BG95" s="192">
        <f>'UW Model'!$H37-BG15</f>
        <v>0</v>
      </c>
      <c r="BH95" s="190">
        <f>'UW Model'!$H37-BH15</f>
        <v>0</v>
      </c>
      <c r="BI95" s="190">
        <f>'UW Model'!$H37-BI15</f>
        <v>0</v>
      </c>
      <c r="BJ95" s="190">
        <f>'UW Model'!$H37-BJ15</f>
        <v>0</v>
      </c>
      <c r="BK95" s="190">
        <f>'UW Model'!$H37-BK15</f>
        <v>0</v>
      </c>
      <c r="BL95" s="190">
        <f>'UW Model'!$H37-BL15</f>
        <v>0</v>
      </c>
      <c r="BM95" s="190">
        <f>'UW Model'!$H37-BM15</f>
        <v>0</v>
      </c>
      <c r="BN95" s="190">
        <f>'UW Model'!$H37-BN15</f>
        <v>0</v>
      </c>
      <c r="BO95" s="190">
        <f>'UW Model'!$H37-BO15</f>
        <v>0</v>
      </c>
      <c r="BP95" s="190">
        <f>'UW Model'!$H37-BP15</f>
        <v>0</v>
      </c>
      <c r="BQ95" s="190">
        <f>'UW Model'!$H37-BQ15</f>
        <v>0</v>
      </c>
      <c r="BR95" s="190">
        <f>'UW Model'!$H37-BR15</f>
        <v>0</v>
      </c>
      <c r="BS95" s="192">
        <f>'UW Model'!$H37-BS15</f>
        <v>0</v>
      </c>
      <c r="BT95" s="190">
        <f>'UW Model'!$H37-BT15</f>
        <v>0</v>
      </c>
      <c r="BU95" s="190">
        <f>'UW Model'!$H37-BU15</f>
        <v>0</v>
      </c>
      <c r="BV95" s="190">
        <f>'UW Model'!$H37-BV15</f>
        <v>0</v>
      </c>
      <c r="BW95" s="190">
        <f>'UW Model'!$H37-BW15</f>
        <v>0</v>
      </c>
      <c r="BX95" s="190">
        <f>'UW Model'!$H37-BX15</f>
        <v>0</v>
      </c>
      <c r="BY95" s="190">
        <f>'UW Model'!$H37-BY15</f>
        <v>0</v>
      </c>
      <c r="BZ95" s="190">
        <f>'UW Model'!$H37-BZ15</f>
        <v>0</v>
      </c>
      <c r="CA95" s="190">
        <f>'UW Model'!$H37-CA15</f>
        <v>0</v>
      </c>
      <c r="CB95" s="190">
        <f>'UW Model'!$H37-CB15</f>
        <v>0</v>
      </c>
      <c r="CC95" s="190">
        <f>'UW Model'!$H37-CC15</f>
        <v>0</v>
      </c>
      <c r="CD95" s="190">
        <f>'UW Model'!$H37-CD15</f>
        <v>0</v>
      </c>
      <c r="CE95" s="195">
        <f>'UW Model'!$H37-CE15</f>
        <v>0</v>
      </c>
    </row>
    <row r="96" spans="16:83" x14ac:dyDescent="0.35">
      <c r="P96" s="936"/>
      <c r="Q96" s="194" t="str">
        <f>$Q$16</f>
        <v/>
      </c>
      <c r="R96" s="197">
        <f t="shared" si="235"/>
        <v>0</v>
      </c>
      <c r="S96" s="191">
        <f t="shared" si="235"/>
        <v>0</v>
      </c>
      <c r="T96" s="191">
        <f t="shared" si="235"/>
        <v>0</v>
      </c>
      <c r="U96" s="191">
        <f t="shared" si="235"/>
        <v>0</v>
      </c>
      <c r="V96" s="198">
        <f t="shared" si="235"/>
        <v>0</v>
      </c>
      <c r="W96" s="193">
        <v>0</v>
      </c>
      <c r="X96" s="193">
        <f>'UW Model'!$H38-X16</f>
        <v>0</v>
      </c>
      <c r="Y96" s="190">
        <f>'UW Model'!$H38-Y16</f>
        <v>0</v>
      </c>
      <c r="Z96" s="190">
        <f>'UW Model'!$H38-Z16</f>
        <v>0</v>
      </c>
      <c r="AA96" s="190">
        <f>'UW Model'!$H38-AA16</f>
        <v>0</v>
      </c>
      <c r="AB96" s="190">
        <f>'UW Model'!$H38-AB16</f>
        <v>0</v>
      </c>
      <c r="AC96" s="190">
        <f>'UW Model'!$H38-AC16</f>
        <v>0</v>
      </c>
      <c r="AD96" s="190">
        <f>'UW Model'!$H38-AD16</f>
        <v>0</v>
      </c>
      <c r="AE96" s="190">
        <f>'UW Model'!$H38-AE16</f>
        <v>0</v>
      </c>
      <c r="AF96" s="190">
        <f>'UW Model'!$H38-AF16</f>
        <v>0</v>
      </c>
      <c r="AG96" s="190">
        <f>'UW Model'!$H38-AG16</f>
        <v>0</v>
      </c>
      <c r="AH96" s="190">
        <f>'UW Model'!$H38-AH16</f>
        <v>0</v>
      </c>
      <c r="AI96" s="192">
        <f>'UW Model'!$H38-AI16</f>
        <v>0</v>
      </c>
      <c r="AJ96" s="193">
        <f>'UW Model'!$H38-AJ16</f>
        <v>0</v>
      </c>
      <c r="AK96" s="190">
        <f>'UW Model'!$H38-AK16</f>
        <v>0</v>
      </c>
      <c r="AL96" s="190">
        <f>'UW Model'!$H38-AL16</f>
        <v>0</v>
      </c>
      <c r="AM96" s="190">
        <f>'UW Model'!$H38-AM16</f>
        <v>0</v>
      </c>
      <c r="AN96" s="190">
        <f>'UW Model'!$H38-AN16</f>
        <v>0</v>
      </c>
      <c r="AO96" s="190">
        <f>'UW Model'!$H38-AO16</f>
        <v>0</v>
      </c>
      <c r="AP96" s="190">
        <f>'UW Model'!$H38-AP16</f>
        <v>0</v>
      </c>
      <c r="AQ96" s="190">
        <f>'UW Model'!$H38-AQ16</f>
        <v>0</v>
      </c>
      <c r="AR96" s="190">
        <f>'UW Model'!$H38-AR16</f>
        <v>0</v>
      </c>
      <c r="AS96" s="190">
        <f>'UW Model'!$H38-AS16</f>
        <v>0</v>
      </c>
      <c r="AT96" s="190">
        <f>'UW Model'!$H38-AT16</f>
        <v>0</v>
      </c>
      <c r="AU96" s="192">
        <f>'UW Model'!$H38-AU16</f>
        <v>0</v>
      </c>
      <c r="AV96" s="190">
        <f>'UW Model'!$H38-AV16</f>
        <v>0</v>
      </c>
      <c r="AW96" s="190">
        <f>'UW Model'!$H38-AW16</f>
        <v>0</v>
      </c>
      <c r="AX96" s="190">
        <f>'UW Model'!$H38-AX16</f>
        <v>0</v>
      </c>
      <c r="AY96" s="190">
        <f>'UW Model'!$H38-AY16</f>
        <v>0</v>
      </c>
      <c r="AZ96" s="190">
        <f>'UW Model'!$H38-AZ16</f>
        <v>0</v>
      </c>
      <c r="BA96" s="190">
        <f>'UW Model'!$H38-BA16</f>
        <v>0</v>
      </c>
      <c r="BB96" s="190">
        <f>'UW Model'!$H38-BB16</f>
        <v>0</v>
      </c>
      <c r="BC96" s="190">
        <f>'UW Model'!$H38-BC16</f>
        <v>0</v>
      </c>
      <c r="BD96" s="190">
        <f>'UW Model'!$H38-BD16</f>
        <v>0</v>
      </c>
      <c r="BE96" s="190">
        <f>'UW Model'!$H38-BE16</f>
        <v>0</v>
      </c>
      <c r="BF96" s="190">
        <f>'UW Model'!$H38-BF16</f>
        <v>0</v>
      </c>
      <c r="BG96" s="192">
        <f>'UW Model'!$H38-BG16</f>
        <v>0</v>
      </c>
      <c r="BH96" s="190">
        <f>'UW Model'!$H38-BH16</f>
        <v>0</v>
      </c>
      <c r="BI96" s="190">
        <f>'UW Model'!$H38-BI16</f>
        <v>0</v>
      </c>
      <c r="BJ96" s="190">
        <f>'UW Model'!$H38-BJ16</f>
        <v>0</v>
      </c>
      <c r="BK96" s="190">
        <f>'UW Model'!$H38-BK16</f>
        <v>0</v>
      </c>
      <c r="BL96" s="190">
        <f>'UW Model'!$H38-BL16</f>
        <v>0</v>
      </c>
      <c r="BM96" s="190">
        <f>'UW Model'!$H38-BM16</f>
        <v>0</v>
      </c>
      <c r="BN96" s="190">
        <f>'UW Model'!$H38-BN16</f>
        <v>0</v>
      </c>
      <c r="BO96" s="190">
        <f>'UW Model'!$H38-BO16</f>
        <v>0</v>
      </c>
      <c r="BP96" s="190">
        <f>'UW Model'!$H38-BP16</f>
        <v>0</v>
      </c>
      <c r="BQ96" s="190">
        <f>'UW Model'!$H38-BQ16</f>
        <v>0</v>
      </c>
      <c r="BR96" s="190">
        <f>'UW Model'!$H38-BR16</f>
        <v>0</v>
      </c>
      <c r="BS96" s="192">
        <f>'UW Model'!$H38-BS16</f>
        <v>0</v>
      </c>
      <c r="BT96" s="190">
        <f>'UW Model'!$H38-BT16</f>
        <v>0</v>
      </c>
      <c r="BU96" s="190">
        <f>'UW Model'!$H38-BU16</f>
        <v>0</v>
      </c>
      <c r="BV96" s="190">
        <f>'UW Model'!$H38-BV16</f>
        <v>0</v>
      </c>
      <c r="BW96" s="190">
        <f>'UW Model'!$H38-BW16</f>
        <v>0</v>
      </c>
      <c r="BX96" s="190">
        <f>'UW Model'!$H38-BX16</f>
        <v>0</v>
      </c>
      <c r="BY96" s="190">
        <f>'UW Model'!$H38-BY16</f>
        <v>0</v>
      </c>
      <c r="BZ96" s="190">
        <f>'UW Model'!$H38-BZ16</f>
        <v>0</v>
      </c>
      <c r="CA96" s="190">
        <f>'UW Model'!$H38-CA16</f>
        <v>0</v>
      </c>
      <c r="CB96" s="190">
        <f>'UW Model'!$H38-CB16</f>
        <v>0</v>
      </c>
      <c r="CC96" s="190">
        <f>'UW Model'!$H38-CC16</f>
        <v>0</v>
      </c>
      <c r="CD96" s="190">
        <f>'UW Model'!$H38-CD16</f>
        <v>0</v>
      </c>
      <c r="CE96" s="195">
        <f>'UW Model'!$H38-CE16</f>
        <v>0</v>
      </c>
    </row>
    <row r="97" spans="16:83" x14ac:dyDescent="0.35">
      <c r="P97" s="936"/>
      <c r="Q97" s="196" t="str">
        <f>$Q$17</f>
        <v/>
      </c>
      <c r="R97" s="197">
        <f t="shared" si="235"/>
        <v>0</v>
      </c>
      <c r="S97" s="191">
        <f t="shared" si="235"/>
        <v>0</v>
      </c>
      <c r="T97" s="191">
        <f t="shared" si="235"/>
        <v>0</v>
      </c>
      <c r="U97" s="191">
        <f t="shared" si="235"/>
        <v>0</v>
      </c>
      <c r="V97" s="198">
        <f t="shared" si="235"/>
        <v>0</v>
      </c>
      <c r="W97" s="193">
        <v>0</v>
      </c>
      <c r="X97" s="193">
        <f>'UW Model'!$H39-X17</f>
        <v>0</v>
      </c>
      <c r="Y97" s="190">
        <f>'UW Model'!$H39-Y17</f>
        <v>0</v>
      </c>
      <c r="Z97" s="190">
        <f>'UW Model'!$H39-Z17</f>
        <v>0</v>
      </c>
      <c r="AA97" s="190">
        <f>'UW Model'!$H39-AA17</f>
        <v>0</v>
      </c>
      <c r="AB97" s="190">
        <f>'UW Model'!$H39-AB17</f>
        <v>0</v>
      </c>
      <c r="AC97" s="190">
        <f>'UW Model'!$H39-AC17</f>
        <v>0</v>
      </c>
      <c r="AD97" s="190">
        <f>'UW Model'!$H39-AD17</f>
        <v>0</v>
      </c>
      <c r="AE97" s="190">
        <f>'UW Model'!$H39-AE17</f>
        <v>0</v>
      </c>
      <c r="AF97" s="190">
        <f>'UW Model'!$H39-AF17</f>
        <v>0</v>
      </c>
      <c r="AG97" s="190">
        <f>'UW Model'!$H39-AG17</f>
        <v>0</v>
      </c>
      <c r="AH97" s="190">
        <f>'UW Model'!$H39-AH17</f>
        <v>0</v>
      </c>
      <c r="AI97" s="192">
        <f>'UW Model'!$H39-AI17</f>
        <v>0</v>
      </c>
      <c r="AJ97" s="193">
        <f>'UW Model'!$H39-AJ17</f>
        <v>0</v>
      </c>
      <c r="AK97" s="190">
        <f>'UW Model'!$H39-AK17</f>
        <v>0</v>
      </c>
      <c r="AL97" s="190">
        <f>'UW Model'!$H39-AL17</f>
        <v>0</v>
      </c>
      <c r="AM97" s="190">
        <f>'UW Model'!$H39-AM17</f>
        <v>0</v>
      </c>
      <c r="AN97" s="190">
        <f>'UW Model'!$H39-AN17</f>
        <v>0</v>
      </c>
      <c r="AO97" s="190">
        <f>'UW Model'!$H39-AO17</f>
        <v>0</v>
      </c>
      <c r="AP97" s="190">
        <f>'UW Model'!$H39-AP17</f>
        <v>0</v>
      </c>
      <c r="AQ97" s="190">
        <f>'UW Model'!$H39-AQ17</f>
        <v>0</v>
      </c>
      <c r="AR97" s="190">
        <f>'UW Model'!$H39-AR17</f>
        <v>0</v>
      </c>
      <c r="AS97" s="190">
        <f>'UW Model'!$H39-AS17</f>
        <v>0</v>
      </c>
      <c r="AT97" s="190">
        <f>'UW Model'!$H39-AT17</f>
        <v>0</v>
      </c>
      <c r="AU97" s="192">
        <f>'UW Model'!$H39-AU17</f>
        <v>0</v>
      </c>
      <c r="AV97" s="190">
        <f>'UW Model'!$H39-AV17</f>
        <v>0</v>
      </c>
      <c r="AW97" s="190">
        <f>'UW Model'!$H39-AW17</f>
        <v>0</v>
      </c>
      <c r="AX97" s="190">
        <f>'UW Model'!$H39-AX17</f>
        <v>0</v>
      </c>
      <c r="AY97" s="190">
        <f>'UW Model'!$H39-AY17</f>
        <v>0</v>
      </c>
      <c r="AZ97" s="190">
        <f>'UW Model'!$H39-AZ17</f>
        <v>0</v>
      </c>
      <c r="BA97" s="190">
        <f>'UW Model'!$H39-BA17</f>
        <v>0</v>
      </c>
      <c r="BB97" s="190">
        <f>'UW Model'!$H39-BB17</f>
        <v>0</v>
      </c>
      <c r="BC97" s="190">
        <f>'UW Model'!$H39-BC17</f>
        <v>0</v>
      </c>
      <c r="BD97" s="190">
        <f>'UW Model'!$H39-BD17</f>
        <v>0</v>
      </c>
      <c r="BE97" s="190">
        <f>'UW Model'!$H39-BE17</f>
        <v>0</v>
      </c>
      <c r="BF97" s="190">
        <f>'UW Model'!$H39-BF17</f>
        <v>0</v>
      </c>
      <c r="BG97" s="192">
        <f>'UW Model'!$H39-BG17</f>
        <v>0</v>
      </c>
      <c r="BH97" s="190">
        <f>'UW Model'!$H39-BH17</f>
        <v>0</v>
      </c>
      <c r="BI97" s="190">
        <f>'UW Model'!$H39-BI17</f>
        <v>0</v>
      </c>
      <c r="BJ97" s="190">
        <f>'UW Model'!$H39-BJ17</f>
        <v>0</v>
      </c>
      <c r="BK97" s="190">
        <f>'UW Model'!$H39-BK17</f>
        <v>0</v>
      </c>
      <c r="BL97" s="190">
        <f>'UW Model'!$H39-BL17</f>
        <v>0</v>
      </c>
      <c r="BM97" s="190">
        <f>'UW Model'!$H39-BM17</f>
        <v>0</v>
      </c>
      <c r="BN97" s="190">
        <f>'UW Model'!$H39-BN17</f>
        <v>0</v>
      </c>
      <c r="BO97" s="190">
        <f>'UW Model'!$H39-BO17</f>
        <v>0</v>
      </c>
      <c r="BP97" s="190">
        <f>'UW Model'!$H39-BP17</f>
        <v>0</v>
      </c>
      <c r="BQ97" s="190">
        <f>'UW Model'!$H39-BQ17</f>
        <v>0</v>
      </c>
      <c r="BR97" s="190">
        <f>'UW Model'!$H39-BR17</f>
        <v>0</v>
      </c>
      <c r="BS97" s="192">
        <f>'UW Model'!$H39-BS17</f>
        <v>0</v>
      </c>
      <c r="BT97" s="190">
        <f>'UW Model'!$H39-BT17</f>
        <v>0</v>
      </c>
      <c r="BU97" s="190">
        <f>'UW Model'!$H39-BU17</f>
        <v>0</v>
      </c>
      <c r="BV97" s="190">
        <f>'UW Model'!$H39-BV17</f>
        <v>0</v>
      </c>
      <c r="BW97" s="190">
        <f>'UW Model'!$H39-BW17</f>
        <v>0</v>
      </c>
      <c r="BX97" s="190">
        <f>'UW Model'!$H39-BX17</f>
        <v>0</v>
      </c>
      <c r="BY97" s="190">
        <f>'UW Model'!$H39-BY17</f>
        <v>0</v>
      </c>
      <c r="BZ97" s="190">
        <f>'UW Model'!$H39-BZ17</f>
        <v>0</v>
      </c>
      <c r="CA97" s="190">
        <f>'UW Model'!$H39-CA17</f>
        <v>0</v>
      </c>
      <c r="CB97" s="190">
        <f>'UW Model'!$H39-CB17</f>
        <v>0</v>
      </c>
      <c r="CC97" s="190">
        <f>'UW Model'!$H39-CC17</f>
        <v>0</v>
      </c>
      <c r="CD97" s="190">
        <f>'UW Model'!$H39-CD17</f>
        <v>0</v>
      </c>
      <c r="CE97" s="195">
        <f>'UW Model'!$H39-CE17</f>
        <v>0</v>
      </c>
    </row>
    <row r="98" spans="16:83" x14ac:dyDescent="0.35">
      <c r="P98" s="936"/>
      <c r="Q98" s="196" t="str">
        <f>$Q$18</f>
        <v/>
      </c>
      <c r="R98" s="197">
        <f t="shared" si="235"/>
        <v>0</v>
      </c>
      <c r="S98" s="191">
        <f t="shared" si="235"/>
        <v>0</v>
      </c>
      <c r="T98" s="191">
        <f t="shared" si="235"/>
        <v>0</v>
      </c>
      <c r="U98" s="191">
        <f t="shared" si="235"/>
        <v>0</v>
      </c>
      <c r="V98" s="198">
        <f t="shared" si="235"/>
        <v>0</v>
      </c>
      <c r="W98" s="193">
        <v>0</v>
      </c>
      <c r="X98" s="193">
        <f>'UW Model'!$H40-X18</f>
        <v>0</v>
      </c>
      <c r="Y98" s="190">
        <f>'UW Model'!$H40-Y18</f>
        <v>0</v>
      </c>
      <c r="Z98" s="190">
        <f>'UW Model'!$H40-Z18</f>
        <v>0</v>
      </c>
      <c r="AA98" s="190">
        <f>'UW Model'!$H40-AA18</f>
        <v>0</v>
      </c>
      <c r="AB98" s="190">
        <f>'UW Model'!$H40-AB18</f>
        <v>0</v>
      </c>
      <c r="AC98" s="190">
        <f>'UW Model'!$H40-AC18</f>
        <v>0</v>
      </c>
      <c r="AD98" s="190">
        <f>'UW Model'!$H40-AD18</f>
        <v>0</v>
      </c>
      <c r="AE98" s="190">
        <f>'UW Model'!$H40-AE18</f>
        <v>0</v>
      </c>
      <c r="AF98" s="190">
        <f>'UW Model'!$H40-AF18</f>
        <v>0</v>
      </c>
      <c r="AG98" s="190">
        <f>'UW Model'!$H40-AG18</f>
        <v>0</v>
      </c>
      <c r="AH98" s="190">
        <f>'UW Model'!$H40-AH18</f>
        <v>0</v>
      </c>
      <c r="AI98" s="192">
        <f>'UW Model'!$H40-AI18</f>
        <v>0</v>
      </c>
      <c r="AJ98" s="193">
        <f>'UW Model'!$H40-AJ18</f>
        <v>0</v>
      </c>
      <c r="AK98" s="190">
        <f>'UW Model'!$H40-AK18</f>
        <v>0</v>
      </c>
      <c r="AL98" s="190">
        <f>'UW Model'!$H40-AL18</f>
        <v>0</v>
      </c>
      <c r="AM98" s="190">
        <f>'UW Model'!$H40-AM18</f>
        <v>0</v>
      </c>
      <c r="AN98" s="190">
        <f>'UW Model'!$H40-AN18</f>
        <v>0</v>
      </c>
      <c r="AO98" s="190">
        <f>'UW Model'!$H40-AO18</f>
        <v>0</v>
      </c>
      <c r="AP98" s="190">
        <f>'UW Model'!$H40-AP18</f>
        <v>0</v>
      </c>
      <c r="AQ98" s="190">
        <f>'UW Model'!$H40-AQ18</f>
        <v>0</v>
      </c>
      <c r="AR98" s="190">
        <f>'UW Model'!$H40-AR18</f>
        <v>0</v>
      </c>
      <c r="AS98" s="190">
        <f>'UW Model'!$H40-AS18</f>
        <v>0</v>
      </c>
      <c r="AT98" s="190">
        <f>'UW Model'!$H40-AT18</f>
        <v>0</v>
      </c>
      <c r="AU98" s="192">
        <f>'UW Model'!$H40-AU18</f>
        <v>0</v>
      </c>
      <c r="AV98" s="190">
        <f>'UW Model'!$H40-AV18</f>
        <v>0</v>
      </c>
      <c r="AW98" s="190">
        <f>'UW Model'!$H40-AW18</f>
        <v>0</v>
      </c>
      <c r="AX98" s="190">
        <f>'UW Model'!$H40-AX18</f>
        <v>0</v>
      </c>
      <c r="AY98" s="190">
        <f>'UW Model'!$H40-AY18</f>
        <v>0</v>
      </c>
      <c r="AZ98" s="190">
        <f>'UW Model'!$H40-AZ18</f>
        <v>0</v>
      </c>
      <c r="BA98" s="190">
        <f>'UW Model'!$H40-BA18</f>
        <v>0</v>
      </c>
      <c r="BB98" s="190">
        <f>'UW Model'!$H40-BB18</f>
        <v>0</v>
      </c>
      <c r="BC98" s="190">
        <f>'UW Model'!$H40-BC18</f>
        <v>0</v>
      </c>
      <c r="BD98" s="190">
        <f>'UW Model'!$H40-BD18</f>
        <v>0</v>
      </c>
      <c r="BE98" s="190">
        <f>'UW Model'!$H40-BE18</f>
        <v>0</v>
      </c>
      <c r="BF98" s="190">
        <f>'UW Model'!$H40-BF18</f>
        <v>0</v>
      </c>
      <c r="BG98" s="192">
        <f>'UW Model'!$H40-BG18</f>
        <v>0</v>
      </c>
      <c r="BH98" s="190">
        <f>'UW Model'!$H40-BH18</f>
        <v>0</v>
      </c>
      <c r="BI98" s="190">
        <f>'UW Model'!$H40-BI18</f>
        <v>0</v>
      </c>
      <c r="BJ98" s="190">
        <f>'UW Model'!$H40-BJ18</f>
        <v>0</v>
      </c>
      <c r="BK98" s="190">
        <f>'UW Model'!$H40-BK18</f>
        <v>0</v>
      </c>
      <c r="BL98" s="190">
        <f>'UW Model'!$H40-BL18</f>
        <v>0</v>
      </c>
      <c r="BM98" s="190">
        <f>'UW Model'!$H40-BM18</f>
        <v>0</v>
      </c>
      <c r="BN98" s="190">
        <f>'UW Model'!$H40-BN18</f>
        <v>0</v>
      </c>
      <c r="BO98" s="190">
        <f>'UW Model'!$H40-BO18</f>
        <v>0</v>
      </c>
      <c r="BP98" s="190">
        <f>'UW Model'!$H40-BP18</f>
        <v>0</v>
      </c>
      <c r="BQ98" s="190">
        <f>'UW Model'!$H40-BQ18</f>
        <v>0</v>
      </c>
      <c r="BR98" s="190">
        <f>'UW Model'!$H40-BR18</f>
        <v>0</v>
      </c>
      <c r="BS98" s="192">
        <f>'UW Model'!$H40-BS18</f>
        <v>0</v>
      </c>
      <c r="BT98" s="190">
        <f>'UW Model'!$H40-BT18</f>
        <v>0</v>
      </c>
      <c r="BU98" s="190">
        <f>'UW Model'!$H40-BU18</f>
        <v>0</v>
      </c>
      <c r="BV98" s="190">
        <f>'UW Model'!$H40-BV18</f>
        <v>0</v>
      </c>
      <c r="BW98" s="190">
        <f>'UW Model'!$H40-BW18</f>
        <v>0</v>
      </c>
      <c r="BX98" s="190">
        <f>'UW Model'!$H40-BX18</f>
        <v>0</v>
      </c>
      <c r="BY98" s="190">
        <f>'UW Model'!$H40-BY18</f>
        <v>0</v>
      </c>
      <c r="BZ98" s="190">
        <f>'UW Model'!$H40-BZ18</f>
        <v>0</v>
      </c>
      <c r="CA98" s="190">
        <f>'UW Model'!$H40-CA18</f>
        <v>0</v>
      </c>
      <c r="CB98" s="190">
        <f>'UW Model'!$H40-CB18</f>
        <v>0</v>
      </c>
      <c r="CC98" s="190">
        <f>'UW Model'!$H40-CC18</f>
        <v>0</v>
      </c>
      <c r="CD98" s="190">
        <f>'UW Model'!$H40-CD18</f>
        <v>0</v>
      </c>
      <c r="CE98" s="195">
        <f>'UW Model'!$H40-CE18</f>
        <v>0</v>
      </c>
    </row>
    <row r="99" spans="16:83" x14ac:dyDescent="0.35">
      <c r="P99" s="936"/>
      <c r="Q99" s="196" t="str">
        <f>$Q$19</f>
        <v/>
      </c>
      <c r="R99" s="197">
        <f t="shared" si="235"/>
        <v>0</v>
      </c>
      <c r="S99" s="191">
        <f t="shared" si="235"/>
        <v>0</v>
      </c>
      <c r="T99" s="191">
        <f t="shared" si="235"/>
        <v>0</v>
      </c>
      <c r="U99" s="191">
        <f t="shared" si="235"/>
        <v>0</v>
      </c>
      <c r="V99" s="198">
        <f t="shared" si="235"/>
        <v>0</v>
      </c>
      <c r="W99" s="193">
        <v>0</v>
      </c>
      <c r="X99" s="193">
        <f>'UW Model'!$H41-X19</f>
        <v>0</v>
      </c>
      <c r="Y99" s="190">
        <f>'UW Model'!$H41-Y19</f>
        <v>0</v>
      </c>
      <c r="Z99" s="190">
        <f>'UW Model'!$H41-Z19</f>
        <v>0</v>
      </c>
      <c r="AA99" s="190">
        <f>'UW Model'!$H41-AA19</f>
        <v>0</v>
      </c>
      <c r="AB99" s="190">
        <f>'UW Model'!$H41-AB19</f>
        <v>0</v>
      </c>
      <c r="AC99" s="190">
        <f>'UW Model'!$H41-AC19</f>
        <v>0</v>
      </c>
      <c r="AD99" s="190">
        <f>'UW Model'!$H41-AD19</f>
        <v>0</v>
      </c>
      <c r="AE99" s="190">
        <f>'UW Model'!$H41-AE19</f>
        <v>0</v>
      </c>
      <c r="AF99" s="190">
        <f>'UW Model'!$H41-AF19</f>
        <v>0</v>
      </c>
      <c r="AG99" s="190">
        <f>'UW Model'!$H41-AG19</f>
        <v>0</v>
      </c>
      <c r="AH99" s="190">
        <f>'UW Model'!$H41-AH19</f>
        <v>0</v>
      </c>
      <c r="AI99" s="192">
        <f>'UW Model'!$H41-AI19</f>
        <v>0</v>
      </c>
      <c r="AJ99" s="193">
        <f>'UW Model'!$H41-AJ19</f>
        <v>0</v>
      </c>
      <c r="AK99" s="190">
        <f>'UW Model'!$H41-AK19</f>
        <v>0</v>
      </c>
      <c r="AL99" s="190">
        <f>'UW Model'!$H41-AL19</f>
        <v>0</v>
      </c>
      <c r="AM99" s="190">
        <f>'UW Model'!$H41-AM19</f>
        <v>0</v>
      </c>
      <c r="AN99" s="190">
        <f>'UW Model'!$H41-AN19</f>
        <v>0</v>
      </c>
      <c r="AO99" s="190">
        <f>'UW Model'!$H41-AO19</f>
        <v>0</v>
      </c>
      <c r="AP99" s="190">
        <f>'UW Model'!$H41-AP19</f>
        <v>0</v>
      </c>
      <c r="AQ99" s="190">
        <f>'UW Model'!$H41-AQ19</f>
        <v>0</v>
      </c>
      <c r="AR99" s="190">
        <f>'UW Model'!$H41-AR19</f>
        <v>0</v>
      </c>
      <c r="AS99" s="190">
        <f>'UW Model'!$H41-AS19</f>
        <v>0</v>
      </c>
      <c r="AT99" s="190">
        <f>'UW Model'!$H41-AT19</f>
        <v>0</v>
      </c>
      <c r="AU99" s="192">
        <f>'UW Model'!$H41-AU19</f>
        <v>0</v>
      </c>
      <c r="AV99" s="190">
        <f>'UW Model'!$H41-AV19</f>
        <v>0</v>
      </c>
      <c r="AW99" s="190">
        <f>'UW Model'!$H41-AW19</f>
        <v>0</v>
      </c>
      <c r="AX99" s="190">
        <f>'UW Model'!$H41-AX19</f>
        <v>0</v>
      </c>
      <c r="AY99" s="190">
        <f>'UW Model'!$H41-AY19</f>
        <v>0</v>
      </c>
      <c r="AZ99" s="190">
        <f>'UW Model'!$H41-AZ19</f>
        <v>0</v>
      </c>
      <c r="BA99" s="190">
        <f>'UW Model'!$H41-BA19</f>
        <v>0</v>
      </c>
      <c r="BB99" s="190">
        <f>'UW Model'!$H41-BB19</f>
        <v>0</v>
      </c>
      <c r="BC99" s="190">
        <f>'UW Model'!$H41-BC19</f>
        <v>0</v>
      </c>
      <c r="BD99" s="190">
        <f>'UW Model'!$H41-BD19</f>
        <v>0</v>
      </c>
      <c r="BE99" s="190">
        <f>'UW Model'!$H41-BE19</f>
        <v>0</v>
      </c>
      <c r="BF99" s="190">
        <f>'UW Model'!$H41-BF19</f>
        <v>0</v>
      </c>
      <c r="BG99" s="192">
        <f>'UW Model'!$H41-BG19</f>
        <v>0</v>
      </c>
      <c r="BH99" s="190">
        <f>'UW Model'!$H41-BH19</f>
        <v>0</v>
      </c>
      <c r="BI99" s="190">
        <f>'UW Model'!$H41-BI19</f>
        <v>0</v>
      </c>
      <c r="BJ99" s="190">
        <f>'UW Model'!$H41-BJ19</f>
        <v>0</v>
      </c>
      <c r="BK99" s="190">
        <f>'UW Model'!$H41-BK19</f>
        <v>0</v>
      </c>
      <c r="BL99" s="190">
        <f>'UW Model'!$H41-BL19</f>
        <v>0</v>
      </c>
      <c r="BM99" s="190">
        <f>'UW Model'!$H41-BM19</f>
        <v>0</v>
      </c>
      <c r="BN99" s="190">
        <f>'UW Model'!$H41-BN19</f>
        <v>0</v>
      </c>
      <c r="BO99" s="190">
        <f>'UW Model'!$H41-BO19</f>
        <v>0</v>
      </c>
      <c r="BP99" s="190">
        <f>'UW Model'!$H41-BP19</f>
        <v>0</v>
      </c>
      <c r="BQ99" s="190">
        <f>'UW Model'!$H41-BQ19</f>
        <v>0</v>
      </c>
      <c r="BR99" s="190">
        <f>'UW Model'!$H41-BR19</f>
        <v>0</v>
      </c>
      <c r="BS99" s="192">
        <f>'UW Model'!$H41-BS19</f>
        <v>0</v>
      </c>
      <c r="BT99" s="190">
        <f>'UW Model'!$H41-BT19</f>
        <v>0</v>
      </c>
      <c r="BU99" s="190">
        <f>'UW Model'!$H41-BU19</f>
        <v>0</v>
      </c>
      <c r="BV99" s="190">
        <f>'UW Model'!$H41-BV19</f>
        <v>0</v>
      </c>
      <c r="BW99" s="190">
        <f>'UW Model'!$H41-BW19</f>
        <v>0</v>
      </c>
      <c r="BX99" s="190">
        <f>'UW Model'!$H41-BX19</f>
        <v>0</v>
      </c>
      <c r="BY99" s="190">
        <f>'UW Model'!$H41-BY19</f>
        <v>0</v>
      </c>
      <c r="BZ99" s="190">
        <f>'UW Model'!$H41-BZ19</f>
        <v>0</v>
      </c>
      <c r="CA99" s="190">
        <f>'UW Model'!$H41-CA19</f>
        <v>0</v>
      </c>
      <c r="CB99" s="190">
        <f>'UW Model'!$H41-CB19</f>
        <v>0</v>
      </c>
      <c r="CC99" s="190">
        <f>'UW Model'!$H41-CC19</f>
        <v>0</v>
      </c>
      <c r="CD99" s="190">
        <f>'UW Model'!$H41-CD19</f>
        <v>0</v>
      </c>
      <c r="CE99" s="195">
        <f>'UW Model'!$H41-CE19</f>
        <v>0</v>
      </c>
    </row>
    <row r="100" spans="16:83" x14ac:dyDescent="0.35">
      <c r="P100" s="936"/>
      <c r="Q100" s="196" t="str">
        <f>$Q$20</f>
        <v/>
      </c>
      <c r="R100" s="197">
        <f t="shared" si="235"/>
        <v>0</v>
      </c>
      <c r="S100" s="191">
        <f t="shared" si="235"/>
        <v>0</v>
      </c>
      <c r="T100" s="191">
        <f t="shared" si="235"/>
        <v>0</v>
      </c>
      <c r="U100" s="191">
        <f t="shared" si="235"/>
        <v>0</v>
      </c>
      <c r="V100" s="198">
        <f t="shared" si="235"/>
        <v>0</v>
      </c>
      <c r="W100" s="193">
        <v>0</v>
      </c>
      <c r="X100" s="193">
        <f>'UW Model'!$H42-X20</f>
        <v>0</v>
      </c>
      <c r="Y100" s="190">
        <f>'UW Model'!$H42-Y20</f>
        <v>0</v>
      </c>
      <c r="Z100" s="190">
        <f>'UW Model'!$H42-Z20</f>
        <v>0</v>
      </c>
      <c r="AA100" s="190">
        <f>'UW Model'!$H42-AA20</f>
        <v>0</v>
      </c>
      <c r="AB100" s="190">
        <f>'UW Model'!$H42-AB20</f>
        <v>0</v>
      </c>
      <c r="AC100" s="190">
        <f>'UW Model'!$H42-AC20</f>
        <v>0</v>
      </c>
      <c r="AD100" s="190">
        <f>'UW Model'!$H42-AD20</f>
        <v>0</v>
      </c>
      <c r="AE100" s="190">
        <f>'UW Model'!$H42-AE20</f>
        <v>0</v>
      </c>
      <c r="AF100" s="190">
        <f>'UW Model'!$H42-AF20</f>
        <v>0</v>
      </c>
      <c r="AG100" s="190">
        <f>'UW Model'!$H42-AG20</f>
        <v>0</v>
      </c>
      <c r="AH100" s="190">
        <f>'UW Model'!$H42-AH20</f>
        <v>0</v>
      </c>
      <c r="AI100" s="192">
        <f>'UW Model'!$H42-AI20</f>
        <v>0</v>
      </c>
      <c r="AJ100" s="193">
        <f>'UW Model'!$H42-AJ20</f>
        <v>0</v>
      </c>
      <c r="AK100" s="190">
        <f>'UW Model'!$H42-AK20</f>
        <v>0</v>
      </c>
      <c r="AL100" s="190">
        <f>'UW Model'!$H42-AL20</f>
        <v>0</v>
      </c>
      <c r="AM100" s="190">
        <f>'UW Model'!$H42-AM20</f>
        <v>0</v>
      </c>
      <c r="AN100" s="190">
        <f>'UW Model'!$H42-AN20</f>
        <v>0</v>
      </c>
      <c r="AO100" s="190">
        <f>'UW Model'!$H42-AO20</f>
        <v>0</v>
      </c>
      <c r="AP100" s="190">
        <f>'UW Model'!$H42-AP20</f>
        <v>0</v>
      </c>
      <c r="AQ100" s="190">
        <f>'UW Model'!$H42-AQ20</f>
        <v>0</v>
      </c>
      <c r="AR100" s="190">
        <f>'UW Model'!$H42-AR20</f>
        <v>0</v>
      </c>
      <c r="AS100" s="190">
        <f>'UW Model'!$H42-AS20</f>
        <v>0</v>
      </c>
      <c r="AT100" s="190">
        <f>'UW Model'!$H42-AT20</f>
        <v>0</v>
      </c>
      <c r="AU100" s="192">
        <f>'UW Model'!$H42-AU20</f>
        <v>0</v>
      </c>
      <c r="AV100" s="190">
        <f>'UW Model'!$H42-AV20</f>
        <v>0</v>
      </c>
      <c r="AW100" s="190">
        <f>'UW Model'!$H42-AW20</f>
        <v>0</v>
      </c>
      <c r="AX100" s="190">
        <f>'UW Model'!$H42-AX20</f>
        <v>0</v>
      </c>
      <c r="AY100" s="190">
        <f>'UW Model'!$H42-AY20</f>
        <v>0</v>
      </c>
      <c r="AZ100" s="190">
        <f>'UW Model'!$H42-AZ20</f>
        <v>0</v>
      </c>
      <c r="BA100" s="190">
        <f>'UW Model'!$H42-BA20</f>
        <v>0</v>
      </c>
      <c r="BB100" s="190">
        <f>'UW Model'!$H42-BB20</f>
        <v>0</v>
      </c>
      <c r="BC100" s="190">
        <f>'UW Model'!$H42-BC20</f>
        <v>0</v>
      </c>
      <c r="BD100" s="190">
        <f>'UW Model'!$H42-BD20</f>
        <v>0</v>
      </c>
      <c r="BE100" s="190">
        <f>'UW Model'!$H42-BE20</f>
        <v>0</v>
      </c>
      <c r="BF100" s="190">
        <f>'UW Model'!$H42-BF20</f>
        <v>0</v>
      </c>
      <c r="BG100" s="192">
        <f>'UW Model'!$H42-BG20</f>
        <v>0</v>
      </c>
      <c r="BH100" s="190">
        <f>'UW Model'!$H42-BH20</f>
        <v>0</v>
      </c>
      <c r="BI100" s="190">
        <f>'UW Model'!$H42-BI20</f>
        <v>0</v>
      </c>
      <c r="BJ100" s="190">
        <f>'UW Model'!$H42-BJ20</f>
        <v>0</v>
      </c>
      <c r="BK100" s="190">
        <f>'UW Model'!$H42-BK20</f>
        <v>0</v>
      </c>
      <c r="BL100" s="190">
        <f>'UW Model'!$H42-BL20</f>
        <v>0</v>
      </c>
      <c r="BM100" s="190">
        <f>'UW Model'!$H42-BM20</f>
        <v>0</v>
      </c>
      <c r="BN100" s="190">
        <f>'UW Model'!$H42-BN20</f>
        <v>0</v>
      </c>
      <c r="BO100" s="190">
        <f>'UW Model'!$H42-BO20</f>
        <v>0</v>
      </c>
      <c r="BP100" s="190">
        <f>'UW Model'!$H42-BP20</f>
        <v>0</v>
      </c>
      <c r="BQ100" s="190">
        <f>'UW Model'!$H42-BQ20</f>
        <v>0</v>
      </c>
      <c r="BR100" s="190">
        <f>'UW Model'!$H42-BR20</f>
        <v>0</v>
      </c>
      <c r="BS100" s="192">
        <f>'UW Model'!$H42-BS20</f>
        <v>0</v>
      </c>
      <c r="BT100" s="190">
        <f>'UW Model'!$H42-BT20</f>
        <v>0</v>
      </c>
      <c r="BU100" s="190">
        <f>'UW Model'!$H42-BU20</f>
        <v>0</v>
      </c>
      <c r="BV100" s="190">
        <f>'UW Model'!$H42-BV20</f>
        <v>0</v>
      </c>
      <c r="BW100" s="190">
        <f>'UW Model'!$H42-BW20</f>
        <v>0</v>
      </c>
      <c r="BX100" s="190">
        <f>'UW Model'!$H42-BX20</f>
        <v>0</v>
      </c>
      <c r="BY100" s="190">
        <f>'UW Model'!$H42-BY20</f>
        <v>0</v>
      </c>
      <c r="BZ100" s="190">
        <f>'UW Model'!$H42-BZ20</f>
        <v>0</v>
      </c>
      <c r="CA100" s="190">
        <f>'UW Model'!$H42-CA20</f>
        <v>0</v>
      </c>
      <c r="CB100" s="190">
        <f>'UW Model'!$H42-CB20</f>
        <v>0</v>
      </c>
      <c r="CC100" s="190">
        <f>'UW Model'!$H42-CC20</f>
        <v>0</v>
      </c>
      <c r="CD100" s="190">
        <f>'UW Model'!$H42-CD20</f>
        <v>0</v>
      </c>
      <c r="CE100" s="195">
        <f>'UW Model'!$H42-CE20</f>
        <v>0</v>
      </c>
    </row>
    <row r="101" spans="16:83" x14ac:dyDescent="0.35">
      <c r="P101" s="936"/>
      <c r="Q101" s="18" t="s">
        <v>266</v>
      </c>
      <c r="R101" s="208">
        <f>SUM(R102:R116)</f>
        <v>0</v>
      </c>
      <c r="S101" s="209">
        <f t="shared" ref="S101:CD101" si="237">SUM(S102:S116)</f>
        <v>0</v>
      </c>
      <c r="T101" s="209">
        <f t="shared" si="237"/>
        <v>0</v>
      </c>
      <c r="U101" s="209">
        <f t="shared" si="237"/>
        <v>0</v>
      </c>
      <c r="V101" s="210">
        <f t="shared" si="237"/>
        <v>0</v>
      </c>
      <c r="W101" s="208">
        <f t="shared" si="237"/>
        <v>0</v>
      </c>
      <c r="X101" s="208">
        <f t="shared" si="237"/>
        <v>0</v>
      </c>
      <c r="Y101" s="209">
        <f t="shared" si="237"/>
        <v>0</v>
      </c>
      <c r="Z101" s="209">
        <f t="shared" si="237"/>
        <v>0</v>
      </c>
      <c r="AA101" s="209">
        <f t="shared" si="237"/>
        <v>0</v>
      </c>
      <c r="AB101" s="209">
        <f t="shared" si="237"/>
        <v>0</v>
      </c>
      <c r="AC101" s="209">
        <f t="shared" si="237"/>
        <v>0</v>
      </c>
      <c r="AD101" s="209">
        <f t="shared" si="237"/>
        <v>0</v>
      </c>
      <c r="AE101" s="209">
        <f t="shared" si="237"/>
        <v>0</v>
      </c>
      <c r="AF101" s="209">
        <f t="shared" si="237"/>
        <v>0</v>
      </c>
      <c r="AG101" s="209">
        <f t="shared" si="237"/>
        <v>0</v>
      </c>
      <c r="AH101" s="209">
        <f t="shared" si="237"/>
        <v>0</v>
      </c>
      <c r="AI101" s="210">
        <f t="shared" si="237"/>
        <v>0</v>
      </c>
      <c r="AJ101" s="208">
        <f t="shared" si="237"/>
        <v>0</v>
      </c>
      <c r="AK101" s="209">
        <f t="shared" si="237"/>
        <v>0</v>
      </c>
      <c r="AL101" s="209">
        <f t="shared" si="237"/>
        <v>0</v>
      </c>
      <c r="AM101" s="209">
        <f t="shared" si="237"/>
        <v>0</v>
      </c>
      <c r="AN101" s="209">
        <f t="shared" si="237"/>
        <v>0</v>
      </c>
      <c r="AO101" s="209">
        <f t="shared" si="237"/>
        <v>0</v>
      </c>
      <c r="AP101" s="209">
        <f t="shared" si="237"/>
        <v>0</v>
      </c>
      <c r="AQ101" s="209">
        <f t="shared" si="237"/>
        <v>0</v>
      </c>
      <c r="AR101" s="209">
        <f t="shared" si="237"/>
        <v>0</v>
      </c>
      <c r="AS101" s="209">
        <f t="shared" si="237"/>
        <v>0</v>
      </c>
      <c r="AT101" s="209">
        <f t="shared" si="237"/>
        <v>0</v>
      </c>
      <c r="AU101" s="210">
        <f t="shared" si="237"/>
        <v>0</v>
      </c>
      <c r="AV101" s="208">
        <f t="shared" si="237"/>
        <v>0</v>
      </c>
      <c r="AW101" s="209">
        <f t="shared" si="237"/>
        <v>0</v>
      </c>
      <c r="AX101" s="209">
        <f t="shared" si="237"/>
        <v>0</v>
      </c>
      <c r="AY101" s="209">
        <f t="shared" si="237"/>
        <v>0</v>
      </c>
      <c r="AZ101" s="209">
        <f t="shared" si="237"/>
        <v>0</v>
      </c>
      <c r="BA101" s="209">
        <f t="shared" si="237"/>
        <v>0</v>
      </c>
      <c r="BB101" s="209">
        <f t="shared" si="237"/>
        <v>0</v>
      </c>
      <c r="BC101" s="209">
        <f t="shared" si="237"/>
        <v>0</v>
      </c>
      <c r="BD101" s="209">
        <f t="shared" si="237"/>
        <v>0</v>
      </c>
      <c r="BE101" s="209">
        <f t="shared" si="237"/>
        <v>0</v>
      </c>
      <c r="BF101" s="209">
        <f t="shared" si="237"/>
        <v>0</v>
      </c>
      <c r="BG101" s="210">
        <f t="shared" si="237"/>
        <v>0</v>
      </c>
      <c r="BH101" s="209">
        <f t="shared" si="237"/>
        <v>0</v>
      </c>
      <c r="BI101" s="209">
        <f t="shared" si="237"/>
        <v>0</v>
      </c>
      <c r="BJ101" s="209">
        <f t="shared" si="237"/>
        <v>0</v>
      </c>
      <c r="BK101" s="209">
        <f t="shared" si="237"/>
        <v>0</v>
      </c>
      <c r="BL101" s="209">
        <f t="shared" si="237"/>
        <v>0</v>
      </c>
      <c r="BM101" s="209">
        <f t="shared" si="237"/>
        <v>0</v>
      </c>
      <c r="BN101" s="209">
        <f t="shared" si="237"/>
        <v>0</v>
      </c>
      <c r="BO101" s="209">
        <f t="shared" si="237"/>
        <v>0</v>
      </c>
      <c r="BP101" s="209">
        <f t="shared" si="237"/>
        <v>0</v>
      </c>
      <c r="BQ101" s="209">
        <f t="shared" si="237"/>
        <v>0</v>
      </c>
      <c r="BR101" s="209">
        <f t="shared" si="237"/>
        <v>0</v>
      </c>
      <c r="BS101" s="210">
        <f t="shared" si="237"/>
        <v>0</v>
      </c>
      <c r="BT101" s="209">
        <f t="shared" si="237"/>
        <v>0</v>
      </c>
      <c r="BU101" s="209">
        <f t="shared" si="237"/>
        <v>0</v>
      </c>
      <c r="BV101" s="209">
        <f t="shared" si="237"/>
        <v>0</v>
      </c>
      <c r="BW101" s="209">
        <f t="shared" si="237"/>
        <v>0</v>
      </c>
      <c r="BX101" s="209">
        <f t="shared" si="237"/>
        <v>0</v>
      </c>
      <c r="BY101" s="209">
        <f t="shared" si="237"/>
        <v>0</v>
      </c>
      <c r="BZ101" s="209">
        <f t="shared" si="237"/>
        <v>0</v>
      </c>
      <c r="CA101" s="209">
        <f t="shared" si="237"/>
        <v>0</v>
      </c>
      <c r="CB101" s="209">
        <f t="shared" si="237"/>
        <v>0</v>
      </c>
      <c r="CC101" s="209">
        <f t="shared" si="237"/>
        <v>0</v>
      </c>
      <c r="CD101" s="209">
        <f t="shared" si="237"/>
        <v>0</v>
      </c>
      <c r="CE101" s="211">
        <f t="shared" ref="CE101" si="238">SUM(CE102:CE116)</f>
        <v>0</v>
      </c>
    </row>
    <row r="102" spans="16:83" x14ac:dyDescent="0.35">
      <c r="P102" s="936"/>
      <c r="Q102" s="194" t="str">
        <f>$Q$6</f>
        <v/>
      </c>
      <c r="R102" s="199">
        <f t="shared" ref="R102:V116" si="239">SUMIF($X$2:$CE$2,R$2,$X102:$CE102)</f>
        <v>0</v>
      </c>
      <c r="S102" s="121">
        <f t="shared" si="239"/>
        <v>0</v>
      </c>
      <c r="T102" s="121">
        <f t="shared" si="239"/>
        <v>0</v>
      </c>
      <c r="U102" s="121">
        <f t="shared" si="239"/>
        <v>0</v>
      </c>
      <c r="V102" s="200">
        <f t="shared" ref="V102" si="240">SUMIF($X$2:$CE$2,V$2,$X102:$CE102)</f>
        <v>0</v>
      </c>
      <c r="W102" s="699">
        <v>0</v>
      </c>
      <c r="X102" s="11">
        <f>X86*X118</f>
        <v>0</v>
      </c>
      <c r="Y102" s="11">
        <f t="shared" ref="Y102:BS102" si="241">Y86*Y118</f>
        <v>0</v>
      </c>
      <c r="Z102" s="11">
        <f>Z86*Z118</f>
        <v>0</v>
      </c>
      <c r="AA102" s="11">
        <f t="shared" si="241"/>
        <v>0</v>
      </c>
      <c r="AB102" s="11">
        <f t="shared" si="241"/>
        <v>0</v>
      </c>
      <c r="AC102" s="11">
        <f t="shared" si="241"/>
        <v>0</v>
      </c>
      <c r="AD102" s="11">
        <f t="shared" si="241"/>
        <v>0</v>
      </c>
      <c r="AE102" s="11">
        <f t="shared" si="241"/>
        <v>0</v>
      </c>
      <c r="AF102" s="11">
        <f t="shared" si="241"/>
        <v>0</v>
      </c>
      <c r="AG102" s="11">
        <f t="shared" si="241"/>
        <v>0</v>
      </c>
      <c r="AH102" s="11">
        <f t="shared" si="241"/>
        <v>0</v>
      </c>
      <c r="AI102" s="71">
        <f t="shared" si="241"/>
        <v>0</v>
      </c>
      <c r="AJ102" s="201">
        <f t="shared" si="241"/>
        <v>0</v>
      </c>
      <c r="AK102" s="11">
        <f t="shared" si="241"/>
        <v>0</v>
      </c>
      <c r="AL102" s="11">
        <f t="shared" si="241"/>
        <v>0</v>
      </c>
      <c r="AM102" s="11">
        <f t="shared" si="241"/>
        <v>0</v>
      </c>
      <c r="AN102" s="11">
        <f t="shared" si="241"/>
        <v>0</v>
      </c>
      <c r="AO102" s="11">
        <f t="shared" si="241"/>
        <v>0</v>
      </c>
      <c r="AP102" s="11">
        <f t="shared" si="241"/>
        <v>0</v>
      </c>
      <c r="AQ102" s="11">
        <f t="shared" si="241"/>
        <v>0</v>
      </c>
      <c r="AR102" s="11">
        <f t="shared" si="241"/>
        <v>0</v>
      </c>
      <c r="AS102" s="11">
        <f t="shared" si="241"/>
        <v>0</v>
      </c>
      <c r="AT102" s="11">
        <f t="shared" si="241"/>
        <v>0</v>
      </c>
      <c r="AU102" s="71">
        <f t="shared" si="241"/>
        <v>0</v>
      </c>
      <c r="AV102" s="11">
        <f t="shared" si="241"/>
        <v>0</v>
      </c>
      <c r="AW102" s="11">
        <f t="shared" si="241"/>
        <v>0</v>
      </c>
      <c r="AX102" s="11">
        <f t="shared" si="241"/>
        <v>0</v>
      </c>
      <c r="AY102" s="11">
        <f t="shared" si="241"/>
        <v>0</v>
      </c>
      <c r="AZ102" s="11">
        <f t="shared" si="241"/>
        <v>0</v>
      </c>
      <c r="BA102" s="11">
        <f t="shared" si="241"/>
        <v>0</v>
      </c>
      <c r="BB102" s="11">
        <f t="shared" si="241"/>
        <v>0</v>
      </c>
      <c r="BC102" s="11">
        <f t="shared" si="241"/>
        <v>0</v>
      </c>
      <c r="BD102" s="11">
        <f t="shared" si="241"/>
        <v>0</v>
      </c>
      <c r="BE102" s="11">
        <f t="shared" si="241"/>
        <v>0</v>
      </c>
      <c r="BF102" s="11">
        <f t="shared" si="241"/>
        <v>0</v>
      </c>
      <c r="BG102" s="71">
        <f t="shared" si="241"/>
        <v>0</v>
      </c>
      <c r="BH102" s="11">
        <f t="shared" si="241"/>
        <v>0</v>
      </c>
      <c r="BI102" s="11">
        <f t="shared" si="241"/>
        <v>0</v>
      </c>
      <c r="BJ102" s="11">
        <f t="shared" si="241"/>
        <v>0</v>
      </c>
      <c r="BK102" s="11">
        <f t="shared" si="241"/>
        <v>0</v>
      </c>
      <c r="BL102" s="11">
        <f t="shared" si="241"/>
        <v>0</v>
      </c>
      <c r="BM102" s="11">
        <f t="shared" si="241"/>
        <v>0</v>
      </c>
      <c r="BN102" s="11">
        <f t="shared" si="241"/>
        <v>0</v>
      </c>
      <c r="BO102" s="11">
        <f t="shared" si="241"/>
        <v>0</v>
      </c>
      <c r="BP102" s="11">
        <f t="shared" si="241"/>
        <v>0</v>
      </c>
      <c r="BQ102" s="11">
        <f t="shared" si="241"/>
        <v>0</v>
      </c>
      <c r="BR102" s="11">
        <f t="shared" si="241"/>
        <v>0</v>
      </c>
      <c r="BS102" s="71">
        <f t="shared" si="241"/>
        <v>0</v>
      </c>
      <c r="BT102" s="11">
        <f t="shared" ref="BT102:CE102" si="242">BT86*BT118</f>
        <v>0</v>
      </c>
      <c r="BU102" s="11">
        <f t="shared" si="242"/>
        <v>0</v>
      </c>
      <c r="BV102" s="11">
        <f t="shared" si="242"/>
        <v>0</v>
      </c>
      <c r="BW102" s="11">
        <f t="shared" si="242"/>
        <v>0</v>
      </c>
      <c r="BX102" s="11">
        <f t="shared" si="242"/>
        <v>0</v>
      </c>
      <c r="BY102" s="11">
        <f t="shared" si="242"/>
        <v>0</v>
      </c>
      <c r="BZ102" s="11">
        <f t="shared" si="242"/>
        <v>0</v>
      </c>
      <c r="CA102" s="11">
        <f t="shared" si="242"/>
        <v>0</v>
      </c>
      <c r="CB102" s="11">
        <f t="shared" si="242"/>
        <v>0</v>
      </c>
      <c r="CC102" s="11">
        <f t="shared" si="242"/>
        <v>0</v>
      </c>
      <c r="CD102" s="11">
        <f t="shared" si="242"/>
        <v>0</v>
      </c>
      <c r="CE102" s="88">
        <f t="shared" si="242"/>
        <v>0</v>
      </c>
    </row>
    <row r="103" spans="16:83" x14ac:dyDescent="0.35">
      <c r="P103" s="936"/>
      <c r="Q103" s="194" t="str">
        <f>$Q$7</f>
        <v/>
      </c>
      <c r="R103" s="199">
        <f t="shared" si="239"/>
        <v>0</v>
      </c>
      <c r="S103" s="121">
        <f t="shared" si="239"/>
        <v>0</v>
      </c>
      <c r="T103" s="121">
        <f t="shared" si="239"/>
        <v>0</v>
      </c>
      <c r="U103" s="121">
        <f t="shared" si="239"/>
        <v>0</v>
      </c>
      <c r="V103" s="200">
        <f t="shared" si="239"/>
        <v>0</v>
      </c>
      <c r="W103" s="700">
        <v>0</v>
      </c>
      <c r="X103" s="11">
        <f t="shared" ref="X103:BS103" si="243">X87*X119</f>
        <v>0</v>
      </c>
      <c r="Y103" s="11">
        <f t="shared" si="243"/>
        <v>0</v>
      </c>
      <c r="Z103" s="11">
        <f t="shared" si="243"/>
        <v>0</v>
      </c>
      <c r="AA103" s="11">
        <f t="shared" si="243"/>
        <v>0</v>
      </c>
      <c r="AB103" s="11">
        <f t="shared" si="243"/>
        <v>0</v>
      </c>
      <c r="AC103" s="11">
        <f t="shared" si="243"/>
        <v>0</v>
      </c>
      <c r="AD103" s="11">
        <f t="shared" si="243"/>
        <v>0</v>
      </c>
      <c r="AE103" s="11">
        <f t="shared" si="243"/>
        <v>0</v>
      </c>
      <c r="AF103" s="11">
        <f t="shared" si="243"/>
        <v>0</v>
      </c>
      <c r="AG103" s="11">
        <f t="shared" si="243"/>
        <v>0</v>
      </c>
      <c r="AH103" s="11">
        <f t="shared" si="243"/>
        <v>0</v>
      </c>
      <c r="AI103" s="71">
        <f t="shared" si="243"/>
        <v>0</v>
      </c>
      <c r="AJ103" s="201">
        <f t="shared" si="243"/>
        <v>0</v>
      </c>
      <c r="AK103" s="11">
        <f t="shared" si="243"/>
        <v>0</v>
      </c>
      <c r="AL103" s="11">
        <f t="shared" si="243"/>
        <v>0</v>
      </c>
      <c r="AM103" s="11">
        <f t="shared" si="243"/>
        <v>0</v>
      </c>
      <c r="AN103" s="11">
        <f t="shared" si="243"/>
        <v>0</v>
      </c>
      <c r="AO103" s="11">
        <f t="shared" si="243"/>
        <v>0</v>
      </c>
      <c r="AP103" s="11">
        <f t="shared" si="243"/>
        <v>0</v>
      </c>
      <c r="AQ103" s="11">
        <f t="shared" si="243"/>
        <v>0</v>
      </c>
      <c r="AR103" s="11">
        <f t="shared" si="243"/>
        <v>0</v>
      </c>
      <c r="AS103" s="11">
        <f t="shared" si="243"/>
        <v>0</v>
      </c>
      <c r="AT103" s="11">
        <f t="shared" si="243"/>
        <v>0</v>
      </c>
      <c r="AU103" s="71">
        <f t="shared" si="243"/>
        <v>0</v>
      </c>
      <c r="AV103" s="11">
        <f t="shared" si="243"/>
        <v>0</v>
      </c>
      <c r="AW103" s="11">
        <f t="shared" si="243"/>
        <v>0</v>
      </c>
      <c r="AX103" s="11">
        <f t="shared" si="243"/>
        <v>0</v>
      </c>
      <c r="AY103" s="11">
        <f t="shared" si="243"/>
        <v>0</v>
      </c>
      <c r="AZ103" s="11">
        <f t="shared" si="243"/>
        <v>0</v>
      </c>
      <c r="BA103" s="11">
        <f t="shared" si="243"/>
        <v>0</v>
      </c>
      <c r="BB103" s="11">
        <f t="shared" si="243"/>
        <v>0</v>
      </c>
      <c r="BC103" s="11">
        <f t="shared" si="243"/>
        <v>0</v>
      </c>
      <c r="BD103" s="11">
        <f t="shared" si="243"/>
        <v>0</v>
      </c>
      <c r="BE103" s="11">
        <f t="shared" si="243"/>
        <v>0</v>
      </c>
      <c r="BF103" s="11">
        <f t="shared" si="243"/>
        <v>0</v>
      </c>
      <c r="BG103" s="71">
        <f t="shared" si="243"/>
        <v>0</v>
      </c>
      <c r="BH103" s="11">
        <f t="shared" si="243"/>
        <v>0</v>
      </c>
      <c r="BI103" s="11">
        <f t="shared" si="243"/>
        <v>0</v>
      </c>
      <c r="BJ103" s="11">
        <f t="shared" si="243"/>
        <v>0</v>
      </c>
      <c r="BK103" s="11">
        <f t="shared" si="243"/>
        <v>0</v>
      </c>
      <c r="BL103" s="11">
        <f t="shared" si="243"/>
        <v>0</v>
      </c>
      <c r="BM103" s="11">
        <f t="shared" si="243"/>
        <v>0</v>
      </c>
      <c r="BN103" s="11">
        <f t="shared" si="243"/>
        <v>0</v>
      </c>
      <c r="BO103" s="11">
        <f t="shared" si="243"/>
        <v>0</v>
      </c>
      <c r="BP103" s="11">
        <f t="shared" si="243"/>
        <v>0</v>
      </c>
      <c r="BQ103" s="11">
        <f t="shared" si="243"/>
        <v>0</v>
      </c>
      <c r="BR103" s="11">
        <f t="shared" si="243"/>
        <v>0</v>
      </c>
      <c r="BS103" s="71">
        <f t="shared" si="243"/>
        <v>0</v>
      </c>
      <c r="BT103" s="11">
        <f t="shared" ref="BT103:CE103" si="244">BT87*BT119</f>
        <v>0</v>
      </c>
      <c r="BU103" s="11">
        <f t="shared" si="244"/>
        <v>0</v>
      </c>
      <c r="BV103" s="11">
        <f t="shared" si="244"/>
        <v>0</v>
      </c>
      <c r="BW103" s="11">
        <f t="shared" si="244"/>
        <v>0</v>
      </c>
      <c r="BX103" s="11">
        <f t="shared" si="244"/>
        <v>0</v>
      </c>
      <c r="BY103" s="11">
        <f t="shared" si="244"/>
        <v>0</v>
      </c>
      <c r="BZ103" s="11">
        <f t="shared" si="244"/>
        <v>0</v>
      </c>
      <c r="CA103" s="11">
        <f t="shared" si="244"/>
        <v>0</v>
      </c>
      <c r="CB103" s="11">
        <f t="shared" si="244"/>
        <v>0</v>
      </c>
      <c r="CC103" s="11">
        <f t="shared" si="244"/>
        <v>0</v>
      </c>
      <c r="CD103" s="11">
        <f t="shared" si="244"/>
        <v>0</v>
      </c>
      <c r="CE103" s="88">
        <f t="shared" si="244"/>
        <v>0</v>
      </c>
    </row>
    <row r="104" spans="16:83" x14ac:dyDescent="0.35">
      <c r="P104" s="936"/>
      <c r="Q104" s="194" t="str">
        <f>$Q$8</f>
        <v/>
      </c>
      <c r="R104" s="199">
        <f t="shared" si="239"/>
        <v>0</v>
      </c>
      <c r="S104" s="121">
        <f t="shared" si="239"/>
        <v>0</v>
      </c>
      <c r="T104" s="121">
        <f t="shared" si="239"/>
        <v>0</v>
      </c>
      <c r="U104" s="121">
        <f t="shared" si="239"/>
        <v>0</v>
      </c>
      <c r="V104" s="200">
        <f t="shared" si="239"/>
        <v>0</v>
      </c>
      <c r="W104" s="700">
        <v>0</v>
      </c>
      <c r="X104" s="11">
        <f>ROUND(X88*X120,0)</f>
        <v>0</v>
      </c>
      <c r="Y104" s="11">
        <f t="shared" ref="Y104:BS104" si="245">Y88*Y120</f>
        <v>0</v>
      </c>
      <c r="Z104" s="11">
        <f t="shared" si="245"/>
        <v>0</v>
      </c>
      <c r="AA104" s="11">
        <f t="shared" si="245"/>
        <v>0</v>
      </c>
      <c r="AB104" s="11">
        <f t="shared" si="245"/>
        <v>0</v>
      </c>
      <c r="AC104" s="11">
        <f t="shared" si="245"/>
        <v>0</v>
      </c>
      <c r="AD104" s="11">
        <f t="shared" si="245"/>
        <v>0</v>
      </c>
      <c r="AE104" s="11">
        <f t="shared" si="245"/>
        <v>0</v>
      </c>
      <c r="AF104" s="11">
        <f t="shared" si="245"/>
        <v>0</v>
      </c>
      <c r="AG104" s="11">
        <f t="shared" si="245"/>
        <v>0</v>
      </c>
      <c r="AH104" s="11">
        <f t="shared" si="245"/>
        <v>0</v>
      </c>
      <c r="AI104" s="71">
        <f t="shared" si="245"/>
        <v>0</v>
      </c>
      <c r="AJ104" s="201">
        <f t="shared" si="245"/>
        <v>0</v>
      </c>
      <c r="AK104" s="11">
        <f t="shared" si="245"/>
        <v>0</v>
      </c>
      <c r="AL104" s="11">
        <f t="shared" si="245"/>
        <v>0</v>
      </c>
      <c r="AM104" s="11">
        <f t="shared" si="245"/>
        <v>0</v>
      </c>
      <c r="AN104" s="11">
        <f t="shared" si="245"/>
        <v>0</v>
      </c>
      <c r="AO104" s="11">
        <f t="shared" si="245"/>
        <v>0</v>
      </c>
      <c r="AP104" s="11">
        <f t="shared" si="245"/>
        <v>0</v>
      </c>
      <c r="AQ104" s="11">
        <f t="shared" si="245"/>
        <v>0</v>
      </c>
      <c r="AR104" s="11">
        <f t="shared" si="245"/>
        <v>0</v>
      </c>
      <c r="AS104" s="11">
        <f t="shared" si="245"/>
        <v>0</v>
      </c>
      <c r="AT104" s="11">
        <f t="shared" si="245"/>
        <v>0</v>
      </c>
      <c r="AU104" s="71">
        <f>AU88*AU120</f>
        <v>0</v>
      </c>
      <c r="AV104" s="11">
        <f t="shared" si="245"/>
        <v>0</v>
      </c>
      <c r="AW104" s="11">
        <f t="shared" si="245"/>
        <v>0</v>
      </c>
      <c r="AX104" s="11">
        <f t="shared" si="245"/>
        <v>0</v>
      </c>
      <c r="AY104" s="11">
        <f t="shared" si="245"/>
        <v>0</v>
      </c>
      <c r="AZ104" s="11">
        <f t="shared" si="245"/>
        <v>0</v>
      </c>
      <c r="BA104" s="11">
        <f t="shared" si="245"/>
        <v>0</v>
      </c>
      <c r="BB104" s="11">
        <f t="shared" si="245"/>
        <v>0</v>
      </c>
      <c r="BC104" s="11">
        <f t="shared" si="245"/>
        <v>0</v>
      </c>
      <c r="BD104" s="11">
        <f t="shared" si="245"/>
        <v>0</v>
      </c>
      <c r="BE104" s="11">
        <f t="shared" si="245"/>
        <v>0</v>
      </c>
      <c r="BF104" s="11">
        <f t="shared" si="245"/>
        <v>0</v>
      </c>
      <c r="BG104" s="71">
        <f t="shared" si="245"/>
        <v>0</v>
      </c>
      <c r="BH104" s="11">
        <f t="shared" si="245"/>
        <v>0</v>
      </c>
      <c r="BI104" s="11">
        <f t="shared" si="245"/>
        <v>0</v>
      </c>
      <c r="BJ104" s="11">
        <f t="shared" si="245"/>
        <v>0</v>
      </c>
      <c r="BK104" s="11">
        <f t="shared" si="245"/>
        <v>0</v>
      </c>
      <c r="BL104" s="11">
        <f t="shared" si="245"/>
        <v>0</v>
      </c>
      <c r="BM104" s="11">
        <f t="shared" si="245"/>
        <v>0</v>
      </c>
      <c r="BN104" s="11">
        <f t="shared" si="245"/>
        <v>0</v>
      </c>
      <c r="BO104" s="11">
        <f t="shared" si="245"/>
        <v>0</v>
      </c>
      <c r="BP104" s="11">
        <f t="shared" si="245"/>
        <v>0</v>
      </c>
      <c r="BQ104" s="11">
        <f t="shared" si="245"/>
        <v>0</v>
      </c>
      <c r="BR104" s="11">
        <f t="shared" si="245"/>
        <v>0</v>
      </c>
      <c r="BS104" s="71">
        <f t="shared" si="245"/>
        <v>0</v>
      </c>
      <c r="BT104" s="11">
        <f t="shared" ref="BT104:CE104" si="246">BT88*BT120</f>
        <v>0</v>
      </c>
      <c r="BU104" s="11">
        <f t="shared" si="246"/>
        <v>0</v>
      </c>
      <c r="BV104" s="11">
        <f t="shared" si="246"/>
        <v>0</v>
      </c>
      <c r="BW104" s="11">
        <f t="shared" si="246"/>
        <v>0</v>
      </c>
      <c r="BX104" s="11">
        <f t="shared" si="246"/>
        <v>0</v>
      </c>
      <c r="BY104" s="11">
        <f t="shared" si="246"/>
        <v>0</v>
      </c>
      <c r="BZ104" s="11">
        <f t="shared" si="246"/>
        <v>0</v>
      </c>
      <c r="CA104" s="11">
        <f t="shared" si="246"/>
        <v>0</v>
      </c>
      <c r="CB104" s="11">
        <f t="shared" si="246"/>
        <v>0</v>
      </c>
      <c r="CC104" s="11">
        <f t="shared" si="246"/>
        <v>0</v>
      </c>
      <c r="CD104" s="11">
        <f t="shared" si="246"/>
        <v>0</v>
      </c>
      <c r="CE104" s="88">
        <f t="shared" si="246"/>
        <v>0</v>
      </c>
    </row>
    <row r="105" spans="16:83" x14ac:dyDescent="0.35">
      <c r="P105" s="936"/>
      <c r="Q105" s="194" t="str">
        <f>$Q$9</f>
        <v/>
      </c>
      <c r="R105" s="199">
        <f t="shared" si="239"/>
        <v>0</v>
      </c>
      <c r="S105" s="121">
        <f t="shared" si="239"/>
        <v>0</v>
      </c>
      <c r="T105" s="121">
        <f t="shared" si="239"/>
        <v>0</v>
      </c>
      <c r="U105" s="121">
        <f t="shared" si="239"/>
        <v>0</v>
      </c>
      <c r="V105" s="200">
        <f t="shared" si="239"/>
        <v>0</v>
      </c>
      <c r="W105" s="700">
        <v>0</v>
      </c>
      <c r="X105" s="11">
        <f t="shared" ref="X105:BS105" si="247">X89*X121</f>
        <v>0</v>
      </c>
      <c r="Y105" s="11">
        <f t="shared" si="247"/>
        <v>0</v>
      </c>
      <c r="Z105" s="11">
        <f t="shared" si="247"/>
        <v>0</v>
      </c>
      <c r="AA105" s="11">
        <f t="shared" si="247"/>
        <v>0</v>
      </c>
      <c r="AB105" s="11">
        <f t="shared" si="247"/>
        <v>0</v>
      </c>
      <c r="AC105" s="11">
        <f t="shared" si="247"/>
        <v>0</v>
      </c>
      <c r="AD105" s="11">
        <f t="shared" si="247"/>
        <v>0</v>
      </c>
      <c r="AE105" s="11">
        <f t="shared" si="247"/>
        <v>0</v>
      </c>
      <c r="AF105" s="11">
        <f t="shared" si="247"/>
        <v>0</v>
      </c>
      <c r="AG105" s="11">
        <f t="shared" si="247"/>
        <v>0</v>
      </c>
      <c r="AH105" s="11">
        <f t="shared" si="247"/>
        <v>0</v>
      </c>
      <c r="AI105" s="71">
        <f t="shared" si="247"/>
        <v>0</v>
      </c>
      <c r="AJ105" s="201">
        <f t="shared" si="247"/>
        <v>0</v>
      </c>
      <c r="AK105" s="11">
        <f t="shared" si="247"/>
        <v>0</v>
      </c>
      <c r="AL105" s="11">
        <f t="shared" si="247"/>
        <v>0</v>
      </c>
      <c r="AM105" s="11">
        <f t="shared" si="247"/>
        <v>0</v>
      </c>
      <c r="AN105" s="11">
        <f t="shared" si="247"/>
        <v>0</v>
      </c>
      <c r="AO105" s="11">
        <f t="shared" si="247"/>
        <v>0</v>
      </c>
      <c r="AP105" s="11">
        <f t="shared" si="247"/>
        <v>0</v>
      </c>
      <c r="AQ105" s="11">
        <f t="shared" si="247"/>
        <v>0</v>
      </c>
      <c r="AR105" s="11">
        <f t="shared" si="247"/>
        <v>0</v>
      </c>
      <c r="AS105" s="11">
        <f t="shared" si="247"/>
        <v>0</v>
      </c>
      <c r="AT105" s="11">
        <f t="shared" si="247"/>
        <v>0</v>
      </c>
      <c r="AU105" s="71">
        <f t="shared" si="247"/>
        <v>0</v>
      </c>
      <c r="AV105" s="11">
        <f t="shared" si="247"/>
        <v>0</v>
      </c>
      <c r="AW105" s="11">
        <f t="shared" si="247"/>
        <v>0</v>
      </c>
      <c r="AX105" s="11">
        <f t="shared" si="247"/>
        <v>0</v>
      </c>
      <c r="AY105" s="11">
        <f t="shared" si="247"/>
        <v>0</v>
      </c>
      <c r="AZ105" s="11">
        <f t="shared" si="247"/>
        <v>0</v>
      </c>
      <c r="BA105" s="11">
        <f t="shared" si="247"/>
        <v>0</v>
      </c>
      <c r="BB105" s="11">
        <f t="shared" si="247"/>
        <v>0</v>
      </c>
      <c r="BC105" s="11">
        <f t="shared" si="247"/>
        <v>0</v>
      </c>
      <c r="BD105" s="11">
        <f t="shared" si="247"/>
        <v>0</v>
      </c>
      <c r="BE105" s="11">
        <f t="shared" si="247"/>
        <v>0</v>
      </c>
      <c r="BF105" s="11">
        <f t="shared" si="247"/>
        <v>0</v>
      </c>
      <c r="BG105" s="71">
        <f t="shared" si="247"/>
        <v>0</v>
      </c>
      <c r="BH105" s="11">
        <f t="shared" si="247"/>
        <v>0</v>
      </c>
      <c r="BI105" s="11">
        <f t="shared" si="247"/>
        <v>0</v>
      </c>
      <c r="BJ105" s="11">
        <f t="shared" si="247"/>
        <v>0</v>
      </c>
      <c r="BK105" s="11">
        <f t="shared" si="247"/>
        <v>0</v>
      </c>
      <c r="BL105" s="11">
        <f t="shared" si="247"/>
        <v>0</v>
      </c>
      <c r="BM105" s="11">
        <f t="shared" si="247"/>
        <v>0</v>
      </c>
      <c r="BN105" s="11">
        <f t="shared" si="247"/>
        <v>0</v>
      </c>
      <c r="BO105" s="11">
        <f t="shared" si="247"/>
        <v>0</v>
      </c>
      <c r="BP105" s="11">
        <f t="shared" si="247"/>
        <v>0</v>
      </c>
      <c r="BQ105" s="11">
        <f t="shared" si="247"/>
        <v>0</v>
      </c>
      <c r="BR105" s="11">
        <f t="shared" si="247"/>
        <v>0</v>
      </c>
      <c r="BS105" s="71">
        <f t="shared" si="247"/>
        <v>0</v>
      </c>
      <c r="BT105" s="11">
        <f t="shared" ref="BT105:CE105" si="248">BT89*BT121</f>
        <v>0</v>
      </c>
      <c r="BU105" s="11">
        <f t="shared" si="248"/>
        <v>0</v>
      </c>
      <c r="BV105" s="11">
        <f t="shared" si="248"/>
        <v>0</v>
      </c>
      <c r="BW105" s="11">
        <f t="shared" si="248"/>
        <v>0</v>
      </c>
      <c r="BX105" s="11">
        <f t="shared" si="248"/>
        <v>0</v>
      </c>
      <c r="BY105" s="11">
        <f t="shared" si="248"/>
        <v>0</v>
      </c>
      <c r="BZ105" s="11">
        <f t="shared" si="248"/>
        <v>0</v>
      </c>
      <c r="CA105" s="11">
        <f t="shared" si="248"/>
        <v>0</v>
      </c>
      <c r="CB105" s="11">
        <f t="shared" si="248"/>
        <v>0</v>
      </c>
      <c r="CC105" s="11">
        <f t="shared" si="248"/>
        <v>0</v>
      </c>
      <c r="CD105" s="11">
        <f t="shared" si="248"/>
        <v>0</v>
      </c>
      <c r="CE105" s="88">
        <f t="shared" si="248"/>
        <v>0</v>
      </c>
    </row>
    <row r="106" spans="16:83" x14ac:dyDescent="0.35">
      <c r="P106" s="936"/>
      <c r="Q106" s="194" t="str">
        <f>$Q$10</f>
        <v/>
      </c>
      <c r="R106" s="199">
        <f t="shared" si="239"/>
        <v>0</v>
      </c>
      <c r="S106" s="121">
        <f t="shared" si="239"/>
        <v>0</v>
      </c>
      <c r="T106" s="121">
        <f t="shared" si="239"/>
        <v>0</v>
      </c>
      <c r="U106" s="121">
        <f t="shared" si="239"/>
        <v>0</v>
      </c>
      <c r="V106" s="200">
        <f t="shared" si="239"/>
        <v>0</v>
      </c>
      <c r="W106" s="700">
        <v>0</v>
      </c>
      <c r="X106" s="11">
        <f t="shared" ref="X106:BS106" si="249">X90*X122</f>
        <v>0</v>
      </c>
      <c r="Y106" s="11">
        <f t="shared" si="249"/>
        <v>0</v>
      </c>
      <c r="Z106" s="11">
        <f t="shared" si="249"/>
        <v>0</v>
      </c>
      <c r="AA106" s="11">
        <f t="shared" si="249"/>
        <v>0</v>
      </c>
      <c r="AB106" s="11">
        <f t="shared" si="249"/>
        <v>0</v>
      </c>
      <c r="AC106" s="11">
        <f t="shared" si="249"/>
        <v>0</v>
      </c>
      <c r="AD106" s="11">
        <f t="shared" si="249"/>
        <v>0</v>
      </c>
      <c r="AE106" s="11">
        <f t="shared" si="249"/>
        <v>0</v>
      </c>
      <c r="AF106" s="11">
        <f t="shared" si="249"/>
        <v>0</v>
      </c>
      <c r="AG106" s="11">
        <f t="shared" si="249"/>
        <v>0</v>
      </c>
      <c r="AH106" s="11">
        <f t="shared" si="249"/>
        <v>0</v>
      </c>
      <c r="AI106" s="71">
        <f t="shared" si="249"/>
        <v>0</v>
      </c>
      <c r="AJ106" s="201">
        <f t="shared" si="249"/>
        <v>0</v>
      </c>
      <c r="AK106" s="11">
        <f t="shared" si="249"/>
        <v>0</v>
      </c>
      <c r="AL106" s="11">
        <f t="shared" si="249"/>
        <v>0</v>
      </c>
      <c r="AM106" s="11">
        <f t="shared" si="249"/>
        <v>0</v>
      </c>
      <c r="AN106" s="11">
        <f t="shared" si="249"/>
        <v>0</v>
      </c>
      <c r="AO106" s="11">
        <f t="shared" si="249"/>
        <v>0</v>
      </c>
      <c r="AP106" s="11">
        <f t="shared" si="249"/>
        <v>0</v>
      </c>
      <c r="AQ106" s="11">
        <f t="shared" si="249"/>
        <v>0</v>
      </c>
      <c r="AR106" s="11">
        <f t="shared" si="249"/>
        <v>0</v>
      </c>
      <c r="AS106" s="11">
        <f t="shared" si="249"/>
        <v>0</v>
      </c>
      <c r="AT106" s="11">
        <f t="shared" si="249"/>
        <v>0</v>
      </c>
      <c r="AU106" s="71">
        <f t="shared" si="249"/>
        <v>0</v>
      </c>
      <c r="AV106" s="11">
        <f t="shared" si="249"/>
        <v>0</v>
      </c>
      <c r="AW106" s="11">
        <f t="shared" si="249"/>
        <v>0</v>
      </c>
      <c r="AX106" s="11">
        <f t="shared" si="249"/>
        <v>0</v>
      </c>
      <c r="AY106" s="11">
        <f t="shared" si="249"/>
        <v>0</v>
      </c>
      <c r="AZ106" s="11">
        <f t="shared" si="249"/>
        <v>0</v>
      </c>
      <c r="BA106" s="11">
        <f t="shared" si="249"/>
        <v>0</v>
      </c>
      <c r="BB106" s="11">
        <f t="shared" si="249"/>
        <v>0</v>
      </c>
      <c r="BC106" s="11">
        <f t="shared" si="249"/>
        <v>0</v>
      </c>
      <c r="BD106" s="11">
        <f t="shared" si="249"/>
        <v>0</v>
      </c>
      <c r="BE106" s="11">
        <f t="shared" si="249"/>
        <v>0</v>
      </c>
      <c r="BF106" s="11">
        <f t="shared" si="249"/>
        <v>0</v>
      </c>
      <c r="BG106" s="71">
        <f t="shared" si="249"/>
        <v>0</v>
      </c>
      <c r="BH106" s="11">
        <f t="shared" si="249"/>
        <v>0</v>
      </c>
      <c r="BI106" s="11">
        <f t="shared" si="249"/>
        <v>0</v>
      </c>
      <c r="BJ106" s="11">
        <f t="shared" si="249"/>
        <v>0</v>
      </c>
      <c r="BK106" s="11">
        <f t="shared" si="249"/>
        <v>0</v>
      </c>
      <c r="BL106" s="11">
        <f t="shared" si="249"/>
        <v>0</v>
      </c>
      <c r="BM106" s="11">
        <f t="shared" si="249"/>
        <v>0</v>
      </c>
      <c r="BN106" s="11">
        <f t="shared" si="249"/>
        <v>0</v>
      </c>
      <c r="BO106" s="11">
        <f t="shared" si="249"/>
        <v>0</v>
      </c>
      <c r="BP106" s="11">
        <f t="shared" si="249"/>
        <v>0</v>
      </c>
      <c r="BQ106" s="11">
        <f t="shared" si="249"/>
        <v>0</v>
      </c>
      <c r="BR106" s="11">
        <f t="shared" si="249"/>
        <v>0</v>
      </c>
      <c r="BS106" s="71">
        <f t="shared" si="249"/>
        <v>0</v>
      </c>
      <c r="BT106" s="11">
        <f t="shared" ref="BT106:CE106" si="250">BT90*BT122</f>
        <v>0</v>
      </c>
      <c r="BU106" s="11">
        <f t="shared" si="250"/>
        <v>0</v>
      </c>
      <c r="BV106" s="11">
        <f t="shared" si="250"/>
        <v>0</v>
      </c>
      <c r="BW106" s="11">
        <f t="shared" si="250"/>
        <v>0</v>
      </c>
      <c r="BX106" s="11">
        <f t="shared" si="250"/>
        <v>0</v>
      </c>
      <c r="BY106" s="11">
        <f t="shared" si="250"/>
        <v>0</v>
      </c>
      <c r="BZ106" s="11">
        <f t="shared" si="250"/>
        <v>0</v>
      </c>
      <c r="CA106" s="11">
        <f t="shared" si="250"/>
        <v>0</v>
      </c>
      <c r="CB106" s="11">
        <f t="shared" si="250"/>
        <v>0</v>
      </c>
      <c r="CC106" s="11">
        <f t="shared" si="250"/>
        <v>0</v>
      </c>
      <c r="CD106" s="11">
        <f t="shared" si="250"/>
        <v>0</v>
      </c>
      <c r="CE106" s="88">
        <f t="shared" si="250"/>
        <v>0</v>
      </c>
    </row>
    <row r="107" spans="16:83" x14ac:dyDescent="0.35">
      <c r="P107" s="936"/>
      <c r="Q107" s="194" t="str">
        <f>$Q$11</f>
        <v/>
      </c>
      <c r="R107" s="199">
        <f t="shared" si="239"/>
        <v>0</v>
      </c>
      <c r="S107" s="121">
        <f t="shared" si="239"/>
        <v>0</v>
      </c>
      <c r="T107" s="121">
        <f t="shared" si="239"/>
        <v>0</v>
      </c>
      <c r="U107" s="121">
        <f t="shared" si="239"/>
        <v>0</v>
      </c>
      <c r="V107" s="200">
        <f t="shared" si="239"/>
        <v>0</v>
      </c>
      <c r="W107" s="700">
        <v>0</v>
      </c>
      <c r="X107" s="11">
        <f t="shared" ref="X107:BS107" si="251">X91*X123</f>
        <v>0</v>
      </c>
      <c r="Y107" s="11">
        <f t="shared" si="251"/>
        <v>0</v>
      </c>
      <c r="Z107" s="11">
        <f t="shared" si="251"/>
        <v>0</v>
      </c>
      <c r="AA107" s="11">
        <f t="shared" si="251"/>
        <v>0</v>
      </c>
      <c r="AB107" s="11">
        <f t="shared" si="251"/>
        <v>0</v>
      </c>
      <c r="AC107" s="11">
        <f t="shared" si="251"/>
        <v>0</v>
      </c>
      <c r="AD107" s="11">
        <f t="shared" si="251"/>
        <v>0</v>
      </c>
      <c r="AE107" s="11">
        <f t="shared" si="251"/>
        <v>0</v>
      </c>
      <c r="AF107" s="11">
        <f t="shared" si="251"/>
        <v>0</v>
      </c>
      <c r="AG107" s="11">
        <f t="shared" si="251"/>
        <v>0</v>
      </c>
      <c r="AH107" s="11">
        <f t="shared" si="251"/>
        <v>0</v>
      </c>
      <c r="AI107" s="71">
        <f t="shared" si="251"/>
        <v>0</v>
      </c>
      <c r="AJ107" s="201">
        <f t="shared" si="251"/>
        <v>0</v>
      </c>
      <c r="AK107" s="11">
        <f t="shared" si="251"/>
        <v>0</v>
      </c>
      <c r="AL107" s="11">
        <f t="shared" si="251"/>
        <v>0</v>
      </c>
      <c r="AM107" s="11">
        <f t="shared" si="251"/>
        <v>0</v>
      </c>
      <c r="AN107" s="11">
        <f t="shared" si="251"/>
        <v>0</v>
      </c>
      <c r="AO107" s="11">
        <f t="shared" si="251"/>
        <v>0</v>
      </c>
      <c r="AP107" s="11">
        <f t="shared" si="251"/>
        <v>0</v>
      </c>
      <c r="AQ107" s="11">
        <f t="shared" si="251"/>
        <v>0</v>
      </c>
      <c r="AR107" s="11">
        <f t="shared" si="251"/>
        <v>0</v>
      </c>
      <c r="AS107" s="11">
        <f t="shared" si="251"/>
        <v>0</v>
      </c>
      <c r="AT107" s="11">
        <f t="shared" si="251"/>
        <v>0</v>
      </c>
      <c r="AU107" s="71">
        <f t="shared" si="251"/>
        <v>0</v>
      </c>
      <c r="AV107" s="11">
        <f t="shared" si="251"/>
        <v>0</v>
      </c>
      <c r="AW107" s="11">
        <f t="shared" si="251"/>
        <v>0</v>
      </c>
      <c r="AX107" s="11">
        <f t="shared" si="251"/>
        <v>0</v>
      </c>
      <c r="AY107" s="11">
        <f t="shared" si="251"/>
        <v>0</v>
      </c>
      <c r="AZ107" s="11">
        <f t="shared" si="251"/>
        <v>0</v>
      </c>
      <c r="BA107" s="11">
        <f t="shared" si="251"/>
        <v>0</v>
      </c>
      <c r="BB107" s="11">
        <f t="shared" si="251"/>
        <v>0</v>
      </c>
      <c r="BC107" s="11">
        <f t="shared" si="251"/>
        <v>0</v>
      </c>
      <c r="BD107" s="11">
        <f t="shared" si="251"/>
        <v>0</v>
      </c>
      <c r="BE107" s="11">
        <f t="shared" si="251"/>
        <v>0</v>
      </c>
      <c r="BF107" s="11">
        <f t="shared" si="251"/>
        <v>0</v>
      </c>
      <c r="BG107" s="71">
        <f t="shared" si="251"/>
        <v>0</v>
      </c>
      <c r="BH107" s="11">
        <f t="shared" si="251"/>
        <v>0</v>
      </c>
      <c r="BI107" s="11">
        <f t="shared" si="251"/>
        <v>0</v>
      </c>
      <c r="BJ107" s="11">
        <f t="shared" si="251"/>
        <v>0</v>
      </c>
      <c r="BK107" s="11">
        <f t="shared" si="251"/>
        <v>0</v>
      </c>
      <c r="BL107" s="11">
        <f t="shared" si="251"/>
        <v>0</v>
      </c>
      <c r="BM107" s="11">
        <f t="shared" si="251"/>
        <v>0</v>
      </c>
      <c r="BN107" s="11">
        <f t="shared" si="251"/>
        <v>0</v>
      </c>
      <c r="BO107" s="11">
        <f t="shared" si="251"/>
        <v>0</v>
      </c>
      <c r="BP107" s="11">
        <f t="shared" si="251"/>
        <v>0</v>
      </c>
      <c r="BQ107" s="11">
        <f t="shared" si="251"/>
        <v>0</v>
      </c>
      <c r="BR107" s="11">
        <f t="shared" si="251"/>
        <v>0</v>
      </c>
      <c r="BS107" s="71">
        <f t="shared" si="251"/>
        <v>0</v>
      </c>
      <c r="BT107" s="11">
        <f t="shared" ref="BT107:CE107" si="252">BT91*BT123</f>
        <v>0</v>
      </c>
      <c r="BU107" s="11">
        <f t="shared" si="252"/>
        <v>0</v>
      </c>
      <c r="BV107" s="11">
        <f t="shared" si="252"/>
        <v>0</v>
      </c>
      <c r="BW107" s="11">
        <f t="shared" si="252"/>
        <v>0</v>
      </c>
      <c r="BX107" s="11">
        <f t="shared" si="252"/>
        <v>0</v>
      </c>
      <c r="BY107" s="11">
        <f t="shared" si="252"/>
        <v>0</v>
      </c>
      <c r="BZ107" s="11">
        <f t="shared" si="252"/>
        <v>0</v>
      </c>
      <c r="CA107" s="11">
        <f t="shared" si="252"/>
        <v>0</v>
      </c>
      <c r="CB107" s="11">
        <f t="shared" si="252"/>
        <v>0</v>
      </c>
      <c r="CC107" s="11">
        <f t="shared" si="252"/>
        <v>0</v>
      </c>
      <c r="CD107" s="11">
        <f t="shared" si="252"/>
        <v>0</v>
      </c>
      <c r="CE107" s="88">
        <f t="shared" si="252"/>
        <v>0</v>
      </c>
    </row>
    <row r="108" spans="16:83" x14ac:dyDescent="0.35">
      <c r="P108" s="936"/>
      <c r="Q108" s="196" t="str">
        <f>$Q$12</f>
        <v/>
      </c>
      <c r="R108" s="199">
        <f t="shared" si="239"/>
        <v>0</v>
      </c>
      <c r="S108" s="121">
        <f t="shared" si="239"/>
        <v>0</v>
      </c>
      <c r="T108" s="121">
        <f t="shared" si="239"/>
        <v>0</v>
      </c>
      <c r="U108" s="121">
        <f t="shared" si="239"/>
        <v>0</v>
      </c>
      <c r="V108" s="200">
        <f t="shared" si="239"/>
        <v>0</v>
      </c>
      <c r="W108" s="700">
        <v>0</v>
      </c>
      <c r="X108" s="11">
        <f t="shared" ref="X108:BS108" si="253">X92*X124</f>
        <v>0</v>
      </c>
      <c r="Y108" s="11">
        <f t="shared" si="253"/>
        <v>0</v>
      </c>
      <c r="Z108" s="11">
        <f t="shared" si="253"/>
        <v>0</v>
      </c>
      <c r="AA108" s="11">
        <f t="shared" si="253"/>
        <v>0</v>
      </c>
      <c r="AB108" s="11">
        <f t="shared" si="253"/>
        <v>0</v>
      </c>
      <c r="AC108" s="11">
        <f t="shared" si="253"/>
        <v>0</v>
      </c>
      <c r="AD108" s="11">
        <f t="shared" si="253"/>
        <v>0</v>
      </c>
      <c r="AE108" s="11">
        <f t="shared" si="253"/>
        <v>0</v>
      </c>
      <c r="AF108" s="11">
        <f t="shared" si="253"/>
        <v>0</v>
      </c>
      <c r="AG108" s="11">
        <f t="shared" si="253"/>
        <v>0</v>
      </c>
      <c r="AH108" s="11">
        <f t="shared" si="253"/>
        <v>0</v>
      </c>
      <c r="AI108" s="71">
        <f t="shared" si="253"/>
        <v>0</v>
      </c>
      <c r="AJ108" s="201">
        <f t="shared" si="253"/>
        <v>0</v>
      </c>
      <c r="AK108" s="11">
        <f t="shared" si="253"/>
        <v>0</v>
      </c>
      <c r="AL108" s="11">
        <f t="shared" si="253"/>
        <v>0</v>
      </c>
      <c r="AM108" s="11">
        <f t="shared" si="253"/>
        <v>0</v>
      </c>
      <c r="AN108" s="11">
        <f t="shared" si="253"/>
        <v>0</v>
      </c>
      <c r="AO108" s="11">
        <f t="shared" si="253"/>
        <v>0</v>
      </c>
      <c r="AP108" s="11">
        <f t="shared" si="253"/>
        <v>0</v>
      </c>
      <c r="AQ108" s="11">
        <f t="shared" si="253"/>
        <v>0</v>
      </c>
      <c r="AR108" s="11">
        <f t="shared" si="253"/>
        <v>0</v>
      </c>
      <c r="AS108" s="11">
        <f t="shared" si="253"/>
        <v>0</v>
      </c>
      <c r="AT108" s="11">
        <f t="shared" si="253"/>
        <v>0</v>
      </c>
      <c r="AU108" s="71">
        <f t="shared" si="253"/>
        <v>0</v>
      </c>
      <c r="AV108" s="11">
        <f t="shared" si="253"/>
        <v>0</v>
      </c>
      <c r="AW108" s="11">
        <f t="shared" si="253"/>
        <v>0</v>
      </c>
      <c r="AX108" s="11">
        <f t="shared" si="253"/>
        <v>0</v>
      </c>
      <c r="AY108" s="11">
        <f t="shared" si="253"/>
        <v>0</v>
      </c>
      <c r="AZ108" s="11">
        <f t="shared" si="253"/>
        <v>0</v>
      </c>
      <c r="BA108" s="11">
        <f t="shared" si="253"/>
        <v>0</v>
      </c>
      <c r="BB108" s="11">
        <f t="shared" si="253"/>
        <v>0</v>
      </c>
      <c r="BC108" s="11">
        <f t="shared" si="253"/>
        <v>0</v>
      </c>
      <c r="BD108" s="11">
        <f t="shared" si="253"/>
        <v>0</v>
      </c>
      <c r="BE108" s="11">
        <f t="shared" si="253"/>
        <v>0</v>
      </c>
      <c r="BF108" s="11">
        <f t="shared" si="253"/>
        <v>0</v>
      </c>
      <c r="BG108" s="71">
        <f t="shared" si="253"/>
        <v>0</v>
      </c>
      <c r="BH108" s="11">
        <f t="shared" si="253"/>
        <v>0</v>
      </c>
      <c r="BI108" s="11">
        <f t="shared" si="253"/>
        <v>0</v>
      </c>
      <c r="BJ108" s="11">
        <f t="shared" si="253"/>
        <v>0</v>
      </c>
      <c r="BK108" s="11">
        <f t="shared" si="253"/>
        <v>0</v>
      </c>
      <c r="BL108" s="11">
        <f t="shared" si="253"/>
        <v>0</v>
      </c>
      <c r="BM108" s="11">
        <f t="shared" si="253"/>
        <v>0</v>
      </c>
      <c r="BN108" s="11">
        <f t="shared" si="253"/>
        <v>0</v>
      </c>
      <c r="BO108" s="11">
        <f t="shared" si="253"/>
        <v>0</v>
      </c>
      <c r="BP108" s="11">
        <f t="shared" si="253"/>
        <v>0</v>
      </c>
      <c r="BQ108" s="11">
        <f t="shared" si="253"/>
        <v>0</v>
      </c>
      <c r="BR108" s="11">
        <f t="shared" si="253"/>
        <v>0</v>
      </c>
      <c r="BS108" s="71">
        <f t="shared" si="253"/>
        <v>0</v>
      </c>
      <c r="BT108" s="11">
        <f t="shared" ref="BT108:CE108" si="254">BT92*BT124</f>
        <v>0</v>
      </c>
      <c r="BU108" s="11">
        <f t="shared" si="254"/>
        <v>0</v>
      </c>
      <c r="BV108" s="11">
        <f t="shared" si="254"/>
        <v>0</v>
      </c>
      <c r="BW108" s="11">
        <f t="shared" si="254"/>
        <v>0</v>
      </c>
      <c r="BX108" s="11">
        <f t="shared" si="254"/>
        <v>0</v>
      </c>
      <c r="BY108" s="11">
        <f t="shared" si="254"/>
        <v>0</v>
      </c>
      <c r="BZ108" s="11">
        <f t="shared" si="254"/>
        <v>0</v>
      </c>
      <c r="CA108" s="11">
        <f t="shared" si="254"/>
        <v>0</v>
      </c>
      <c r="CB108" s="11">
        <f t="shared" si="254"/>
        <v>0</v>
      </c>
      <c r="CC108" s="11">
        <f t="shared" si="254"/>
        <v>0</v>
      </c>
      <c r="CD108" s="11">
        <f t="shared" si="254"/>
        <v>0</v>
      </c>
      <c r="CE108" s="88">
        <f t="shared" si="254"/>
        <v>0</v>
      </c>
    </row>
    <row r="109" spans="16:83" x14ac:dyDescent="0.35">
      <c r="P109" s="936"/>
      <c r="Q109" s="196" t="str">
        <f>$Q$13</f>
        <v/>
      </c>
      <c r="R109" s="199">
        <f t="shared" si="239"/>
        <v>0</v>
      </c>
      <c r="S109" s="121">
        <f t="shared" si="239"/>
        <v>0</v>
      </c>
      <c r="T109" s="121">
        <f t="shared" si="239"/>
        <v>0</v>
      </c>
      <c r="U109" s="121">
        <f t="shared" si="239"/>
        <v>0</v>
      </c>
      <c r="V109" s="200">
        <f t="shared" si="239"/>
        <v>0</v>
      </c>
      <c r="W109" s="700">
        <v>0</v>
      </c>
      <c r="X109" s="11">
        <f t="shared" ref="X109:BS109" si="255">X93*X125</f>
        <v>0</v>
      </c>
      <c r="Y109" s="11">
        <f t="shared" si="255"/>
        <v>0</v>
      </c>
      <c r="Z109" s="11">
        <f t="shared" si="255"/>
        <v>0</v>
      </c>
      <c r="AA109" s="11">
        <f t="shared" si="255"/>
        <v>0</v>
      </c>
      <c r="AB109" s="11">
        <f t="shared" si="255"/>
        <v>0</v>
      </c>
      <c r="AC109" s="11">
        <f t="shared" si="255"/>
        <v>0</v>
      </c>
      <c r="AD109" s="11">
        <f t="shared" si="255"/>
        <v>0</v>
      </c>
      <c r="AE109" s="11">
        <f t="shared" si="255"/>
        <v>0</v>
      </c>
      <c r="AF109" s="11">
        <f t="shared" si="255"/>
        <v>0</v>
      </c>
      <c r="AG109" s="11">
        <f t="shared" si="255"/>
        <v>0</v>
      </c>
      <c r="AH109" s="11">
        <f t="shared" si="255"/>
        <v>0</v>
      </c>
      <c r="AI109" s="71">
        <f t="shared" si="255"/>
        <v>0</v>
      </c>
      <c r="AJ109" s="201">
        <f t="shared" si="255"/>
        <v>0</v>
      </c>
      <c r="AK109" s="11">
        <f t="shared" si="255"/>
        <v>0</v>
      </c>
      <c r="AL109" s="11">
        <f t="shared" si="255"/>
        <v>0</v>
      </c>
      <c r="AM109" s="11">
        <f t="shared" si="255"/>
        <v>0</v>
      </c>
      <c r="AN109" s="11">
        <f t="shared" si="255"/>
        <v>0</v>
      </c>
      <c r="AO109" s="11">
        <f t="shared" si="255"/>
        <v>0</v>
      </c>
      <c r="AP109" s="11">
        <f t="shared" si="255"/>
        <v>0</v>
      </c>
      <c r="AQ109" s="11">
        <f t="shared" si="255"/>
        <v>0</v>
      </c>
      <c r="AR109" s="11">
        <f t="shared" si="255"/>
        <v>0</v>
      </c>
      <c r="AS109" s="11">
        <f t="shared" si="255"/>
        <v>0</v>
      </c>
      <c r="AT109" s="11">
        <f t="shared" si="255"/>
        <v>0</v>
      </c>
      <c r="AU109" s="71">
        <f t="shared" si="255"/>
        <v>0</v>
      </c>
      <c r="AV109" s="11">
        <f t="shared" si="255"/>
        <v>0</v>
      </c>
      <c r="AW109" s="11">
        <f t="shared" si="255"/>
        <v>0</v>
      </c>
      <c r="AX109" s="11">
        <f t="shared" si="255"/>
        <v>0</v>
      </c>
      <c r="AY109" s="11">
        <f t="shared" si="255"/>
        <v>0</v>
      </c>
      <c r="AZ109" s="11">
        <f t="shared" si="255"/>
        <v>0</v>
      </c>
      <c r="BA109" s="11">
        <f t="shared" si="255"/>
        <v>0</v>
      </c>
      <c r="BB109" s="11">
        <f t="shared" si="255"/>
        <v>0</v>
      </c>
      <c r="BC109" s="11">
        <f t="shared" si="255"/>
        <v>0</v>
      </c>
      <c r="BD109" s="11">
        <f t="shared" si="255"/>
        <v>0</v>
      </c>
      <c r="BE109" s="11">
        <f t="shared" si="255"/>
        <v>0</v>
      </c>
      <c r="BF109" s="11">
        <f t="shared" si="255"/>
        <v>0</v>
      </c>
      <c r="BG109" s="71">
        <f t="shared" si="255"/>
        <v>0</v>
      </c>
      <c r="BH109" s="11">
        <f t="shared" si="255"/>
        <v>0</v>
      </c>
      <c r="BI109" s="11">
        <f t="shared" si="255"/>
        <v>0</v>
      </c>
      <c r="BJ109" s="11">
        <f t="shared" si="255"/>
        <v>0</v>
      </c>
      <c r="BK109" s="11">
        <f t="shared" si="255"/>
        <v>0</v>
      </c>
      <c r="BL109" s="11">
        <f t="shared" si="255"/>
        <v>0</v>
      </c>
      <c r="BM109" s="11">
        <f t="shared" si="255"/>
        <v>0</v>
      </c>
      <c r="BN109" s="11">
        <f t="shared" si="255"/>
        <v>0</v>
      </c>
      <c r="BO109" s="11">
        <f t="shared" si="255"/>
        <v>0</v>
      </c>
      <c r="BP109" s="11">
        <f t="shared" si="255"/>
        <v>0</v>
      </c>
      <c r="BQ109" s="11">
        <f t="shared" si="255"/>
        <v>0</v>
      </c>
      <c r="BR109" s="11">
        <f t="shared" si="255"/>
        <v>0</v>
      </c>
      <c r="BS109" s="71">
        <f t="shared" si="255"/>
        <v>0</v>
      </c>
      <c r="BT109" s="11">
        <f t="shared" ref="BT109:CE109" si="256">BT93*BT125</f>
        <v>0</v>
      </c>
      <c r="BU109" s="11">
        <f t="shared" si="256"/>
        <v>0</v>
      </c>
      <c r="BV109" s="11">
        <f t="shared" si="256"/>
        <v>0</v>
      </c>
      <c r="BW109" s="11">
        <f t="shared" si="256"/>
        <v>0</v>
      </c>
      <c r="BX109" s="11">
        <f t="shared" si="256"/>
        <v>0</v>
      </c>
      <c r="BY109" s="11">
        <f t="shared" si="256"/>
        <v>0</v>
      </c>
      <c r="BZ109" s="11">
        <f t="shared" si="256"/>
        <v>0</v>
      </c>
      <c r="CA109" s="11">
        <f t="shared" si="256"/>
        <v>0</v>
      </c>
      <c r="CB109" s="11">
        <f t="shared" si="256"/>
        <v>0</v>
      </c>
      <c r="CC109" s="11">
        <f t="shared" si="256"/>
        <v>0</v>
      </c>
      <c r="CD109" s="11">
        <f t="shared" si="256"/>
        <v>0</v>
      </c>
      <c r="CE109" s="88">
        <f t="shared" si="256"/>
        <v>0</v>
      </c>
    </row>
    <row r="110" spans="16:83" x14ac:dyDescent="0.35">
      <c r="P110" s="936"/>
      <c r="Q110" s="196" t="str">
        <f>$Q$14</f>
        <v/>
      </c>
      <c r="R110" s="199">
        <f t="shared" si="239"/>
        <v>0</v>
      </c>
      <c r="S110" s="121">
        <f t="shared" si="239"/>
        <v>0</v>
      </c>
      <c r="T110" s="121">
        <f t="shared" si="239"/>
        <v>0</v>
      </c>
      <c r="U110" s="121">
        <f t="shared" si="239"/>
        <v>0</v>
      </c>
      <c r="V110" s="200">
        <f t="shared" si="239"/>
        <v>0</v>
      </c>
      <c r="W110" s="700">
        <v>0</v>
      </c>
      <c r="X110" s="11">
        <f t="shared" ref="X110:BS110" si="257">X94*X126</f>
        <v>0</v>
      </c>
      <c r="Y110" s="11">
        <f t="shared" si="257"/>
        <v>0</v>
      </c>
      <c r="Z110" s="11">
        <f t="shared" si="257"/>
        <v>0</v>
      </c>
      <c r="AA110" s="11">
        <f t="shared" si="257"/>
        <v>0</v>
      </c>
      <c r="AB110" s="11">
        <f t="shared" si="257"/>
        <v>0</v>
      </c>
      <c r="AC110" s="11">
        <f t="shared" si="257"/>
        <v>0</v>
      </c>
      <c r="AD110" s="11">
        <f t="shared" si="257"/>
        <v>0</v>
      </c>
      <c r="AE110" s="11">
        <f t="shared" si="257"/>
        <v>0</v>
      </c>
      <c r="AF110" s="11">
        <f t="shared" si="257"/>
        <v>0</v>
      </c>
      <c r="AG110" s="11">
        <f t="shared" si="257"/>
        <v>0</v>
      </c>
      <c r="AH110" s="11">
        <f t="shared" si="257"/>
        <v>0</v>
      </c>
      <c r="AI110" s="71">
        <f t="shared" si="257"/>
        <v>0</v>
      </c>
      <c r="AJ110" s="201">
        <f t="shared" si="257"/>
        <v>0</v>
      </c>
      <c r="AK110" s="11">
        <f t="shared" si="257"/>
        <v>0</v>
      </c>
      <c r="AL110" s="11">
        <f t="shared" si="257"/>
        <v>0</v>
      </c>
      <c r="AM110" s="11">
        <f t="shared" si="257"/>
        <v>0</v>
      </c>
      <c r="AN110" s="11">
        <f t="shared" si="257"/>
        <v>0</v>
      </c>
      <c r="AO110" s="11">
        <f t="shared" si="257"/>
        <v>0</v>
      </c>
      <c r="AP110" s="11">
        <f t="shared" si="257"/>
        <v>0</v>
      </c>
      <c r="AQ110" s="11">
        <f t="shared" si="257"/>
        <v>0</v>
      </c>
      <c r="AR110" s="11">
        <f t="shared" si="257"/>
        <v>0</v>
      </c>
      <c r="AS110" s="11">
        <f t="shared" si="257"/>
        <v>0</v>
      </c>
      <c r="AT110" s="11">
        <f t="shared" si="257"/>
        <v>0</v>
      </c>
      <c r="AU110" s="71">
        <f t="shared" si="257"/>
        <v>0</v>
      </c>
      <c r="AV110" s="11">
        <f t="shared" si="257"/>
        <v>0</v>
      </c>
      <c r="AW110" s="11">
        <f t="shared" si="257"/>
        <v>0</v>
      </c>
      <c r="AX110" s="11">
        <f t="shared" si="257"/>
        <v>0</v>
      </c>
      <c r="AY110" s="11">
        <f t="shared" si="257"/>
        <v>0</v>
      </c>
      <c r="AZ110" s="11">
        <f t="shared" si="257"/>
        <v>0</v>
      </c>
      <c r="BA110" s="11">
        <f t="shared" si="257"/>
        <v>0</v>
      </c>
      <c r="BB110" s="11">
        <f t="shared" si="257"/>
        <v>0</v>
      </c>
      <c r="BC110" s="11">
        <f t="shared" si="257"/>
        <v>0</v>
      </c>
      <c r="BD110" s="11">
        <f t="shared" si="257"/>
        <v>0</v>
      </c>
      <c r="BE110" s="11">
        <f t="shared" si="257"/>
        <v>0</v>
      </c>
      <c r="BF110" s="11">
        <f t="shared" si="257"/>
        <v>0</v>
      </c>
      <c r="BG110" s="71">
        <f t="shared" si="257"/>
        <v>0</v>
      </c>
      <c r="BH110" s="11">
        <f t="shared" si="257"/>
        <v>0</v>
      </c>
      <c r="BI110" s="11">
        <f t="shared" si="257"/>
        <v>0</v>
      </c>
      <c r="BJ110" s="11">
        <f t="shared" si="257"/>
        <v>0</v>
      </c>
      <c r="BK110" s="11">
        <f t="shared" si="257"/>
        <v>0</v>
      </c>
      <c r="BL110" s="11">
        <f t="shared" si="257"/>
        <v>0</v>
      </c>
      <c r="BM110" s="11">
        <f t="shared" si="257"/>
        <v>0</v>
      </c>
      <c r="BN110" s="11">
        <f t="shared" si="257"/>
        <v>0</v>
      </c>
      <c r="BO110" s="11">
        <f t="shared" si="257"/>
        <v>0</v>
      </c>
      <c r="BP110" s="11">
        <f t="shared" si="257"/>
        <v>0</v>
      </c>
      <c r="BQ110" s="11">
        <f t="shared" si="257"/>
        <v>0</v>
      </c>
      <c r="BR110" s="11">
        <f t="shared" si="257"/>
        <v>0</v>
      </c>
      <c r="BS110" s="71">
        <f t="shared" si="257"/>
        <v>0</v>
      </c>
      <c r="BT110" s="11">
        <f t="shared" ref="BT110:CE110" si="258">BT94*BT126</f>
        <v>0</v>
      </c>
      <c r="BU110" s="11">
        <f t="shared" si="258"/>
        <v>0</v>
      </c>
      <c r="BV110" s="11">
        <f t="shared" si="258"/>
        <v>0</v>
      </c>
      <c r="BW110" s="11">
        <f t="shared" si="258"/>
        <v>0</v>
      </c>
      <c r="BX110" s="11">
        <f t="shared" si="258"/>
        <v>0</v>
      </c>
      <c r="BY110" s="11">
        <f t="shared" si="258"/>
        <v>0</v>
      </c>
      <c r="BZ110" s="11">
        <f t="shared" si="258"/>
        <v>0</v>
      </c>
      <c r="CA110" s="11">
        <f t="shared" si="258"/>
        <v>0</v>
      </c>
      <c r="CB110" s="11">
        <f t="shared" si="258"/>
        <v>0</v>
      </c>
      <c r="CC110" s="11">
        <f t="shared" si="258"/>
        <v>0</v>
      </c>
      <c r="CD110" s="11">
        <f t="shared" si="258"/>
        <v>0</v>
      </c>
      <c r="CE110" s="88">
        <f t="shared" si="258"/>
        <v>0</v>
      </c>
    </row>
    <row r="111" spans="16:83" x14ac:dyDescent="0.35">
      <c r="P111" s="936"/>
      <c r="Q111" s="194" t="str">
        <f>$Q$15</f>
        <v/>
      </c>
      <c r="R111" s="199">
        <f t="shared" si="239"/>
        <v>0</v>
      </c>
      <c r="S111" s="121">
        <f t="shared" si="239"/>
        <v>0</v>
      </c>
      <c r="T111" s="121">
        <f t="shared" si="239"/>
        <v>0</v>
      </c>
      <c r="U111" s="121">
        <f t="shared" si="239"/>
        <v>0</v>
      </c>
      <c r="V111" s="200">
        <f t="shared" si="239"/>
        <v>0</v>
      </c>
      <c r="W111" s="700">
        <v>0</v>
      </c>
      <c r="X111" s="11">
        <f t="shared" ref="X111:BS111" si="259">X95*X127</f>
        <v>0</v>
      </c>
      <c r="Y111" s="11">
        <f t="shared" si="259"/>
        <v>0</v>
      </c>
      <c r="Z111" s="11">
        <f t="shared" si="259"/>
        <v>0</v>
      </c>
      <c r="AA111" s="11">
        <f t="shared" si="259"/>
        <v>0</v>
      </c>
      <c r="AB111" s="11">
        <f t="shared" si="259"/>
        <v>0</v>
      </c>
      <c r="AC111" s="11">
        <f t="shared" si="259"/>
        <v>0</v>
      </c>
      <c r="AD111" s="11">
        <f t="shared" si="259"/>
        <v>0</v>
      </c>
      <c r="AE111" s="11">
        <f t="shared" si="259"/>
        <v>0</v>
      </c>
      <c r="AF111" s="11">
        <f t="shared" si="259"/>
        <v>0</v>
      </c>
      <c r="AG111" s="11">
        <f t="shared" si="259"/>
        <v>0</v>
      </c>
      <c r="AH111" s="11">
        <f t="shared" si="259"/>
        <v>0</v>
      </c>
      <c r="AI111" s="71">
        <f t="shared" si="259"/>
        <v>0</v>
      </c>
      <c r="AJ111" s="201">
        <f t="shared" si="259"/>
        <v>0</v>
      </c>
      <c r="AK111" s="11">
        <f t="shared" si="259"/>
        <v>0</v>
      </c>
      <c r="AL111" s="11">
        <f t="shared" si="259"/>
        <v>0</v>
      </c>
      <c r="AM111" s="11">
        <f t="shared" si="259"/>
        <v>0</v>
      </c>
      <c r="AN111" s="11">
        <f t="shared" si="259"/>
        <v>0</v>
      </c>
      <c r="AO111" s="11">
        <f t="shared" si="259"/>
        <v>0</v>
      </c>
      <c r="AP111" s="11">
        <f t="shared" si="259"/>
        <v>0</v>
      </c>
      <c r="AQ111" s="11">
        <f t="shared" si="259"/>
        <v>0</v>
      </c>
      <c r="AR111" s="11">
        <f t="shared" si="259"/>
        <v>0</v>
      </c>
      <c r="AS111" s="11">
        <f t="shared" si="259"/>
        <v>0</v>
      </c>
      <c r="AT111" s="11">
        <f t="shared" si="259"/>
        <v>0</v>
      </c>
      <c r="AU111" s="71">
        <f t="shared" si="259"/>
        <v>0</v>
      </c>
      <c r="AV111" s="11">
        <f t="shared" si="259"/>
        <v>0</v>
      </c>
      <c r="AW111" s="11">
        <f t="shared" si="259"/>
        <v>0</v>
      </c>
      <c r="AX111" s="11">
        <f t="shared" si="259"/>
        <v>0</v>
      </c>
      <c r="AY111" s="11">
        <f t="shared" si="259"/>
        <v>0</v>
      </c>
      <c r="AZ111" s="11">
        <f t="shared" si="259"/>
        <v>0</v>
      </c>
      <c r="BA111" s="11">
        <f t="shared" si="259"/>
        <v>0</v>
      </c>
      <c r="BB111" s="11">
        <f t="shared" si="259"/>
        <v>0</v>
      </c>
      <c r="BC111" s="11">
        <f t="shared" si="259"/>
        <v>0</v>
      </c>
      <c r="BD111" s="11">
        <f t="shared" si="259"/>
        <v>0</v>
      </c>
      <c r="BE111" s="11">
        <f t="shared" si="259"/>
        <v>0</v>
      </c>
      <c r="BF111" s="11">
        <f t="shared" si="259"/>
        <v>0</v>
      </c>
      <c r="BG111" s="71">
        <f t="shared" si="259"/>
        <v>0</v>
      </c>
      <c r="BH111" s="11">
        <f t="shared" si="259"/>
        <v>0</v>
      </c>
      <c r="BI111" s="11">
        <f t="shared" si="259"/>
        <v>0</v>
      </c>
      <c r="BJ111" s="11">
        <f t="shared" si="259"/>
        <v>0</v>
      </c>
      <c r="BK111" s="11">
        <f t="shared" si="259"/>
        <v>0</v>
      </c>
      <c r="BL111" s="11">
        <f t="shared" si="259"/>
        <v>0</v>
      </c>
      <c r="BM111" s="11">
        <f t="shared" si="259"/>
        <v>0</v>
      </c>
      <c r="BN111" s="11">
        <f t="shared" si="259"/>
        <v>0</v>
      </c>
      <c r="BO111" s="11">
        <f t="shared" si="259"/>
        <v>0</v>
      </c>
      <c r="BP111" s="11">
        <f t="shared" si="259"/>
        <v>0</v>
      </c>
      <c r="BQ111" s="11">
        <f t="shared" si="259"/>
        <v>0</v>
      </c>
      <c r="BR111" s="11">
        <f t="shared" si="259"/>
        <v>0</v>
      </c>
      <c r="BS111" s="71">
        <f t="shared" si="259"/>
        <v>0</v>
      </c>
      <c r="BT111" s="11">
        <f t="shared" ref="BT111:CE111" si="260">BT95*BT127</f>
        <v>0</v>
      </c>
      <c r="BU111" s="11">
        <f t="shared" si="260"/>
        <v>0</v>
      </c>
      <c r="BV111" s="11">
        <f t="shared" si="260"/>
        <v>0</v>
      </c>
      <c r="BW111" s="11">
        <f t="shared" si="260"/>
        <v>0</v>
      </c>
      <c r="BX111" s="11">
        <f t="shared" si="260"/>
        <v>0</v>
      </c>
      <c r="BY111" s="11">
        <f t="shared" si="260"/>
        <v>0</v>
      </c>
      <c r="BZ111" s="11">
        <f t="shared" si="260"/>
        <v>0</v>
      </c>
      <c r="CA111" s="11">
        <f t="shared" si="260"/>
        <v>0</v>
      </c>
      <c r="CB111" s="11">
        <f t="shared" si="260"/>
        <v>0</v>
      </c>
      <c r="CC111" s="11">
        <f t="shared" si="260"/>
        <v>0</v>
      </c>
      <c r="CD111" s="11">
        <f t="shared" si="260"/>
        <v>0</v>
      </c>
      <c r="CE111" s="88">
        <f t="shared" si="260"/>
        <v>0</v>
      </c>
    </row>
    <row r="112" spans="16:83" x14ac:dyDescent="0.35">
      <c r="P112" s="936"/>
      <c r="Q112" s="194" t="str">
        <f>$Q$16</f>
        <v/>
      </c>
      <c r="R112" s="199">
        <f t="shared" si="239"/>
        <v>0</v>
      </c>
      <c r="S112" s="121">
        <f t="shared" si="239"/>
        <v>0</v>
      </c>
      <c r="T112" s="121">
        <f t="shared" si="239"/>
        <v>0</v>
      </c>
      <c r="U112" s="121">
        <f t="shared" si="239"/>
        <v>0</v>
      </c>
      <c r="V112" s="200">
        <f t="shared" si="239"/>
        <v>0</v>
      </c>
      <c r="W112" s="700">
        <v>0</v>
      </c>
      <c r="X112" s="11">
        <f t="shared" ref="X112:BS112" si="261">X96*X128</f>
        <v>0</v>
      </c>
      <c r="Y112" s="11">
        <f t="shared" si="261"/>
        <v>0</v>
      </c>
      <c r="Z112" s="11">
        <f t="shared" si="261"/>
        <v>0</v>
      </c>
      <c r="AA112" s="11">
        <f t="shared" si="261"/>
        <v>0</v>
      </c>
      <c r="AB112" s="11">
        <f t="shared" si="261"/>
        <v>0</v>
      </c>
      <c r="AC112" s="11">
        <f t="shared" si="261"/>
        <v>0</v>
      </c>
      <c r="AD112" s="11">
        <f t="shared" si="261"/>
        <v>0</v>
      </c>
      <c r="AE112" s="11">
        <f t="shared" si="261"/>
        <v>0</v>
      </c>
      <c r="AF112" s="11">
        <f t="shared" si="261"/>
        <v>0</v>
      </c>
      <c r="AG112" s="11">
        <f t="shared" si="261"/>
        <v>0</v>
      </c>
      <c r="AH112" s="11">
        <f t="shared" si="261"/>
        <v>0</v>
      </c>
      <c r="AI112" s="71">
        <f t="shared" si="261"/>
        <v>0</v>
      </c>
      <c r="AJ112" s="201">
        <f t="shared" si="261"/>
        <v>0</v>
      </c>
      <c r="AK112" s="11">
        <f t="shared" si="261"/>
        <v>0</v>
      </c>
      <c r="AL112" s="11">
        <f t="shared" si="261"/>
        <v>0</v>
      </c>
      <c r="AM112" s="11">
        <f t="shared" si="261"/>
        <v>0</v>
      </c>
      <c r="AN112" s="11">
        <f t="shared" si="261"/>
        <v>0</v>
      </c>
      <c r="AO112" s="11">
        <f t="shared" si="261"/>
        <v>0</v>
      </c>
      <c r="AP112" s="11">
        <f t="shared" si="261"/>
        <v>0</v>
      </c>
      <c r="AQ112" s="11">
        <f t="shared" si="261"/>
        <v>0</v>
      </c>
      <c r="AR112" s="11">
        <f t="shared" si="261"/>
        <v>0</v>
      </c>
      <c r="AS112" s="11">
        <f t="shared" si="261"/>
        <v>0</v>
      </c>
      <c r="AT112" s="11">
        <f t="shared" si="261"/>
        <v>0</v>
      </c>
      <c r="AU112" s="71">
        <f t="shared" si="261"/>
        <v>0</v>
      </c>
      <c r="AV112" s="11">
        <f t="shared" si="261"/>
        <v>0</v>
      </c>
      <c r="AW112" s="11">
        <f t="shared" si="261"/>
        <v>0</v>
      </c>
      <c r="AX112" s="11">
        <f t="shared" si="261"/>
        <v>0</v>
      </c>
      <c r="AY112" s="11">
        <f t="shared" si="261"/>
        <v>0</v>
      </c>
      <c r="AZ112" s="11">
        <f t="shared" si="261"/>
        <v>0</v>
      </c>
      <c r="BA112" s="11">
        <f t="shared" si="261"/>
        <v>0</v>
      </c>
      <c r="BB112" s="11">
        <f t="shared" si="261"/>
        <v>0</v>
      </c>
      <c r="BC112" s="11">
        <f t="shared" si="261"/>
        <v>0</v>
      </c>
      <c r="BD112" s="11">
        <f t="shared" si="261"/>
        <v>0</v>
      </c>
      <c r="BE112" s="11">
        <f t="shared" si="261"/>
        <v>0</v>
      </c>
      <c r="BF112" s="11">
        <f t="shared" si="261"/>
        <v>0</v>
      </c>
      <c r="BG112" s="71">
        <f t="shared" si="261"/>
        <v>0</v>
      </c>
      <c r="BH112" s="11">
        <f t="shared" si="261"/>
        <v>0</v>
      </c>
      <c r="BI112" s="11">
        <f t="shared" si="261"/>
        <v>0</v>
      </c>
      <c r="BJ112" s="11">
        <f t="shared" si="261"/>
        <v>0</v>
      </c>
      <c r="BK112" s="11">
        <f t="shared" si="261"/>
        <v>0</v>
      </c>
      <c r="BL112" s="11">
        <f t="shared" si="261"/>
        <v>0</v>
      </c>
      <c r="BM112" s="11">
        <f t="shared" si="261"/>
        <v>0</v>
      </c>
      <c r="BN112" s="11">
        <f t="shared" si="261"/>
        <v>0</v>
      </c>
      <c r="BO112" s="11">
        <f t="shared" si="261"/>
        <v>0</v>
      </c>
      <c r="BP112" s="11">
        <f t="shared" si="261"/>
        <v>0</v>
      </c>
      <c r="BQ112" s="11">
        <f t="shared" si="261"/>
        <v>0</v>
      </c>
      <c r="BR112" s="11">
        <f t="shared" si="261"/>
        <v>0</v>
      </c>
      <c r="BS112" s="71">
        <f t="shared" si="261"/>
        <v>0</v>
      </c>
      <c r="BT112" s="11">
        <f t="shared" ref="BT112:CE112" si="262">BT96*BT128</f>
        <v>0</v>
      </c>
      <c r="BU112" s="11">
        <f t="shared" si="262"/>
        <v>0</v>
      </c>
      <c r="BV112" s="11">
        <f t="shared" si="262"/>
        <v>0</v>
      </c>
      <c r="BW112" s="11">
        <f t="shared" si="262"/>
        <v>0</v>
      </c>
      <c r="BX112" s="11">
        <f t="shared" si="262"/>
        <v>0</v>
      </c>
      <c r="BY112" s="11">
        <f t="shared" si="262"/>
        <v>0</v>
      </c>
      <c r="BZ112" s="11">
        <f t="shared" si="262"/>
        <v>0</v>
      </c>
      <c r="CA112" s="11">
        <f t="shared" si="262"/>
        <v>0</v>
      </c>
      <c r="CB112" s="11">
        <f t="shared" si="262"/>
        <v>0</v>
      </c>
      <c r="CC112" s="11">
        <f t="shared" si="262"/>
        <v>0</v>
      </c>
      <c r="CD112" s="11">
        <f t="shared" si="262"/>
        <v>0</v>
      </c>
      <c r="CE112" s="88">
        <f t="shared" si="262"/>
        <v>0</v>
      </c>
    </row>
    <row r="113" spans="16:83" x14ac:dyDescent="0.35">
      <c r="P113" s="936"/>
      <c r="Q113" s="196" t="str">
        <f>$Q$17</f>
        <v/>
      </c>
      <c r="R113" s="199">
        <f t="shared" si="239"/>
        <v>0</v>
      </c>
      <c r="S113" s="121">
        <f t="shared" si="239"/>
        <v>0</v>
      </c>
      <c r="T113" s="121">
        <f t="shared" si="239"/>
        <v>0</v>
      </c>
      <c r="U113" s="121">
        <f t="shared" si="239"/>
        <v>0</v>
      </c>
      <c r="V113" s="200">
        <f t="shared" si="239"/>
        <v>0</v>
      </c>
      <c r="W113" s="700">
        <v>0</v>
      </c>
      <c r="X113" s="11">
        <f t="shared" ref="X113:BS113" si="263">X97*X129</f>
        <v>0</v>
      </c>
      <c r="Y113" s="11">
        <f t="shared" si="263"/>
        <v>0</v>
      </c>
      <c r="Z113" s="11">
        <f t="shared" si="263"/>
        <v>0</v>
      </c>
      <c r="AA113" s="11">
        <f t="shared" si="263"/>
        <v>0</v>
      </c>
      <c r="AB113" s="11">
        <f t="shared" si="263"/>
        <v>0</v>
      </c>
      <c r="AC113" s="11">
        <f t="shared" si="263"/>
        <v>0</v>
      </c>
      <c r="AD113" s="11">
        <f t="shared" si="263"/>
        <v>0</v>
      </c>
      <c r="AE113" s="11">
        <f t="shared" si="263"/>
        <v>0</v>
      </c>
      <c r="AF113" s="11">
        <f t="shared" si="263"/>
        <v>0</v>
      </c>
      <c r="AG113" s="11">
        <f t="shared" si="263"/>
        <v>0</v>
      </c>
      <c r="AH113" s="11">
        <f t="shared" si="263"/>
        <v>0</v>
      </c>
      <c r="AI113" s="71">
        <f t="shared" si="263"/>
        <v>0</v>
      </c>
      <c r="AJ113" s="201">
        <f t="shared" si="263"/>
        <v>0</v>
      </c>
      <c r="AK113" s="11">
        <f t="shared" si="263"/>
        <v>0</v>
      </c>
      <c r="AL113" s="11">
        <f t="shared" si="263"/>
        <v>0</v>
      </c>
      <c r="AM113" s="11">
        <f t="shared" si="263"/>
        <v>0</v>
      </c>
      <c r="AN113" s="11">
        <f t="shared" si="263"/>
        <v>0</v>
      </c>
      <c r="AO113" s="11">
        <f t="shared" si="263"/>
        <v>0</v>
      </c>
      <c r="AP113" s="11">
        <f t="shared" si="263"/>
        <v>0</v>
      </c>
      <c r="AQ113" s="11">
        <f t="shared" si="263"/>
        <v>0</v>
      </c>
      <c r="AR113" s="11">
        <f t="shared" si="263"/>
        <v>0</v>
      </c>
      <c r="AS113" s="11">
        <f t="shared" si="263"/>
        <v>0</v>
      </c>
      <c r="AT113" s="11">
        <f t="shared" si="263"/>
        <v>0</v>
      </c>
      <c r="AU113" s="71">
        <f t="shared" si="263"/>
        <v>0</v>
      </c>
      <c r="AV113" s="11">
        <f t="shared" si="263"/>
        <v>0</v>
      </c>
      <c r="AW113" s="11">
        <f t="shared" si="263"/>
        <v>0</v>
      </c>
      <c r="AX113" s="11">
        <f t="shared" si="263"/>
        <v>0</v>
      </c>
      <c r="AY113" s="11">
        <f t="shared" si="263"/>
        <v>0</v>
      </c>
      <c r="AZ113" s="11">
        <f t="shared" si="263"/>
        <v>0</v>
      </c>
      <c r="BA113" s="11">
        <f t="shared" si="263"/>
        <v>0</v>
      </c>
      <c r="BB113" s="11">
        <f t="shared" si="263"/>
        <v>0</v>
      </c>
      <c r="BC113" s="11">
        <f t="shared" si="263"/>
        <v>0</v>
      </c>
      <c r="BD113" s="11">
        <f t="shared" si="263"/>
        <v>0</v>
      </c>
      <c r="BE113" s="11">
        <f t="shared" si="263"/>
        <v>0</v>
      </c>
      <c r="BF113" s="11">
        <f t="shared" si="263"/>
        <v>0</v>
      </c>
      <c r="BG113" s="71">
        <f t="shared" si="263"/>
        <v>0</v>
      </c>
      <c r="BH113" s="11">
        <f t="shared" si="263"/>
        <v>0</v>
      </c>
      <c r="BI113" s="11">
        <f t="shared" si="263"/>
        <v>0</v>
      </c>
      <c r="BJ113" s="11">
        <f t="shared" si="263"/>
        <v>0</v>
      </c>
      <c r="BK113" s="11">
        <f t="shared" si="263"/>
        <v>0</v>
      </c>
      <c r="BL113" s="11">
        <f t="shared" si="263"/>
        <v>0</v>
      </c>
      <c r="BM113" s="11">
        <f t="shared" si="263"/>
        <v>0</v>
      </c>
      <c r="BN113" s="11">
        <f t="shared" si="263"/>
        <v>0</v>
      </c>
      <c r="BO113" s="11">
        <f t="shared" si="263"/>
        <v>0</v>
      </c>
      <c r="BP113" s="11">
        <f t="shared" si="263"/>
        <v>0</v>
      </c>
      <c r="BQ113" s="11">
        <f t="shared" si="263"/>
        <v>0</v>
      </c>
      <c r="BR113" s="11">
        <f t="shared" si="263"/>
        <v>0</v>
      </c>
      <c r="BS113" s="71">
        <f t="shared" si="263"/>
        <v>0</v>
      </c>
      <c r="BT113" s="11">
        <f t="shared" ref="BT113:CE113" si="264">BT97*BT129</f>
        <v>0</v>
      </c>
      <c r="BU113" s="11">
        <f t="shared" si="264"/>
        <v>0</v>
      </c>
      <c r="BV113" s="11">
        <f t="shared" si="264"/>
        <v>0</v>
      </c>
      <c r="BW113" s="11">
        <f t="shared" si="264"/>
        <v>0</v>
      </c>
      <c r="BX113" s="11">
        <f t="shared" si="264"/>
        <v>0</v>
      </c>
      <c r="BY113" s="11">
        <f t="shared" si="264"/>
        <v>0</v>
      </c>
      <c r="BZ113" s="11">
        <f t="shared" si="264"/>
        <v>0</v>
      </c>
      <c r="CA113" s="11">
        <f t="shared" si="264"/>
        <v>0</v>
      </c>
      <c r="CB113" s="11">
        <f t="shared" si="264"/>
        <v>0</v>
      </c>
      <c r="CC113" s="11">
        <f t="shared" si="264"/>
        <v>0</v>
      </c>
      <c r="CD113" s="11">
        <f t="shared" si="264"/>
        <v>0</v>
      </c>
      <c r="CE113" s="88">
        <f t="shared" si="264"/>
        <v>0</v>
      </c>
    </row>
    <row r="114" spans="16:83" x14ac:dyDescent="0.35">
      <c r="P114" s="936"/>
      <c r="Q114" s="196" t="str">
        <f>$Q$18</f>
        <v/>
      </c>
      <c r="R114" s="199">
        <f t="shared" si="239"/>
        <v>0</v>
      </c>
      <c r="S114" s="121">
        <f t="shared" si="239"/>
        <v>0</v>
      </c>
      <c r="T114" s="121">
        <f t="shared" si="239"/>
        <v>0</v>
      </c>
      <c r="U114" s="121">
        <f t="shared" si="239"/>
        <v>0</v>
      </c>
      <c r="V114" s="200">
        <f t="shared" si="239"/>
        <v>0</v>
      </c>
      <c r="W114" s="700">
        <v>0</v>
      </c>
      <c r="X114" s="11">
        <f t="shared" ref="X114:BS114" si="265">X98*X130</f>
        <v>0</v>
      </c>
      <c r="Y114" s="11">
        <f t="shared" si="265"/>
        <v>0</v>
      </c>
      <c r="Z114" s="11">
        <f t="shared" si="265"/>
        <v>0</v>
      </c>
      <c r="AA114" s="11">
        <f t="shared" si="265"/>
        <v>0</v>
      </c>
      <c r="AB114" s="11">
        <f t="shared" si="265"/>
        <v>0</v>
      </c>
      <c r="AC114" s="11">
        <f t="shared" si="265"/>
        <v>0</v>
      </c>
      <c r="AD114" s="11">
        <f t="shared" si="265"/>
        <v>0</v>
      </c>
      <c r="AE114" s="11">
        <f t="shared" si="265"/>
        <v>0</v>
      </c>
      <c r="AF114" s="11">
        <f t="shared" si="265"/>
        <v>0</v>
      </c>
      <c r="AG114" s="11">
        <f t="shared" si="265"/>
        <v>0</v>
      </c>
      <c r="AH114" s="11">
        <f t="shared" si="265"/>
        <v>0</v>
      </c>
      <c r="AI114" s="71">
        <f t="shared" si="265"/>
        <v>0</v>
      </c>
      <c r="AJ114" s="201">
        <f t="shared" si="265"/>
        <v>0</v>
      </c>
      <c r="AK114" s="11">
        <f t="shared" si="265"/>
        <v>0</v>
      </c>
      <c r="AL114" s="11">
        <f t="shared" si="265"/>
        <v>0</v>
      </c>
      <c r="AM114" s="11">
        <f t="shared" si="265"/>
        <v>0</v>
      </c>
      <c r="AN114" s="11">
        <f t="shared" si="265"/>
        <v>0</v>
      </c>
      <c r="AO114" s="11">
        <f t="shared" si="265"/>
        <v>0</v>
      </c>
      <c r="AP114" s="11">
        <f t="shared" si="265"/>
        <v>0</v>
      </c>
      <c r="AQ114" s="11">
        <f t="shared" si="265"/>
        <v>0</v>
      </c>
      <c r="AR114" s="11">
        <f t="shared" si="265"/>
        <v>0</v>
      </c>
      <c r="AS114" s="11">
        <f t="shared" si="265"/>
        <v>0</v>
      </c>
      <c r="AT114" s="11">
        <f t="shared" si="265"/>
        <v>0</v>
      </c>
      <c r="AU114" s="71">
        <f t="shared" si="265"/>
        <v>0</v>
      </c>
      <c r="AV114" s="11">
        <f t="shared" si="265"/>
        <v>0</v>
      </c>
      <c r="AW114" s="11">
        <f t="shared" si="265"/>
        <v>0</v>
      </c>
      <c r="AX114" s="11">
        <f t="shared" si="265"/>
        <v>0</v>
      </c>
      <c r="AY114" s="11">
        <f t="shared" si="265"/>
        <v>0</v>
      </c>
      <c r="AZ114" s="11">
        <f t="shared" si="265"/>
        <v>0</v>
      </c>
      <c r="BA114" s="11">
        <f t="shared" si="265"/>
        <v>0</v>
      </c>
      <c r="BB114" s="11">
        <f t="shared" si="265"/>
        <v>0</v>
      </c>
      <c r="BC114" s="11">
        <f t="shared" si="265"/>
        <v>0</v>
      </c>
      <c r="BD114" s="11">
        <f t="shared" si="265"/>
        <v>0</v>
      </c>
      <c r="BE114" s="11">
        <f t="shared" si="265"/>
        <v>0</v>
      </c>
      <c r="BF114" s="11">
        <f t="shared" si="265"/>
        <v>0</v>
      </c>
      <c r="BG114" s="71">
        <f t="shared" si="265"/>
        <v>0</v>
      </c>
      <c r="BH114" s="11">
        <f t="shared" si="265"/>
        <v>0</v>
      </c>
      <c r="BI114" s="11">
        <f t="shared" si="265"/>
        <v>0</v>
      </c>
      <c r="BJ114" s="11">
        <f t="shared" si="265"/>
        <v>0</v>
      </c>
      <c r="BK114" s="11">
        <f t="shared" si="265"/>
        <v>0</v>
      </c>
      <c r="BL114" s="11">
        <f t="shared" si="265"/>
        <v>0</v>
      </c>
      <c r="BM114" s="11">
        <f t="shared" si="265"/>
        <v>0</v>
      </c>
      <c r="BN114" s="11">
        <f t="shared" si="265"/>
        <v>0</v>
      </c>
      <c r="BO114" s="11">
        <f t="shared" si="265"/>
        <v>0</v>
      </c>
      <c r="BP114" s="11">
        <f t="shared" si="265"/>
        <v>0</v>
      </c>
      <c r="BQ114" s="11">
        <f t="shared" si="265"/>
        <v>0</v>
      </c>
      <c r="BR114" s="11">
        <f t="shared" si="265"/>
        <v>0</v>
      </c>
      <c r="BS114" s="71">
        <f t="shared" si="265"/>
        <v>0</v>
      </c>
      <c r="BT114" s="11">
        <f t="shared" ref="BT114:CE114" si="266">BT98*BT130</f>
        <v>0</v>
      </c>
      <c r="BU114" s="11">
        <f t="shared" si="266"/>
        <v>0</v>
      </c>
      <c r="BV114" s="11">
        <f t="shared" si="266"/>
        <v>0</v>
      </c>
      <c r="BW114" s="11">
        <f t="shared" si="266"/>
        <v>0</v>
      </c>
      <c r="BX114" s="11">
        <f t="shared" si="266"/>
        <v>0</v>
      </c>
      <c r="BY114" s="11">
        <f t="shared" si="266"/>
        <v>0</v>
      </c>
      <c r="BZ114" s="11">
        <f t="shared" si="266"/>
        <v>0</v>
      </c>
      <c r="CA114" s="11">
        <f t="shared" si="266"/>
        <v>0</v>
      </c>
      <c r="CB114" s="11">
        <f t="shared" si="266"/>
        <v>0</v>
      </c>
      <c r="CC114" s="11">
        <f t="shared" si="266"/>
        <v>0</v>
      </c>
      <c r="CD114" s="11">
        <f t="shared" si="266"/>
        <v>0</v>
      </c>
      <c r="CE114" s="88">
        <f t="shared" si="266"/>
        <v>0</v>
      </c>
    </row>
    <row r="115" spans="16:83" x14ac:dyDescent="0.35">
      <c r="P115" s="936"/>
      <c r="Q115" s="196" t="str">
        <f>$Q$19</f>
        <v/>
      </c>
      <c r="R115" s="199">
        <f t="shared" si="239"/>
        <v>0</v>
      </c>
      <c r="S115" s="121">
        <f t="shared" si="239"/>
        <v>0</v>
      </c>
      <c r="T115" s="121">
        <f t="shared" si="239"/>
        <v>0</v>
      </c>
      <c r="U115" s="121">
        <f t="shared" si="239"/>
        <v>0</v>
      </c>
      <c r="V115" s="200">
        <f t="shared" si="239"/>
        <v>0</v>
      </c>
      <c r="W115" s="700">
        <v>0</v>
      </c>
      <c r="X115" s="11">
        <f t="shared" ref="X115:BS115" si="267">X99*X131</f>
        <v>0</v>
      </c>
      <c r="Y115" s="11">
        <f t="shared" si="267"/>
        <v>0</v>
      </c>
      <c r="Z115" s="11">
        <f t="shared" si="267"/>
        <v>0</v>
      </c>
      <c r="AA115" s="11">
        <f t="shared" si="267"/>
        <v>0</v>
      </c>
      <c r="AB115" s="11">
        <f t="shared" si="267"/>
        <v>0</v>
      </c>
      <c r="AC115" s="11">
        <f t="shared" si="267"/>
        <v>0</v>
      </c>
      <c r="AD115" s="11">
        <f t="shared" si="267"/>
        <v>0</v>
      </c>
      <c r="AE115" s="11">
        <f t="shared" si="267"/>
        <v>0</v>
      </c>
      <c r="AF115" s="11">
        <f t="shared" si="267"/>
        <v>0</v>
      </c>
      <c r="AG115" s="11">
        <f t="shared" si="267"/>
        <v>0</v>
      </c>
      <c r="AH115" s="11">
        <f t="shared" si="267"/>
        <v>0</v>
      </c>
      <c r="AI115" s="71">
        <f t="shared" si="267"/>
        <v>0</v>
      </c>
      <c r="AJ115" s="201">
        <f t="shared" si="267"/>
        <v>0</v>
      </c>
      <c r="AK115" s="11">
        <f t="shared" si="267"/>
        <v>0</v>
      </c>
      <c r="AL115" s="11">
        <f t="shared" si="267"/>
        <v>0</v>
      </c>
      <c r="AM115" s="11">
        <f t="shared" si="267"/>
        <v>0</v>
      </c>
      <c r="AN115" s="11">
        <f t="shared" si="267"/>
        <v>0</v>
      </c>
      <c r="AO115" s="11">
        <f t="shared" si="267"/>
        <v>0</v>
      </c>
      <c r="AP115" s="11">
        <f t="shared" si="267"/>
        <v>0</v>
      </c>
      <c r="AQ115" s="11">
        <f t="shared" si="267"/>
        <v>0</v>
      </c>
      <c r="AR115" s="11">
        <f t="shared" si="267"/>
        <v>0</v>
      </c>
      <c r="AS115" s="11">
        <f t="shared" si="267"/>
        <v>0</v>
      </c>
      <c r="AT115" s="11">
        <f t="shared" si="267"/>
        <v>0</v>
      </c>
      <c r="AU115" s="71">
        <f t="shared" si="267"/>
        <v>0</v>
      </c>
      <c r="AV115" s="11">
        <f t="shared" si="267"/>
        <v>0</v>
      </c>
      <c r="AW115" s="11">
        <f t="shared" si="267"/>
        <v>0</v>
      </c>
      <c r="AX115" s="11">
        <f t="shared" si="267"/>
        <v>0</v>
      </c>
      <c r="AY115" s="11">
        <f t="shared" si="267"/>
        <v>0</v>
      </c>
      <c r="AZ115" s="11">
        <f t="shared" si="267"/>
        <v>0</v>
      </c>
      <c r="BA115" s="11">
        <f t="shared" si="267"/>
        <v>0</v>
      </c>
      <c r="BB115" s="11">
        <f t="shared" si="267"/>
        <v>0</v>
      </c>
      <c r="BC115" s="11">
        <f t="shared" si="267"/>
        <v>0</v>
      </c>
      <c r="BD115" s="11">
        <f t="shared" si="267"/>
        <v>0</v>
      </c>
      <c r="BE115" s="11">
        <f t="shared" si="267"/>
        <v>0</v>
      </c>
      <c r="BF115" s="11">
        <f t="shared" si="267"/>
        <v>0</v>
      </c>
      <c r="BG115" s="71">
        <f t="shared" si="267"/>
        <v>0</v>
      </c>
      <c r="BH115" s="11">
        <f t="shared" si="267"/>
        <v>0</v>
      </c>
      <c r="BI115" s="11">
        <f t="shared" si="267"/>
        <v>0</v>
      </c>
      <c r="BJ115" s="11">
        <f t="shared" si="267"/>
        <v>0</v>
      </c>
      <c r="BK115" s="11">
        <f t="shared" si="267"/>
        <v>0</v>
      </c>
      <c r="BL115" s="11">
        <f t="shared" si="267"/>
        <v>0</v>
      </c>
      <c r="BM115" s="11">
        <f t="shared" si="267"/>
        <v>0</v>
      </c>
      <c r="BN115" s="11">
        <f t="shared" si="267"/>
        <v>0</v>
      </c>
      <c r="BO115" s="11">
        <f t="shared" si="267"/>
        <v>0</v>
      </c>
      <c r="BP115" s="11">
        <f t="shared" si="267"/>
        <v>0</v>
      </c>
      <c r="BQ115" s="11">
        <f t="shared" si="267"/>
        <v>0</v>
      </c>
      <c r="BR115" s="11">
        <f t="shared" si="267"/>
        <v>0</v>
      </c>
      <c r="BS115" s="71">
        <f t="shared" si="267"/>
        <v>0</v>
      </c>
      <c r="BT115" s="11">
        <f t="shared" ref="BT115:CE115" si="268">BT99*BT131</f>
        <v>0</v>
      </c>
      <c r="BU115" s="11">
        <f t="shared" si="268"/>
        <v>0</v>
      </c>
      <c r="BV115" s="11">
        <f t="shared" si="268"/>
        <v>0</v>
      </c>
      <c r="BW115" s="11">
        <f t="shared" si="268"/>
        <v>0</v>
      </c>
      <c r="BX115" s="11">
        <f t="shared" si="268"/>
        <v>0</v>
      </c>
      <c r="BY115" s="11">
        <f t="shared" si="268"/>
        <v>0</v>
      </c>
      <c r="BZ115" s="11">
        <f t="shared" si="268"/>
        <v>0</v>
      </c>
      <c r="CA115" s="11">
        <f t="shared" si="268"/>
        <v>0</v>
      </c>
      <c r="CB115" s="11">
        <f t="shared" si="268"/>
        <v>0</v>
      </c>
      <c r="CC115" s="11">
        <f t="shared" si="268"/>
        <v>0</v>
      </c>
      <c r="CD115" s="11">
        <f t="shared" si="268"/>
        <v>0</v>
      </c>
      <c r="CE115" s="88">
        <f t="shared" si="268"/>
        <v>0</v>
      </c>
    </row>
    <row r="116" spans="16:83" x14ac:dyDescent="0.35">
      <c r="P116" s="936"/>
      <c r="Q116" s="196" t="str">
        <f>$Q$20</f>
        <v/>
      </c>
      <c r="R116" s="199">
        <f t="shared" si="239"/>
        <v>0</v>
      </c>
      <c r="S116" s="121">
        <f t="shared" si="239"/>
        <v>0</v>
      </c>
      <c r="T116" s="121">
        <f t="shared" si="239"/>
        <v>0</v>
      </c>
      <c r="U116" s="121">
        <f t="shared" si="239"/>
        <v>0</v>
      </c>
      <c r="V116" s="200">
        <f t="shared" si="239"/>
        <v>0</v>
      </c>
      <c r="W116" s="701">
        <v>0</v>
      </c>
      <c r="X116" s="11">
        <f t="shared" ref="X116:BS116" si="269">X100*X132</f>
        <v>0</v>
      </c>
      <c r="Y116" s="11">
        <f>Y100*Y132</f>
        <v>0</v>
      </c>
      <c r="Z116" s="11">
        <f t="shared" si="269"/>
        <v>0</v>
      </c>
      <c r="AA116" s="11">
        <f t="shared" si="269"/>
        <v>0</v>
      </c>
      <c r="AB116" s="11">
        <f t="shared" si="269"/>
        <v>0</v>
      </c>
      <c r="AC116" s="11">
        <f t="shared" si="269"/>
        <v>0</v>
      </c>
      <c r="AD116" s="11">
        <f t="shared" si="269"/>
        <v>0</v>
      </c>
      <c r="AE116" s="11">
        <f t="shared" si="269"/>
        <v>0</v>
      </c>
      <c r="AF116" s="11">
        <f t="shared" si="269"/>
        <v>0</v>
      </c>
      <c r="AG116" s="11">
        <f t="shared" si="269"/>
        <v>0</v>
      </c>
      <c r="AH116" s="11">
        <f t="shared" si="269"/>
        <v>0</v>
      </c>
      <c r="AI116" s="71">
        <f t="shared" si="269"/>
        <v>0</v>
      </c>
      <c r="AJ116" s="201">
        <f t="shared" si="269"/>
        <v>0</v>
      </c>
      <c r="AK116" s="11">
        <f t="shared" si="269"/>
        <v>0</v>
      </c>
      <c r="AL116" s="11">
        <f t="shared" si="269"/>
        <v>0</v>
      </c>
      <c r="AM116" s="11">
        <f t="shared" si="269"/>
        <v>0</v>
      </c>
      <c r="AN116" s="11">
        <f t="shared" si="269"/>
        <v>0</v>
      </c>
      <c r="AO116" s="11">
        <f t="shared" si="269"/>
        <v>0</v>
      </c>
      <c r="AP116" s="11">
        <f t="shared" si="269"/>
        <v>0</v>
      </c>
      <c r="AQ116" s="11">
        <f t="shared" si="269"/>
        <v>0</v>
      </c>
      <c r="AR116" s="11">
        <f t="shared" si="269"/>
        <v>0</v>
      </c>
      <c r="AS116" s="11">
        <f t="shared" si="269"/>
        <v>0</v>
      </c>
      <c r="AT116" s="11">
        <f t="shared" si="269"/>
        <v>0</v>
      </c>
      <c r="AU116" s="71">
        <f t="shared" si="269"/>
        <v>0</v>
      </c>
      <c r="AV116" s="11">
        <f t="shared" si="269"/>
        <v>0</v>
      </c>
      <c r="AW116" s="11">
        <f t="shared" si="269"/>
        <v>0</v>
      </c>
      <c r="AX116" s="11">
        <f t="shared" si="269"/>
        <v>0</v>
      </c>
      <c r="AY116" s="11">
        <f t="shared" si="269"/>
        <v>0</v>
      </c>
      <c r="AZ116" s="11">
        <f t="shared" si="269"/>
        <v>0</v>
      </c>
      <c r="BA116" s="11">
        <f t="shared" si="269"/>
        <v>0</v>
      </c>
      <c r="BB116" s="11">
        <f t="shared" si="269"/>
        <v>0</v>
      </c>
      <c r="BC116" s="11">
        <f t="shared" si="269"/>
        <v>0</v>
      </c>
      <c r="BD116" s="11">
        <f t="shared" si="269"/>
        <v>0</v>
      </c>
      <c r="BE116" s="11">
        <f t="shared" si="269"/>
        <v>0</v>
      </c>
      <c r="BF116" s="11">
        <f t="shared" si="269"/>
        <v>0</v>
      </c>
      <c r="BG116" s="71">
        <f t="shared" si="269"/>
        <v>0</v>
      </c>
      <c r="BH116" s="11">
        <f t="shared" si="269"/>
        <v>0</v>
      </c>
      <c r="BI116" s="11">
        <f t="shared" si="269"/>
        <v>0</v>
      </c>
      <c r="BJ116" s="11">
        <f t="shared" si="269"/>
        <v>0</v>
      </c>
      <c r="BK116" s="11">
        <f t="shared" si="269"/>
        <v>0</v>
      </c>
      <c r="BL116" s="11">
        <f t="shared" si="269"/>
        <v>0</v>
      </c>
      <c r="BM116" s="11">
        <f t="shared" si="269"/>
        <v>0</v>
      </c>
      <c r="BN116" s="11">
        <f t="shared" si="269"/>
        <v>0</v>
      </c>
      <c r="BO116" s="11">
        <f t="shared" si="269"/>
        <v>0</v>
      </c>
      <c r="BP116" s="11">
        <f t="shared" si="269"/>
        <v>0</v>
      </c>
      <c r="BQ116" s="11">
        <f t="shared" si="269"/>
        <v>0</v>
      </c>
      <c r="BR116" s="11">
        <f t="shared" si="269"/>
        <v>0</v>
      </c>
      <c r="BS116" s="71">
        <f t="shared" si="269"/>
        <v>0</v>
      </c>
      <c r="BT116" s="11">
        <f t="shared" ref="BT116:CE116" si="270">BT100*BT132</f>
        <v>0</v>
      </c>
      <c r="BU116" s="11">
        <f t="shared" si="270"/>
        <v>0</v>
      </c>
      <c r="BV116" s="11">
        <f t="shared" si="270"/>
        <v>0</v>
      </c>
      <c r="BW116" s="11">
        <f t="shared" si="270"/>
        <v>0</v>
      </c>
      <c r="BX116" s="11">
        <f t="shared" si="270"/>
        <v>0</v>
      </c>
      <c r="BY116" s="11">
        <f t="shared" si="270"/>
        <v>0</v>
      </c>
      <c r="BZ116" s="11">
        <f t="shared" si="270"/>
        <v>0</v>
      </c>
      <c r="CA116" s="11">
        <f t="shared" si="270"/>
        <v>0</v>
      </c>
      <c r="CB116" s="11">
        <f t="shared" si="270"/>
        <v>0</v>
      </c>
      <c r="CC116" s="11">
        <f t="shared" si="270"/>
        <v>0</v>
      </c>
      <c r="CD116" s="11">
        <f t="shared" si="270"/>
        <v>0</v>
      </c>
      <c r="CE116" s="88">
        <f t="shared" si="270"/>
        <v>0</v>
      </c>
    </row>
    <row r="117" spans="16:83" x14ac:dyDescent="0.35">
      <c r="P117" s="936"/>
      <c r="Q117" s="282" t="s">
        <v>267</v>
      </c>
      <c r="R117" s="208">
        <f t="shared" ref="R117:V126" si="271">IFERROR(SUMIF($X$2:$CE$2,R$2,$X101:$CE101)/SUMIF($X$2:$CE$2,R$2,$X85:$CE85),0)</f>
        <v>0</v>
      </c>
      <c r="S117" s="209">
        <f t="shared" si="271"/>
        <v>0</v>
      </c>
      <c r="T117" s="209">
        <f t="shared" si="271"/>
        <v>0</v>
      </c>
      <c r="U117" s="209">
        <f t="shared" si="271"/>
        <v>0</v>
      </c>
      <c r="V117" s="210">
        <f t="shared" si="271"/>
        <v>0</v>
      </c>
      <c r="W117" s="208">
        <f>'UW Model'!L43</f>
        <v>0</v>
      </c>
      <c r="X117" s="208">
        <f t="shared" ref="X117:BS117" si="272">IFERROR(X101/X85,0)</f>
        <v>0</v>
      </c>
      <c r="Y117" s="209">
        <f t="shared" si="272"/>
        <v>0</v>
      </c>
      <c r="Z117" s="209">
        <f t="shared" si="272"/>
        <v>0</v>
      </c>
      <c r="AA117" s="209">
        <f t="shared" si="272"/>
        <v>0</v>
      </c>
      <c r="AB117" s="209">
        <f t="shared" si="272"/>
        <v>0</v>
      </c>
      <c r="AC117" s="209">
        <f t="shared" si="272"/>
        <v>0</v>
      </c>
      <c r="AD117" s="209">
        <f t="shared" si="272"/>
        <v>0</v>
      </c>
      <c r="AE117" s="209">
        <f t="shared" si="272"/>
        <v>0</v>
      </c>
      <c r="AF117" s="209">
        <f t="shared" si="272"/>
        <v>0</v>
      </c>
      <c r="AG117" s="209">
        <f t="shared" si="272"/>
        <v>0</v>
      </c>
      <c r="AH117" s="209">
        <f t="shared" si="272"/>
        <v>0</v>
      </c>
      <c r="AI117" s="210">
        <f t="shared" si="272"/>
        <v>0</v>
      </c>
      <c r="AJ117" s="208">
        <f t="shared" si="272"/>
        <v>0</v>
      </c>
      <c r="AK117" s="209">
        <f t="shared" si="272"/>
        <v>0</v>
      </c>
      <c r="AL117" s="209">
        <f t="shared" si="272"/>
        <v>0</v>
      </c>
      <c r="AM117" s="209">
        <f t="shared" si="272"/>
        <v>0</v>
      </c>
      <c r="AN117" s="209">
        <f t="shared" si="272"/>
        <v>0</v>
      </c>
      <c r="AO117" s="209">
        <f t="shared" si="272"/>
        <v>0</v>
      </c>
      <c r="AP117" s="209">
        <f t="shared" si="272"/>
        <v>0</v>
      </c>
      <c r="AQ117" s="209">
        <f t="shared" si="272"/>
        <v>0</v>
      </c>
      <c r="AR117" s="209">
        <f t="shared" si="272"/>
        <v>0</v>
      </c>
      <c r="AS117" s="209">
        <f t="shared" si="272"/>
        <v>0</v>
      </c>
      <c r="AT117" s="209">
        <f t="shared" si="272"/>
        <v>0</v>
      </c>
      <c r="AU117" s="210">
        <f t="shared" si="272"/>
        <v>0</v>
      </c>
      <c r="AV117" s="208">
        <f t="shared" si="272"/>
        <v>0</v>
      </c>
      <c r="AW117" s="209">
        <f t="shared" si="272"/>
        <v>0</v>
      </c>
      <c r="AX117" s="209">
        <f t="shared" si="272"/>
        <v>0</v>
      </c>
      <c r="AY117" s="209">
        <f t="shared" si="272"/>
        <v>0</v>
      </c>
      <c r="AZ117" s="209">
        <f t="shared" si="272"/>
        <v>0</v>
      </c>
      <c r="BA117" s="209">
        <f t="shared" si="272"/>
        <v>0</v>
      </c>
      <c r="BB117" s="209">
        <f t="shared" si="272"/>
        <v>0</v>
      </c>
      <c r="BC117" s="209">
        <f t="shared" si="272"/>
        <v>0</v>
      </c>
      <c r="BD117" s="209">
        <f t="shared" si="272"/>
        <v>0</v>
      </c>
      <c r="BE117" s="209">
        <f t="shared" si="272"/>
        <v>0</v>
      </c>
      <c r="BF117" s="209">
        <f t="shared" si="272"/>
        <v>0</v>
      </c>
      <c r="BG117" s="210">
        <f t="shared" si="272"/>
        <v>0</v>
      </c>
      <c r="BH117" s="209">
        <f>IFERROR(BH101/BH85,0)</f>
        <v>0</v>
      </c>
      <c r="BI117" s="209">
        <f t="shared" si="272"/>
        <v>0</v>
      </c>
      <c r="BJ117" s="209">
        <f t="shared" si="272"/>
        <v>0</v>
      </c>
      <c r="BK117" s="209">
        <f t="shared" si="272"/>
        <v>0</v>
      </c>
      <c r="BL117" s="209">
        <f t="shared" si="272"/>
        <v>0</v>
      </c>
      <c r="BM117" s="209">
        <f t="shared" si="272"/>
        <v>0</v>
      </c>
      <c r="BN117" s="209">
        <f t="shared" si="272"/>
        <v>0</v>
      </c>
      <c r="BO117" s="209">
        <f t="shared" si="272"/>
        <v>0</v>
      </c>
      <c r="BP117" s="209">
        <f t="shared" si="272"/>
        <v>0</v>
      </c>
      <c r="BQ117" s="209">
        <f t="shared" si="272"/>
        <v>0</v>
      </c>
      <c r="BR117" s="209">
        <f t="shared" si="272"/>
        <v>0</v>
      </c>
      <c r="BS117" s="210">
        <f t="shared" si="272"/>
        <v>0</v>
      </c>
      <c r="BT117" s="209">
        <f t="shared" ref="BT117:CE117" si="273">IFERROR(BT101/BT85,0)</f>
        <v>0</v>
      </c>
      <c r="BU117" s="209">
        <f t="shared" si="273"/>
        <v>0</v>
      </c>
      <c r="BV117" s="209">
        <f t="shared" si="273"/>
        <v>0</v>
      </c>
      <c r="BW117" s="209">
        <f t="shared" si="273"/>
        <v>0</v>
      </c>
      <c r="BX117" s="209">
        <f t="shared" si="273"/>
        <v>0</v>
      </c>
      <c r="BY117" s="209">
        <f t="shared" si="273"/>
        <v>0</v>
      </c>
      <c r="BZ117" s="209">
        <f t="shared" si="273"/>
        <v>0</v>
      </c>
      <c r="CA117" s="209">
        <f t="shared" si="273"/>
        <v>0</v>
      </c>
      <c r="CB117" s="209">
        <f t="shared" si="273"/>
        <v>0</v>
      </c>
      <c r="CC117" s="209">
        <f t="shared" si="273"/>
        <v>0</v>
      </c>
      <c r="CD117" s="209">
        <f t="shared" si="273"/>
        <v>0</v>
      </c>
      <c r="CE117" s="211">
        <f t="shared" si="273"/>
        <v>0</v>
      </c>
    </row>
    <row r="118" spans="16:83" x14ac:dyDescent="0.35">
      <c r="P118" s="936"/>
      <c r="Q118" s="194" t="str">
        <f>$Q$6</f>
        <v/>
      </c>
      <c r="R118" s="199">
        <f t="shared" si="271"/>
        <v>0</v>
      </c>
      <c r="S118" s="121">
        <f t="shared" si="271"/>
        <v>0</v>
      </c>
      <c r="T118" s="121">
        <f t="shared" si="271"/>
        <v>0</v>
      </c>
      <c r="U118" s="121">
        <f t="shared" si="271"/>
        <v>0</v>
      </c>
      <c r="V118" s="200">
        <f t="shared" si="271"/>
        <v>0</v>
      </c>
      <c r="W118" s="699">
        <f>'UW Model'!L28</f>
        <v>0</v>
      </c>
      <c r="X118" s="201">
        <f>HLOOKUP((X$2-1)*12,$W$3:$CE$132,ROW()-2,0)*(1+(HLOOKUP(X$2,'UW Model'!$M$103:$Q$104,2,0)/12)*(X$3-((X$2-1)*12)))</f>
        <v>0</v>
      </c>
      <c r="Y118" s="11">
        <f>HLOOKUP((Y$2-1)*12,$W$3:$CE$132,ROW()-2,0)*(1+(HLOOKUP(Y$2,'UW Model'!$M$103:$Q$104,2,0)/12)*(Y$3-((Y$2-1)*12)))</f>
        <v>0</v>
      </c>
      <c r="Z118" s="11">
        <f>HLOOKUP((Z$2-1)*12,$W$3:$CE$132,ROW()-2,0)*(1+(HLOOKUP(Z$2,'UW Model'!$M$103:$Q$104,2,0)/12)*(Z$3-((Z$2-1)*12)))</f>
        <v>0</v>
      </c>
      <c r="AA118" s="11">
        <f>HLOOKUP((AA$2-1)*12,$W$3:$CE$132,ROW()-2,0)*(1+(HLOOKUP(AA$2,'UW Model'!$M$103:$Q$104,2,0)/12)*(AA$3-((AA$2-1)*12)))</f>
        <v>0</v>
      </c>
      <c r="AB118" s="11">
        <f>HLOOKUP((AB$2-1)*12,$W$3:$CE$132,ROW()-2,0)*(1+(HLOOKUP(AB$2,'UW Model'!$M$103:$Q$104,2,0)/12)*(AB$3-((AB$2-1)*12)))</f>
        <v>0</v>
      </c>
      <c r="AC118" s="11">
        <f>HLOOKUP((AC$2-1)*12,$W$3:$CE$132,ROW()-2,0)*(1+(HLOOKUP(AC$2,'UW Model'!$M$103:$Q$104,2,0)/12)*(AC$3-((AC$2-1)*12)))</f>
        <v>0</v>
      </c>
      <c r="AD118" s="11">
        <f>HLOOKUP((AD$2-1)*12,$W$3:$CE$132,ROW()-2,0)*(1+(HLOOKUP(AD$2,'UW Model'!$M$103:$Q$104,2,0)/12)*(AD$3-((AD$2-1)*12)))</f>
        <v>0</v>
      </c>
      <c r="AE118" s="11">
        <f>HLOOKUP((AE$2-1)*12,$W$3:$CE$132,ROW()-2,0)*(1+(HLOOKUP(AE$2,'UW Model'!$M$103:$Q$104,2,0)/12)*(AE$3-((AE$2-1)*12)))</f>
        <v>0</v>
      </c>
      <c r="AF118" s="11">
        <f>HLOOKUP((AF$2-1)*12,$W$3:$CE$132,ROW()-2,0)*(1+(HLOOKUP(AF$2,'UW Model'!$M$103:$Q$104,2,0)/12)*(AF$3-((AF$2-1)*12)))</f>
        <v>0</v>
      </c>
      <c r="AG118" s="11">
        <f>HLOOKUP((AG$2-1)*12,$W$3:$CE$132,ROW()-2,0)*(1+(HLOOKUP(AG$2,'UW Model'!$M$103:$Q$104,2,0)/12)*(AG$3-((AG$2-1)*12)))</f>
        <v>0</v>
      </c>
      <c r="AH118" s="11">
        <f>HLOOKUP((AH$2-1)*12,$W$3:$CE$132,ROW()-2,0)*(1+(HLOOKUP(AH$2,'UW Model'!$M$103:$Q$104,2,0)/12)*(AH$3-((AH$2-1)*12)))</f>
        <v>0</v>
      </c>
      <c r="AI118" s="71">
        <f>HLOOKUP((AI$2-1)*12,$W$3:$CE$132,ROW()-2,0)*(1+(HLOOKUP(AI$2,'UW Model'!$M$103:$Q$104,2,0)/12)*(AI$3-((AI$2-1)*12)))</f>
        <v>0</v>
      </c>
      <c r="AJ118" s="201">
        <f>HLOOKUP((AJ$2-1)*12,$W$3:$CE$132,ROW()-2,0)*(1+(HLOOKUP(AJ$2,'UW Model'!$M$103:$Q$104,2,0)/12)*(AJ$3-((AJ$2-1)*12)))</f>
        <v>0</v>
      </c>
      <c r="AK118" s="11">
        <f>HLOOKUP((AK$2-1)*12,$W$3:$CE$132,ROW()-2,0)*(1+(HLOOKUP(AK$2,'UW Model'!$M$103:$Q$104,2,0)/12)*(AK$3-((AK$2-1)*12)))</f>
        <v>0</v>
      </c>
      <c r="AL118" s="11">
        <f>HLOOKUP((AL$2-1)*12,$W$3:$CE$132,ROW()-2,0)*(1+(HLOOKUP(AL$2,'UW Model'!$M$103:$Q$104,2,0)/12)*(AL$3-((AL$2-1)*12)))</f>
        <v>0</v>
      </c>
      <c r="AM118" s="11">
        <f>HLOOKUP((AM$2-1)*12,$W$3:$CE$132,ROW()-2,0)*(1+(HLOOKUP(AM$2,'UW Model'!$M$103:$Q$104,2,0)/12)*(AM$3-((AM$2-1)*12)))</f>
        <v>0</v>
      </c>
      <c r="AN118" s="11">
        <f>HLOOKUP((AN$2-1)*12,$W$3:$CE$132,ROW()-2,0)*(1+(HLOOKUP(AN$2,'UW Model'!$M$103:$Q$104,2,0)/12)*(AN$3-((AN$2-1)*12)))</f>
        <v>0</v>
      </c>
      <c r="AO118" s="11">
        <f>HLOOKUP((AO$2-1)*12,$W$3:$CE$132,ROW()-2,0)*(1+(HLOOKUP(AO$2,'UW Model'!$M$103:$Q$104,2,0)/12)*(AO$3-((AO$2-1)*12)))</f>
        <v>0</v>
      </c>
      <c r="AP118" s="11">
        <f>HLOOKUP((AP$2-1)*12,$W$3:$CE$132,ROW()-2,0)*(1+(HLOOKUP(AP$2,'UW Model'!$M$103:$Q$104,2,0)/12)*(AP$3-((AP$2-1)*12)))</f>
        <v>0</v>
      </c>
      <c r="AQ118" s="11">
        <f>HLOOKUP((AQ$2-1)*12,$W$3:$CE$132,ROW()-2,0)*(1+(HLOOKUP(AQ$2,'UW Model'!$M$103:$Q$104,2,0)/12)*(AQ$3-((AQ$2-1)*12)))</f>
        <v>0</v>
      </c>
      <c r="AR118" s="11">
        <f>HLOOKUP((AR$2-1)*12,$W$3:$CE$132,ROW()-2,0)*(1+(HLOOKUP(AR$2,'UW Model'!$M$103:$Q$104,2,0)/12)*(AR$3-((AR$2-1)*12)))</f>
        <v>0</v>
      </c>
      <c r="AS118" s="11">
        <f>HLOOKUP((AS$2-1)*12,$W$3:$CE$132,ROW()-2,0)*(1+(HLOOKUP(AS$2,'UW Model'!$M$103:$Q$104,2,0)/12)*(AS$3-((AS$2-1)*12)))</f>
        <v>0</v>
      </c>
      <c r="AT118" s="11">
        <f>HLOOKUP((AT$2-1)*12,$W$3:$CE$132,ROW()-2,0)*(1+(HLOOKUP(AT$2,'UW Model'!$M$103:$Q$104,2,0)/12)*(AT$3-((AT$2-1)*12)))</f>
        <v>0</v>
      </c>
      <c r="AU118" s="71">
        <f>HLOOKUP((AU$2-1)*12,$W$3:$CE$132,ROW()-2,0)*(1+(HLOOKUP(AU$2,'UW Model'!$M$103:$Q$104,2,0)/12)*(AU$3-((AU$2-1)*12)))</f>
        <v>0</v>
      </c>
      <c r="AV118" s="11">
        <f>HLOOKUP((AV$2-1)*12,$W$3:$CE$132,ROW()-2,0)*(1+(HLOOKUP(AV$2,'UW Model'!$M$103:$Q$104,2,0)/12)*(AV$3-((AV$2-1)*12)))</f>
        <v>0</v>
      </c>
      <c r="AW118" s="11">
        <f>HLOOKUP((AW$2-1)*12,$W$3:$CE$132,ROW()-2,0)*(1+(HLOOKUP(AW$2,'UW Model'!$M$103:$Q$104,2,0)/12)*(AW$3-((AW$2-1)*12)))</f>
        <v>0</v>
      </c>
      <c r="AX118" s="11">
        <f>HLOOKUP((AX$2-1)*12,$W$3:$CE$132,ROW()-2,0)*(1+(HLOOKUP(AX$2,'UW Model'!$M$103:$Q$104,2,0)/12)*(AX$3-((AX$2-1)*12)))</f>
        <v>0</v>
      </c>
      <c r="AY118" s="11">
        <f>HLOOKUP((AY$2-1)*12,$W$3:$CE$132,ROW()-2,0)*(1+(HLOOKUP(AY$2,'UW Model'!$M$103:$Q$104,2,0)/12)*(AY$3-((AY$2-1)*12)))</f>
        <v>0</v>
      </c>
      <c r="AZ118" s="11">
        <f>HLOOKUP((AZ$2-1)*12,$W$3:$CE$132,ROW()-2,0)*(1+(HLOOKUP(AZ$2,'UW Model'!$M$103:$Q$104,2,0)/12)*(AZ$3-((AZ$2-1)*12)))</f>
        <v>0</v>
      </c>
      <c r="BA118" s="11">
        <f>HLOOKUP((BA$2-1)*12,$W$3:$CE$132,ROW()-2,0)*(1+(HLOOKUP(BA$2,'UW Model'!$M$103:$Q$104,2,0)/12)*(BA$3-((BA$2-1)*12)))</f>
        <v>0</v>
      </c>
      <c r="BB118" s="11">
        <f>HLOOKUP((BB$2-1)*12,$W$3:$CE$132,ROW()-2,0)*(1+(HLOOKUP(BB$2,'UW Model'!$M$103:$Q$104,2,0)/12)*(BB$3-((BB$2-1)*12)))</f>
        <v>0</v>
      </c>
      <c r="BC118" s="11">
        <f>HLOOKUP((BC$2-1)*12,$W$3:$CE$132,ROW()-2,0)*(1+(HLOOKUP(BC$2,'UW Model'!$M$103:$Q$104,2,0)/12)*(BC$3-((BC$2-1)*12)))</f>
        <v>0</v>
      </c>
      <c r="BD118" s="11">
        <f>HLOOKUP((BD$2-1)*12,$W$3:$CE$132,ROW()-2,0)*(1+(HLOOKUP(BD$2,'UW Model'!$M$103:$Q$104,2,0)/12)*(BD$3-((BD$2-1)*12)))</f>
        <v>0</v>
      </c>
      <c r="BE118" s="11">
        <f>HLOOKUP((BE$2-1)*12,$W$3:$CE$132,ROW()-2,0)*(1+(HLOOKUP(BE$2,'UW Model'!$M$103:$Q$104,2,0)/12)*(BE$3-((BE$2-1)*12)))</f>
        <v>0</v>
      </c>
      <c r="BF118" s="11">
        <f>HLOOKUP((BF$2-1)*12,$W$3:$CE$132,ROW()-2,0)*(1+(HLOOKUP(BF$2,'UW Model'!$M$103:$Q$104,2,0)/12)*(BF$3-((BF$2-1)*12)))</f>
        <v>0</v>
      </c>
      <c r="BG118" s="71">
        <f>HLOOKUP((BG$2-1)*12,$W$3:$CE$132,ROW()-2,0)*(1+(HLOOKUP(BG$2,'UW Model'!$M$103:$Q$104,2,0)/12)*(BG$3-((BG$2-1)*12)))</f>
        <v>0</v>
      </c>
      <c r="BH118" s="11">
        <f>HLOOKUP((BH$2-1)*12,$W$3:$CE$132,ROW()-2,0)*(1+(HLOOKUP(BH$2,'UW Model'!$M$103:$Q$104,2,0)/12)*(BH$3-((BH$2-1)*12)))</f>
        <v>0</v>
      </c>
      <c r="BI118" s="11">
        <f>HLOOKUP((BI$2-1)*12,$W$3:$CE$132,ROW()-2,0)*(1+(HLOOKUP(BI$2,'UW Model'!$M$103:$Q$104,2,0)/12)*(BI$3-((BI$2-1)*12)))</f>
        <v>0</v>
      </c>
      <c r="BJ118" s="11">
        <f>HLOOKUP((BJ$2-1)*12,$W$3:$CE$132,ROW()-2,0)*(1+(HLOOKUP(BJ$2,'UW Model'!$M$103:$Q$104,2,0)/12)*(BJ$3-((BJ$2-1)*12)))</f>
        <v>0</v>
      </c>
      <c r="BK118" s="11">
        <f>HLOOKUP((BK$2-1)*12,$W$3:$CE$132,ROW()-2,0)*(1+(HLOOKUP(BK$2,'UW Model'!$M$103:$Q$104,2,0)/12)*(BK$3-((BK$2-1)*12)))</f>
        <v>0</v>
      </c>
      <c r="BL118" s="11">
        <f>HLOOKUP((BL$2-1)*12,$W$3:$CE$132,ROW()-2,0)*(1+(HLOOKUP(BL$2,'UW Model'!$M$103:$Q$104,2,0)/12)*(BL$3-((BL$2-1)*12)))</f>
        <v>0</v>
      </c>
      <c r="BM118" s="11">
        <f>HLOOKUP((BM$2-1)*12,$W$3:$CE$132,ROW()-2,0)*(1+(HLOOKUP(BM$2,'UW Model'!$M$103:$Q$104,2,0)/12)*(BM$3-((BM$2-1)*12)))</f>
        <v>0</v>
      </c>
      <c r="BN118" s="11">
        <f>HLOOKUP((BN$2-1)*12,$W$3:$CE$132,ROW()-2,0)*(1+(HLOOKUP(BN$2,'UW Model'!$M$103:$Q$104,2,0)/12)*(BN$3-((BN$2-1)*12)))</f>
        <v>0</v>
      </c>
      <c r="BO118" s="11">
        <f>HLOOKUP((BO$2-1)*12,$W$3:$CE$132,ROW()-2,0)*(1+(HLOOKUP(BO$2,'UW Model'!$M$103:$Q$104,2,0)/12)*(BO$3-((BO$2-1)*12)))</f>
        <v>0</v>
      </c>
      <c r="BP118" s="11">
        <f>HLOOKUP((BP$2-1)*12,$W$3:$CE$132,ROW()-2,0)*(1+(HLOOKUP(BP$2,'UW Model'!$M$103:$Q$104,2,0)/12)*(BP$3-((BP$2-1)*12)))</f>
        <v>0</v>
      </c>
      <c r="BQ118" s="11">
        <f>HLOOKUP((BQ$2-1)*12,$W$3:$CE$132,ROW()-2,0)*(1+(HLOOKUP(BQ$2,'UW Model'!$M$103:$Q$104,2,0)/12)*(BQ$3-((BQ$2-1)*12)))</f>
        <v>0</v>
      </c>
      <c r="BR118" s="11">
        <f>HLOOKUP((BR$2-1)*12,$W$3:$CE$132,ROW()-2,0)*(1+(HLOOKUP(BR$2,'UW Model'!$M$103:$Q$104,2,0)/12)*(BR$3-((BR$2-1)*12)))</f>
        <v>0</v>
      </c>
      <c r="BS118" s="71">
        <f>HLOOKUP((BS$2-1)*12,$W$3:$CE$132,ROW()-2,0)*(1+(HLOOKUP(BS$2,'UW Model'!$M$103:$Q$104,2,0)/12)*(BS$3-((BS$2-1)*12)))</f>
        <v>0</v>
      </c>
      <c r="BT118" s="11">
        <f>HLOOKUP((BT$2-1)*12,$W$3:$CE$132,ROW()-2,0)*(1+(HLOOKUP(BT$2,'UW Model'!$M$103:$Q$104,2,0)/12)*(BT$3-((BT$2-1)*12)))</f>
        <v>0</v>
      </c>
      <c r="BU118" s="11">
        <f>HLOOKUP((BU$2-1)*12,$W$3:$CE$132,ROW()-2,0)*(1+(HLOOKUP(BU$2,'UW Model'!$M$103:$Q$104,2,0)/12)*(BU$3-((BU$2-1)*12)))</f>
        <v>0</v>
      </c>
      <c r="BV118" s="11">
        <f>HLOOKUP((BV$2-1)*12,$W$3:$CE$132,ROW()-2,0)*(1+(HLOOKUP(BV$2,'UW Model'!$M$103:$Q$104,2,0)/12)*(BV$3-((BV$2-1)*12)))</f>
        <v>0</v>
      </c>
      <c r="BW118" s="11">
        <f>HLOOKUP((BW$2-1)*12,$W$3:$CE$132,ROW()-2,0)*(1+(HLOOKUP(BW$2,'UW Model'!$M$103:$Q$104,2,0)/12)*(BW$3-((BW$2-1)*12)))</f>
        <v>0</v>
      </c>
      <c r="BX118" s="11">
        <f>HLOOKUP((BX$2-1)*12,$W$3:$CE$132,ROW()-2,0)*(1+(HLOOKUP(BX$2,'UW Model'!$M$103:$Q$104,2,0)/12)*(BX$3-((BX$2-1)*12)))</f>
        <v>0</v>
      </c>
      <c r="BY118" s="11">
        <f>HLOOKUP((BY$2-1)*12,$W$3:$CE$132,ROW()-2,0)*(1+(HLOOKUP(BY$2,'UW Model'!$M$103:$Q$104,2,0)/12)*(BY$3-((BY$2-1)*12)))</f>
        <v>0</v>
      </c>
      <c r="BZ118" s="11">
        <f>HLOOKUP((BZ$2-1)*12,$W$3:$CE$132,ROW()-2,0)*(1+(HLOOKUP(BZ$2,'UW Model'!$M$103:$Q$104,2,0)/12)*(BZ$3-((BZ$2-1)*12)))</f>
        <v>0</v>
      </c>
      <c r="CA118" s="11">
        <f>HLOOKUP((CA$2-1)*12,$W$3:$CE$132,ROW()-2,0)*(1+(HLOOKUP(CA$2,'UW Model'!$M$103:$Q$104,2,0)/12)*(CA$3-((CA$2-1)*12)))</f>
        <v>0</v>
      </c>
      <c r="CB118" s="11">
        <f>HLOOKUP((CB$2-1)*12,$W$3:$CE$132,ROW()-2,0)*(1+(HLOOKUP(CB$2,'UW Model'!$M$103:$Q$104,2,0)/12)*(CB$3-((CB$2-1)*12)))</f>
        <v>0</v>
      </c>
      <c r="CC118" s="11">
        <f>HLOOKUP((CC$2-1)*12,$W$3:$CE$132,ROW()-2,0)*(1+(HLOOKUP(CC$2,'UW Model'!$M$103:$Q$104,2,0)/12)*(CC$3-((CC$2-1)*12)))</f>
        <v>0</v>
      </c>
      <c r="CD118" s="11">
        <f>HLOOKUP((CD$2-1)*12,$W$3:$CE$132,ROW()-2,0)*(1+(HLOOKUP(CD$2,'UW Model'!$M$103:$Q$104,2,0)/12)*(CD$3-((CD$2-1)*12)))</f>
        <v>0</v>
      </c>
      <c r="CE118" s="88">
        <f>HLOOKUP((CE$2-1)*12,$W$3:$CE$132,ROW()-2,0)*(1+(HLOOKUP(CE$2,'UW Model'!$M$103:$Q$104,2,0)/12)*(CE$3-((CE$2-1)*12)))</f>
        <v>0</v>
      </c>
    </row>
    <row r="119" spans="16:83" x14ac:dyDescent="0.35">
      <c r="P119" s="936"/>
      <c r="Q119" s="194" t="str">
        <f>$Q$7</f>
        <v/>
      </c>
      <c r="R119" s="199">
        <f t="shared" si="271"/>
        <v>0</v>
      </c>
      <c r="S119" s="121">
        <f t="shared" si="271"/>
        <v>0</v>
      </c>
      <c r="T119" s="121">
        <f t="shared" si="271"/>
        <v>0</v>
      </c>
      <c r="U119" s="121">
        <f t="shared" si="271"/>
        <v>0</v>
      </c>
      <c r="V119" s="200">
        <f t="shared" si="271"/>
        <v>0</v>
      </c>
      <c r="W119" s="201">
        <f>'UW Model'!L29</f>
        <v>0</v>
      </c>
      <c r="X119" s="201">
        <f>HLOOKUP((X$2-1)*12,$W$3:$CE$132,ROW()-2,0)*(1+(HLOOKUP(X$2,'UW Model'!$M$103:$Q$104,2,0)/12)*(X$3-((X$2-1)*12)))</f>
        <v>0</v>
      </c>
      <c r="Y119" s="11">
        <f>HLOOKUP((Y$2-1)*12,$W$3:$CE$132,ROW()-2,0)*(1+(HLOOKUP(Y$2,'UW Model'!$M$103:$Q$104,2,0)/12)*(Y$3-((Y$2-1)*12)))</f>
        <v>0</v>
      </c>
      <c r="Z119" s="11">
        <f>HLOOKUP((Z$2-1)*12,$W$3:$CE$132,ROW()-2,0)*(1+(HLOOKUP(Z$2,'UW Model'!$M$103:$Q$104,2,0)/12)*(Z$3-((Z$2-1)*12)))</f>
        <v>0</v>
      </c>
      <c r="AA119" s="11">
        <f>HLOOKUP((AA$2-1)*12,$W$3:$CE$132,ROW()-2,0)*(1+(HLOOKUP(AA$2,'UW Model'!$M$103:$Q$104,2,0)/12)*(AA$3-((AA$2-1)*12)))</f>
        <v>0</v>
      </c>
      <c r="AB119" s="11">
        <f>HLOOKUP((AB$2-1)*12,$W$3:$CE$132,ROW()-2,0)*(1+(HLOOKUP(AB$2,'UW Model'!$M$103:$Q$104,2,0)/12)*(AB$3-((AB$2-1)*12)))</f>
        <v>0</v>
      </c>
      <c r="AC119" s="11">
        <f>HLOOKUP((AC$2-1)*12,$W$3:$CE$132,ROW()-2,0)*(1+(HLOOKUP(AC$2,'UW Model'!$M$103:$Q$104,2,0)/12)*(AC$3-((AC$2-1)*12)))</f>
        <v>0</v>
      </c>
      <c r="AD119" s="11">
        <f>HLOOKUP((AD$2-1)*12,$W$3:$CE$132,ROW()-2,0)*(1+(HLOOKUP(AD$2,'UW Model'!$M$103:$Q$104,2,0)/12)*(AD$3-((AD$2-1)*12)))</f>
        <v>0</v>
      </c>
      <c r="AE119" s="11">
        <f>HLOOKUP((AE$2-1)*12,$W$3:$CE$132,ROW()-2,0)*(1+(HLOOKUP(AE$2,'UW Model'!$M$103:$Q$104,2,0)/12)*(AE$3-((AE$2-1)*12)))</f>
        <v>0</v>
      </c>
      <c r="AF119" s="11">
        <f>HLOOKUP((AF$2-1)*12,$W$3:$CE$132,ROW()-2,0)*(1+(HLOOKUP(AF$2,'UW Model'!$M$103:$Q$104,2,0)/12)*(AF$3-((AF$2-1)*12)))</f>
        <v>0</v>
      </c>
      <c r="AG119" s="11">
        <f>HLOOKUP((AG$2-1)*12,$W$3:$CE$132,ROW()-2,0)*(1+(HLOOKUP(AG$2,'UW Model'!$M$103:$Q$104,2,0)/12)*(AG$3-((AG$2-1)*12)))</f>
        <v>0</v>
      </c>
      <c r="AH119" s="11">
        <f>HLOOKUP((AH$2-1)*12,$W$3:$CE$132,ROW()-2,0)*(1+(HLOOKUP(AH$2,'UW Model'!$M$103:$Q$104,2,0)/12)*(AH$3-((AH$2-1)*12)))</f>
        <v>0</v>
      </c>
      <c r="AI119" s="71">
        <f>HLOOKUP((AI$2-1)*12,$W$3:$CE$132,ROW()-2,0)*(1+(HLOOKUP(AI$2,'UW Model'!$M$103:$Q$104,2,0)/12)*(AI$3-((AI$2-1)*12)))</f>
        <v>0</v>
      </c>
      <c r="AJ119" s="201">
        <f>HLOOKUP((AJ$2-1)*12,$W$3:$CE$132,ROW()-2,0)*(1+(HLOOKUP(AJ$2,'UW Model'!$M$103:$Q$104,2,0)/12)*(AJ$3-((AJ$2-1)*12)))</f>
        <v>0</v>
      </c>
      <c r="AK119" s="11">
        <f>HLOOKUP((AK$2-1)*12,$W$3:$CE$132,ROW()-2,0)*(1+(HLOOKUP(AK$2,'UW Model'!$M$103:$Q$104,2,0)/12)*(AK$3-((AK$2-1)*12)))</f>
        <v>0</v>
      </c>
      <c r="AL119" s="11">
        <f>HLOOKUP((AL$2-1)*12,$W$3:$CE$132,ROW()-2,0)*(1+(HLOOKUP(AL$2,'UW Model'!$M$103:$Q$104,2,0)/12)*(AL$3-((AL$2-1)*12)))</f>
        <v>0</v>
      </c>
      <c r="AM119" s="11">
        <f>HLOOKUP((AM$2-1)*12,$W$3:$CE$132,ROW()-2,0)*(1+(HLOOKUP(AM$2,'UW Model'!$M$103:$Q$104,2,0)/12)*(AM$3-((AM$2-1)*12)))</f>
        <v>0</v>
      </c>
      <c r="AN119" s="11">
        <f>HLOOKUP((AN$2-1)*12,$W$3:$CE$132,ROW()-2,0)*(1+(HLOOKUP(AN$2,'UW Model'!$M$103:$Q$104,2,0)/12)*(AN$3-((AN$2-1)*12)))</f>
        <v>0</v>
      </c>
      <c r="AO119" s="11">
        <f>HLOOKUP((AO$2-1)*12,$W$3:$CE$132,ROW()-2,0)*(1+(HLOOKUP(AO$2,'UW Model'!$M$103:$Q$104,2,0)/12)*(AO$3-((AO$2-1)*12)))</f>
        <v>0</v>
      </c>
      <c r="AP119" s="11">
        <f>HLOOKUP((AP$2-1)*12,$W$3:$CE$132,ROW()-2,0)*(1+(HLOOKUP(AP$2,'UW Model'!$M$103:$Q$104,2,0)/12)*(AP$3-((AP$2-1)*12)))</f>
        <v>0</v>
      </c>
      <c r="AQ119" s="11">
        <f>HLOOKUP((AQ$2-1)*12,$W$3:$CE$132,ROW()-2,0)*(1+(HLOOKUP(AQ$2,'UW Model'!$M$103:$Q$104,2,0)/12)*(AQ$3-((AQ$2-1)*12)))</f>
        <v>0</v>
      </c>
      <c r="AR119" s="11">
        <f>HLOOKUP((AR$2-1)*12,$W$3:$CE$132,ROW()-2,0)*(1+(HLOOKUP(AR$2,'UW Model'!$M$103:$Q$104,2,0)/12)*(AR$3-((AR$2-1)*12)))</f>
        <v>0</v>
      </c>
      <c r="AS119" s="11">
        <f>HLOOKUP((AS$2-1)*12,$W$3:$CE$132,ROW()-2,0)*(1+(HLOOKUP(AS$2,'UW Model'!$M$103:$Q$104,2,0)/12)*(AS$3-((AS$2-1)*12)))</f>
        <v>0</v>
      </c>
      <c r="AT119" s="11">
        <f>HLOOKUP((AT$2-1)*12,$W$3:$CE$132,ROW()-2,0)*(1+(HLOOKUP(AT$2,'UW Model'!$M$103:$Q$104,2,0)/12)*(AT$3-((AT$2-1)*12)))</f>
        <v>0</v>
      </c>
      <c r="AU119" s="71">
        <f>HLOOKUP((AU$2-1)*12,$W$3:$CE$132,ROW()-2,0)*(1+(HLOOKUP(AU$2,'UW Model'!$M$103:$Q$104,2,0)/12)*(AU$3-((AU$2-1)*12)))</f>
        <v>0</v>
      </c>
      <c r="AV119" s="11">
        <f>HLOOKUP((AV$2-1)*12,$W$3:$CE$132,ROW()-2,0)*(1+(HLOOKUP(AV$2,'UW Model'!$M$103:$Q$104,2,0)/12)*(AV$3-((AV$2-1)*12)))</f>
        <v>0</v>
      </c>
      <c r="AW119" s="11">
        <f>HLOOKUP((AW$2-1)*12,$W$3:$CE$132,ROW()-2,0)*(1+(HLOOKUP(AW$2,'UW Model'!$M$103:$Q$104,2,0)/12)*(AW$3-((AW$2-1)*12)))</f>
        <v>0</v>
      </c>
      <c r="AX119" s="11">
        <f>HLOOKUP((AX$2-1)*12,$W$3:$CE$132,ROW()-2,0)*(1+(HLOOKUP(AX$2,'UW Model'!$M$103:$Q$104,2,0)/12)*(AX$3-((AX$2-1)*12)))</f>
        <v>0</v>
      </c>
      <c r="AY119" s="11">
        <f>HLOOKUP((AY$2-1)*12,$W$3:$CE$132,ROW()-2,0)*(1+(HLOOKUP(AY$2,'UW Model'!$M$103:$Q$104,2,0)/12)*(AY$3-((AY$2-1)*12)))</f>
        <v>0</v>
      </c>
      <c r="AZ119" s="11">
        <f>HLOOKUP((AZ$2-1)*12,$W$3:$CE$132,ROW()-2,0)*(1+(HLOOKUP(AZ$2,'UW Model'!$M$103:$Q$104,2,0)/12)*(AZ$3-((AZ$2-1)*12)))</f>
        <v>0</v>
      </c>
      <c r="BA119" s="11">
        <f>HLOOKUP((BA$2-1)*12,$W$3:$CE$132,ROW()-2,0)*(1+(HLOOKUP(BA$2,'UW Model'!$M$103:$Q$104,2,0)/12)*(BA$3-((BA$2-1)*12)))</f>
        <v>0</v>
      </c>
      <c r="BB119" s="11">
        <f>HLOOKUP((BB$2-1)*12,$W$3:$CE$132,ROW()-2,0)*(1+(HLOOKUP(BB$2,'UW Model'!$M$103:$Q$104,2,0)/12)*(BB$3-((BB$2-1)*12)))</f>
        <v>0</v>
      </c>
      <c r="BC119" s="11">
        <f>HLOOKUP((BC$2-1)*12,$W$3:$CE$132,ROW()-2,0)*(1+(HLOOKUP(BC$2,'UW Model'!$M$103:$Q$104,2,0)/12)*(BC$3-((BC$2-1)*12)))</f>
        <v>0</v>
      </c>
      <c r="BD119" s="11">
        <f>HLOOKUP((BD$2-1)*12,$W$3:$CE$132,ROW()-2,0)*(1+(HLOOKUP(BD$2,'UW Model'!$M$103:$Q$104,2,0)/12)*(BD$3-((BD$2-1)*12)))</f>
        <v>0</v>
      </c>
      <c r="BE119" s="11">
        <f>HLOOKUP((BE$2-1)*12,$W$3:$CE$132,ROW()-2,0)*(1+(HLOOKUP(BE$2,'UW Model'!$M$103:$Q$104,2,0)/12)*(BE$3-((BE$2-1)*12)))</f>
        <v>0</v>
      </c>
      <c r="BF119" s="11">
        <f>HLOOKUP((BF$2-1)*12,$W$3:$CE$132,ROW()-2,0)*(1+(HLOOKUP(BF$2,'UW Model'!$M$103:$Q$104,2,0)/12)*(BF$3-((BF$2-1)*12)))</f>
        <v>0</v>
      </c>
      <c r="BG119" s="71">
        <f>HLOOKUP((BG$2-1)*12,$W$3:$CE$132,ROW()-2,0)*(1+(HLOOKUP(BG$2,'UW Model'!$M$103:$Q$104,2,0)/12)*(BG$3-((BG$2-1)*12)))</f>
        <v>0</v>
      </c>
      <c r="BH119" s="11">
        <f>HLOOKUP((BH$2-1)*12,$W$3:$CE$132,ROW()-2,0)*(1+(HLOOKUP(BH$2,'UW Model'!$M$103:$Q$104,2,0)/12)*(BH$3-((BH$2-1)*12)))</f>
        <v>0</v>
      </c>
      <c r="BI119" s="11">
        <f>HLOOKUP((BI$2-1)*12,$W$3:$CE$132,ROW()-2,0)*(1+(HLOOKUP(BI$2,'UW Model'!$M$103:$Q$104,2,0)/12)*(BI$3-((BI$2-1)*12)))</f>
        <v>0</v>
      </c>
      <c r="BJ119" s="11">
        <f>HLOOKUP((BJ$2-1)*12,$W$3:$CE$132,ROW()-2,0)*(1+(HLOOKUP(BJ$2,'UW Model'!$M$103:$Q$104,2,0)/12)*(BJ$3-((BJ$2-1)*12)))</f>
        <v>0</v>
      </c>
      <c r="BK119" s="11">
        <f>HLOOKUP((BK$2-1)*12,$W$3:$CE$132,ROW()-2,0)*(1+(HLOOKUP(BK$2,'UW Model'!$M$103:$Q$104,2,0)/12)*(BK$3-((BK$2-1)*12)))</f>
        <v>0</v>
      </c>
      <c r="BL119" s="11">
        <f>HLOOKUP((BL$2-1)*12,$W$3:$CE$132,ROW()-2,0)*(1+(HLOOKUP(BL$2,'UW Model'!$M$103:$Q$104,2,0)/12)*(BL$3-((BL$2-1)*12)))</f>
        <v>0</v>
      </c>
      <c r="BM119" s="11">
        <f>HLOOKUP((BM$2-1)*12,$W$3:$CE$132,ROW()-2,0)*(1+(HLOOKUP(BM$2,'UW Model'!$M$103:$Q$104,2,0)/12)*(BM$3-((BM$2-1)*12)))</f>
        <v>0</v>
      </c>
      <c r="BN119" s="11">
        <f>HLOOKUP((BN$2-1)*12,$W$3:$CE$132,ROW()-2,0)*(1+(HLOOKUP(BN$2,'UW Model'!$M$103:$Q$104,2,0)/12)*(BN$3-((BN$2-1)*12)))</f>
        <v>0</v>
      </c>
      <c r="BO119" s="11">
        <f>HLOOKUP((BO$2-1)*12,$W$3:$CE$132,ROW()-2,0)*(1+(HLOOKUP(BO$2,'UW Model'!$M$103:$Q$104,2,0)/12)*(BO$3-((BO$2-1)*12)))</f>
        <v>0</v>
      </c>
      <c r="BP119" s="11">
        <f>HLOOKUP((BP$2-1)*12,$W$3:$CE$132,ROW()-2,0)*(1+(HLOOKUP(BP$2,'UW Model'!$M$103:$Q$104,2,0)/12)*(BP$3-((BP$2-1)*12)))</f>
        <v>0</v>
      </c>
      <c r="BQ119" s="11">
        <f>HLOOKUP((BQ$2-1)*12,$W$3:$CE$132,ROW()-2,0)*(1+(HLOOKUP(BQ$2,'UW Model'!$M$103:$Q$104,2,0)/12)*(BQ$3-((BQ$2-1)*12)))</f>
        <v>0</v>
      </c>
      <c r="BR119" s="11">
        <f>HLOOKUP((BR$2-1)*12,$W$3:$CE$132,ROW()-2,0)*(1+(HLOOKUP(BR$2,'UW Model'!$M$103:$Q$104,2,0)/12)*(BR$3-((BR$2-1)*12)))</f>
        <v>0</v>
      </c>
      <c r="BS119" s="71">
        <f>HLOOKUP((BS$2-1)*12,$W$3:$CE$132,ROW()-2,0)*(1+(HLOOKUP(BS$2,'UW Model'!$M$103:$Q$104,2,0)/12)*(BS$3-((BS$2-1)*12)))</f>
        <v>0</v>
      </c>
      <c r="BT119" s="11">
        <f>HLOOKUP((BT$2-1)*12,$W$3:$CE$132,ROW()-2,0)*(1+(HLOOKUP(BT$2,'UW Model'!$M$103:$Q$104,2,0)/12)*(BT$3-((BT$2-1)*12)))</f>
        <v>0</v>
      </c>
      <c r="BU119" s="11">
        <f>HLOOKUP((BU$2-1)*12,$W$3:$CE$132,ROW()-2,0)*(1+(HLOOKUP(BU$2,'UW Model'!$M$103:$Q$104,2,0)/12)*(BU$3-((BU$2-1)*12)))</f>
        <v>0</v>
      </c>
      <c r="BV119" s="11">
        <f>HLOOKUP((BV$2-1)*12,$W$3:$CE$132,ROW()-2,0)*(1+(HLOOKUP(BV$2,'UW Model'!$M$103:$Q$104,2,0)/12)*(BV$3-((BV$2-1)*12)))</f>
        <v>0</v>
      </c>
      <c r="BW119" s="11">
        <f>HLOOKUP((BW$2-1)*12,$W$3:$CE$132,ROW()-2,0)*(1+(HLOOKUP(BW$2,'UW Model'!$M$103:$Q$104,2,0)/12)*(BW$3-((BW$2-1)*12)))</f>
        <v>0</v>
      </c>
      <c r="BX119" s="11">
        <f>HLOOKUP((BX$2-1)*12,$W$3:$CE$132,ROW()-2,0)*(1+(HLOOKUP(BX$2,'UW Model'!$M$103:$Q$104,2,0)/12)*(BX$3-((BX$2-1)*12)))</f>
        <v>0</v>
      </c>
      <c r="BY119" s="11">
        <f>HLOOKUP((BY$2-1)*12,$W$3:$CE$132,ROW()-2,0)*(1+(HLOOKUP(BY$2,'UW Model'!$M$103:$Q$104,2,0)/12)*(BY$3-((BY$2-1)*12)))</f>
        <v>0</v>
      </c>
      <c r="BZ119" s="11">
        <f>HLOOKUP((BZ$2-1)*12,$W$3:$CE$132,ROW()-2,0)*(1+(HLOOKUP(BZ$2,'UW Model'!$M$103:$Q$104,2,0)/12)*(BZ$3-((BZ$2-1)*12)))</f>
        <v>0</v>
      </c>
      <c r="CA119" s="11">
        <f>HLOOKUP((CA$2-1)*12,$W$3:$CE$132,ROW()-2,0)*(1+(HLOOKUP(CA$2,'UW Model'!$M$103:$Q$104,2,0)/12)*(CA$3-((CA$2-1)*12)))</f>
        <v>0</v>
      </c>
      <c r="CB119" s="11">
        <f>HLOOKUP((CB$2-1)*12,$W$3:$CE$132,ROW()-2,0)*(1+(HLOOKUP(CB$2,'UW Model'!$M$103:$Q$104,2,0)/12)*(CB$3-((CB$2-1)*12)))</f>
        <v>0</v>
      </c>
      <c r="CC119" s="11">
        <f>HLOOKUP((CC$2-1)*12,$W$3:$CE$132,ROW()-2,0)*(1+(HLOOKUP(CC$2,'UW Model'!$M$103:$Q$104,2,0)/12)*(CC$3-((CC$2-1)*12)))</f>
        <v>0</v>
      </c>
      <c r="CD119" s="11">
        <f>HLOOKUP((CD$2-1)*12,$W$3:$CE$132,ROW()-2,0)*(1+(HLOOKUP(CD$2,'UW Model'!$M$103:$Q$104,2,0)/12)*(CD$3-((CD$2-1)*12)))</f>
        <v>0</v>
      </c>
      <c r="CE119" s="88">
        <f>HLOOKUP((CE$2-1)*12,$W$3:$CE$132,ROW()-2,0)*(1+(HLOOKUP(CE$2,'UW Model'!$M$103:$Q$104,2,0)/12)*(CE$3-((CE$2-1)*12)))</f>
        <v>0</v>
      </c>
    </row>
    <row r="120" spans="16:83" x14ac:dyDescent="0.35">
      <c r="P120" s="936"/>
      <c r="Q120" s="194" t="str">
        <f>$Q$8</f>
        <v/>
      </c>
      <c r="R120" s="199">
        <f t="shared" si="271"/>
        <v>0</v>
      </c>
      <c r="S120" s="121">
        <f t="shared" si="271"/>
        <v>0</v>
      </c>
      <c r="T120" s="121">
        <f t="shared" si="271"/>
        <v>0</v>
      </c>
      <c r="U120" s="121">
        <f t="shared" si="271"/>
        <v>0</v>
      </c>
      <c r="V120" s="200">
        <f t="shared" si="271"/>
        <v>0</v>
      </c>
      <c r="W120" s="201">
        <f>'UW Model'!L30</f>
        <v>0</v>
      </c>
      <c r="X120" s="201">
        <f>HLOOKUP((X$2-1)*12,$W$3:$CE$132,ROW()-2,0)*(1+(HLOOKUP(X$2,'UW Model'!$M$103:$Q$104,2,0)/12)*(X$3-((X$2-1)*12)))</f>
        <v>0</v>
      </c>
      <c r="Y120" s="11">
        <f>HLOOKUP((Y$2-1)*12,$W$3:$CE$132,ROW()-2,0)*(1+(HLOOKUP(Y$2,'UW Model'!$M$103:$Q$104,2,0)/12)*(Y$3-((Y$2-1)*12)))</f>
        <v>0</v>
      </c>
      <c r="Z120" s="11">
        <f>HLOOKUP((Z$2-1)*12,$W$3:$CE$132,ROW()-2,0)*(1+(HLOOKUP(Z$2,'UW Model'!$M$103:$Q$104,2,0)/12)*(Z$3-((Z$2-1)*12)))</f>
        <v>0</v>
      </c>
      <c r="AA120" s="11">
        <f>HLOOKUP((AA$2-1)*12,$W$3:$CE$132,ROW()-2,0)*(1+(HLOOKUP(AA$2,'UW Model'!$M$103:$Q$104,2,0)/12)*(AA$3-((AA$2-1)*12)))</f>
        <v>0</v>
      </c>
      <c r="AB120" s="11">
        <f>HLOOKUP((AB$2-1)*12,$W$3:$CE$132,ROW()-2,0)*(1+(HLOOKUP(AB$2,'UW Model'!$M$103:$Q$104,2,0)/12)*(AB$3-((AB$2-1)*12)))</f>
        <v>0</v>
      </c>
      <c r="AC120" s="11">
        <f>HLOOKUP((AC$2-1)*12,$W$3:$CE$132,ROW()-2,0)*(1+(HLOOKUP(AC$2,'UW Model'!$M$103:$Q$104,2,0)/12)*(AC$3-((AC$2-1)*12)))</f>
        <v>0</v>
      </c>
      <c r="AD120" s="11">
        <f>HLOOKUP((AD$2-1)*12,$W$3:$CE$132,ROW()-2,0)*(1+(HLOOKUP(AD$2,'UW Model'!$M$103:$Q$104,2,0)/12)*(AD$3-((AD$2-1)*12)))</f>
        <v>0</v>
      </c>
      <c r="AE120" s="11">
        <f>HLOOKUP((AE$2-1)*12,$W$3:$CE$132,ROW()-2,0)*(1+(HLOOKUP(AE$2,'UW Model'!$M$103:$Q$104,2,0)/12)*(AE$3-((AE$2-1)*12)))</f>
        <v>0</v>
      </c>
      <c r="AF120" s="11">
        <f>HLOOKUP((AF$2-1)*12,$W$3:$CE$132,ROW()-2,0)*(1+(HLOOKUP(AF$2,'UW Model'!$M$103:$Q$104,2,0)/12)*(AF$3-((AF$2-1)*12)))</f>
        <v>0</v>
      </c>
      <c r="AG120" s="11">
        <f>HLOOKUP((AG$2-1)*12,$W$3:$CE$132,ROW()-2,0)*(1+(HLOOKUP(AG$2,'UW Model'!$M$103:$Q$104,2,0)/12)*(AG$3-((AG$2-1)*12)))</f>
        <v>0</v>
      </c>
      <c r="AH120" s="11">
        <f>HLOOKUP((AH$2-1)*12,$W$3:$CE$132,ROW()-2,0)*(1+(HLOOKUP(AH$2,'UW Model'!$M$103:$Q$104,2,0)/12)*(AH$3-((AH$2-1)*12)))</f>
        <v>0</v>
      </c>
      <c r="AI120" s="71">
        <f>HLOOKUP((AI$2-1)*12,$W$3:$CE$132,ROW()-2,0)*(1+(HLOOKUP(AI$2,'UW Model'!$M$103:$Q$104,2,0)/12)*(AI$3-((AI$2-1)*12)))</f>
        <v>0</v>
      </c>
      <c r="AJ120" s="201">
        <f>HLOOKUP((AJ$2-1)*12,$W$3:$CE$132,ROW()-2,0)*(1+(HLOOKUP(AJ$2,'UW Model'!$M$103:$Q$104,2,0)/12)*(AJ$3-((AJ$2-1)*12)))</f>
        <v>0</v>
      </c>
      <c r="AK120" s="11">
        <f>HLOOKUP((AK$2-1)*12,$W$3:$CE$132,ROW()-2,0)*(1+(HLOOKUP(AK$2,'UW Model'!$M$103:$Q$104,2,0)/12)*(AK$3-((AK$2-1)*12)))</f>
        <v>0</v>
      </c>
      <c r="AL120" s="11">
        <f>HLOOKUP((AL$2-1)*12,$W$3:$CE$132,ROW()-2,0)*(1+(HLOOKUP(AL$2,'UW Model'!$M$103:$Q$104,2,0)/12)*(AL$3-((AL$2-1)*12)))</f>
        <v>0</v>
      </c>
      <c r="AM120" s="11">
        <f>HLOOKUP((AM$2-1)*12,$W$3:$CE$132,ROW()-2,0)*(1+(HLOOKUP(AM$2,'UW Model'!$M$103:$Q$104,2,0)/12)*(AM$3-((AM$2-1)*12)))</f>
        <v>0</v>
      </c>
      <c r="AN120" s="11">
        <f>HLOOKUP((AN$2-1)*12,$W$3:$CE$132,ROW()-2,0)*(1+(HLOOKUP(AN$2,'UW Model'!$M$103:$Q$104,2,0)/12)*(AN$3-((AN$2-1)*12)))</f>
        <v>0</v>
      </c>
      <c r="AO120" s="11">
        <f>HLOOKUP((AO$2-1)*12,$W$3:$CE$132,ROW()-2,0)*(1+(HLOOKUP(AO$2,'UW Model'!$M$103:$Q$104,2,0)/12)*(AO$3-((AO$2-1)*12)))</f>
        <v>0</v>
      </c>
      <c r="AP120" s="11">
        <f>HLOOKUP((AP$2-1)*12,$W$3:$CE$132,ROW()-2,0)*(1+(HLOOKUP(AP$2,'UW Model'!$M$103:$Q$104,2,0)/12)*(AP$3-((AP$2-1)*12)))</f>
        <v>0</v>
      </c>
      <c r="AQ120" s="11">
        <f>HLOOKUP((AQ$2-1)*12,$W$3:$CE$132,ROW()-2,0)*(1+(HLOOKUP(AQ$2,'UW Model'!$M$103:$Q$104,2,0)/12)*(AQ$3-((AQ$2-1)*12)))</f>
        <v>0</v>
      </c>
      <c r="AR120" s="11">
        <f>HLOOKUP((AR$2-1)*12,$W$3:$CE$132,ROW()-2,0)*(1+(HLOOKUP(AR$2,'UW Model'!$M$103:$Q$104,2,0)/12)*(AR$3-((AR$2-1)*12)))</f>
        <v>0</v>
      </c>
      <c r="AS120" s="11">
        <f>HLOOKUP((AS$2-1)*12,$W$3:$CE$132,ROW()-2,0)*(1+(HLOOKUP(AS$2,'UW Model'!$M$103:$Q$104,2,0)/12)*(AS$3-((AS$2-1)*12)))</f>
        <v>0</v>
      </c>
      <c r="AT120" s="11">
        <f>HLOOKUP((AT$2-1)*12,$W$3:$CE$132,ROW()-2,0)*(1+(HLOOKUP(AT$2,'UW Model'!$M$103:$Q$104,2,0)/12)*(AT$3-((AT$2-1)*12)))</f>
        <v>0</v>
      </c>
      <c r="AU120" s="71">
        <f>HLOOKUP((AU$2-1)*12,$W$3:$CE$132,ROW()-2,0)*(1+(HLOOKUP(AU$2,'UW Model'!$M$103:$Q$104,2,0)/12)*(AU$3-((AU$2-1)*12)))</f>
        <v>0</v>
      </c>
      <c r="AV120" s="11">
        <f>HLOOKUP((AV$2-1)*12,$W$3:$CE$132,ROW()-2,0)*(1+(HLOOKUP(AV$2,'UW Model'!$M$103:$Q$104,2,0)/12)*(AV$3-((AV$2-1)*12)))</f>
        <v>0</v>
      </c>
      <c r="AW120" s="11">
        <f>HLOOKUP((AW$2-1)*12,$W$3:$CE$132,ROW()-2,0)*(1+(HLOOKUP(AW$2,'UW Model'!$M$103:$Q$104,2,0)/12)*(AW$3-((AW$2-1)*12)))</f>
        <v>0</v>
      </c>
      <c r="AX120" s="11">
        <f>HLOOKUP((AX$2-1)*12,$W$3:$CE$132,ROW()-2,0)*(1+(HLOOKUP(AX$2,'UW Model'!$M$103:$Q$104,2,0)/12)*(AX$3-((AX$2-1)*12)))</f>
        <v>0</v>
      </c>
      <c r="AY120" s="11">
        <f>HLOOKUP((AY$2-1)*12,$W$3:$CE$132,ROW()-2,0)*(1+(HLOOKUP(AY$2,'UW Model'!$M$103:$Q$104,2,0)/12)*(AY$3-((AY$2-1)*12)))</f>
        <v>0</v>
      </c>
      <c r="AZ120" s="11">
        <f>HLOOKUP((AZ$2-1)*12,$W$3:$CE$132,ROW()-2,0)*(1+(HLOOKUP(AZ$2,'UW Model'!$M$103:$Q$104,2,0)/12)*(AZ$3-((AZ$2-1)*12)))</f>
        <v>0</v>
      </c>
      <c r="BA120" s="11">
        <f>HLOOKUP((BA$2-1)*12,$W$3:$CE$132,ROW()-2,0)*(1+(HLOOKUP(BA$2,'UW Model'!$M$103:$Q$104,2,0)/12)*(BA$3-((BA$2-1)*12)))</f>
        <v>0</v>
      </c>
      <c r="BB120" s="11">
        <f>HLOOKUP((BB$2-1)*12,$W$3:$CE$132,ROW()-2,0)*(1+(HLOOKUP(BB$2,'UW Model'!$M$103:$Q$104,2,0)/12)*(BB$3-((BB$2-1)*12)))</f>
        <v>0</v>
      </c>
      <c r="BC120" s="11">
        <f>HLOOKUP((BC$2-1)*12,$W$3:$CE$132,ROW()-2,0)*(1+(HLOOKUP(BC$2,'UW Model'!$M$103:$Q$104,2,0)/12)*(BC$3-((BC$2-1)*12)))</f>
        <v>0</v>
      </c>
      <c r="BD120" s="11">
        <f>HLOOKUP((BD$2-1)*12,$W$3:$CE$132,ROW()-2,0)*(1+(HLOOKUP(BD$2,'UW Model'!$M$103:$Q$104,2,0)/12)*(BD$3-((BD$2-1)*12)))</f>
        <v>0</v>
      </c>
      <c r="BE120" s="11">
        <f>HLOOKUP((BE$2-1)*12,$W$3:$CE$132,ROW()-2,0)*(1+(HLOOKUP(BE$2,'UW Model'!$M$103:$Q$104,2,0)/12)*(BE$3-((BE$2-1)*12)))</f>
        <v>0</v>
      </c>
      <c r="BF120" s="11">
        <f>HLOOKUP((BF$2-1)*12,$W$3:$CE$132,ROW()-2,0)*(1+(HLOOKUP(BF$2,'UW Model'!$M$103:$Q$104,2,0)/12)*(BF$3-((BF$2-1)*12)))</f>
        <v>0</v>
      </c>
      <c r="BG120" s="71">
        <f>HLOOKUP((BG$2-1)*12,$W$3:$CE$132,ROW()-2,0)*(1+(HLOOKUP(BG$2,'UW Model'!$M$103:$Q$104,2,0)/12)*(BG$3-((BG$2-1)*12)))</f>
        <v>0</v>
      </c>
      <c r="BH120" s="11">
        <f>HLOOKUP((BH$2-1)*12,$W$3:$CE$132,ROW()-2,0)*(1+(HLOOKUP(BH$2,'UW Model'!$M$103:$Q$104,2,0)/12)*(BH$3-((BH$2-1)*12)))</f>
        <v>0</v>
      </c>
      <c r="BI120" s="11">
        <f>HLOOKUP((BI$2-1)*12,$W$3:$CE$132,ROW()-2,0)*(1+(HLOOKUP(BI$2,'UW Model'!$M$103:$Q$104,2,0)/12)*(BI$3-((BI$2-1)*12)))</f>
        <v>0</v>
      </c>
      <c r="BJ120" s="11">
        <f>HLOOKUP((BJ$2-1)*12,$W$3:$CE$132,ROW()-2,0)*(1+(HLOOKUP(BJ$2,'UW Model'!$M$103:$Q$104,2,0)/12)*(BJ$3-((BJ$2-1)*12)))</f>
        <v>0</v>
      </c>
      <c r="BK120" s="11">
        <f>HLOOKUP((BK$2-1)*12,$W$3:$CE$132,ROW()-2,0)*(1+(HLOOKUP(BK$2,'UW Model'!$M$103:$Q$104,2,0)/12)*(BK$3-((BK$2-1)*12)))</f>
        <v>0</v>
      </c>
      <c r="BL120" s="11">
        <f>HLOOKUP((BL$2-1)*12,$W$3:$CE$132,ROW()-2,0)*(1+(HLOOKUP(BL$2,'UW Model'!$M$103:$Q$104,2,0)/12)*(BL$3-((BL$2-1)*12)))</f>
        <v>0</v>
      </c>
      <c r="BM120" s="11">
        <f>HLOOKUP((BM$2-1)*12,$W$3:$CE$132,ROW()-2,0)*(1+(HLOOKUP(BM$2,'UW Model'!$M$103:$Q$104,2,0)/12)*(BM$3-((BM$2-1)*12)))</f>
        <v>0</v>
      </c>
      <c r="BN120" s="11">
        <f>HLOOKUP((BN$2-1)*12,$W$3:$CE$132,ROW()-2,0)*(1+(HLOOKUP(BN$2,'UW Model'!$M$103:$Q$104,2,0)/12)*(BN$3-((BN$2-1)*12)))</f>
        <v>0</v>
      </c>
      <c r="BO120" s="11">
        <f>HLOOKUP((BO$2-1)*12,$W$3:$CE$132,ROW()-2,0)*(1+(HLOOKUP(BO$2,'UW Model'!$M$103:$Q$104,2,0)/12)*(BO$3-((BO$2-1)*12)))</f>
        <v>0</v>
      </c>
      <c r="BP120" s="11">
        <f>HLOOKUP((BP$2-1)*12,$W$3:$CE$132,ROW()-2,0)*(1+(HLOOKUP(BP$2,'UW Model'!$M$103:$Q$104,2,0)/12)*(BP$3-((BP$2-1)*12)))</f>
        <v>0</v>
      </c>
      <c r="BQ120" s="11">
        <f>HLOOKUP((BQ$2-1)*12,$W$3:$CE$132,ROW()-2,0)*(1+(HLOOKUP(BQ$2,'UW Model'!$M$103:$Q$104,2,0)/12)*(BQ$3-((BQ$2-1)*12)))</f>
        <v>0</v>
      </c>
      <c r="BR120" s="11">
        <f>HLOOKUP((BR$2-1)*12,$W$3:$CE$132,ROW()-2,0)*(1+(HLOOKUP(BR$2,'UW Model'!$M$103:$Q$104,2,0)/12)*(BR$3-((BR$2-1)*12)))</f>
        <v>0</v>
      </c>
      <c r="BS120" s="71">
        <f>HLOOKUP((BS$2-1)*12,$W$3:$CE$132,ROW()-2,0)*(1+(HLOOKUP(BS$2,'UW Model'!$M$103:$Q$104,2,0)/12)*(BS$3-((BS$2-1)*12)))</f>
        <v>0</v>
      </c>
      <c r="BT120" s="11">
        <f>HLOOKUP((BT$2-1)*12,$W$3:$CE$132,ROW()-2,0)*(1+(HLOOKUP(BT$2,'UW Model'!$M$103:$Q$104,2,0)/12)*(BT$3-((BT$2-1)*12)))</f>
        <v>0</v>
      </c>
      <c r="BU120" s="11">
        <f>HLOOKUP((BU$2-1)*12,$W$3:$CE$132,ROW()-2,0)*(1+(HLOOKUP(BU$2,'UW Model'!$M$103:$Q$104,2,0)/12)*(BU$3-((BU$2-1)*12)))</f>
        <v>0</v>
      </c>
      <c r="BV120" s="11">
        <f>HLOOKUP((BV$2-1)*12,$W$3:$CE$132,ROW()-2,0)*(1+(HLOOKUP(BV$2,'UW Model'!$M$103:$Q$104,2,0)/12)*(BV$3-((BV$2-1)*12)))</f>
        <v>0</v>
      </c>
      <c r="BW120" s="11">
        <f>HLOOKUP((BW$2-1)*12,$W$3:$CE$132,ROW()-2,0)*(1+(HLOOKUP(BW$2,'UW Model'!$M$103:$Q$104,2,0)/12)*(BW$3-((BW$2-1)*12)))</f>
        <v>0</v>
      </c>
      <c r="BX120" s="11">
        <f>HLOOKUP((BX$2-1)*12,$W$3:$CE$132,ROW()-2,0)*(1+(HLOOKUP(BX$2,'UW Model'!$M$103:$Q$104,2,0)/12)*(BX$3-((BX$2-1)*12)))</f>
        <v>0</v>
      </c>
      <c r="BY120" s="11">
        <f>HLOOKUP((BY$2-1)*12,$W$3:$CE$132,ROW()-2,0)*(1+(HLOOKUP(BY$2,'UW Model'!$M$103:$Q$104,2,0)/12)*(BY$3-((BY$2-1)*12)))</f>
        <v>0</v>
      </c>
      <c r="BZ120" s="11">
        <f>HLOOKUP((BZ$2-1)*12,$W$3:$CE$132,ROW()-2,0)*(1+(HLOOKUP(BZ$2,'UW Model'!$M$103:$Q$104,2,0)/12)*(BZ$3-((BZ$2-1)*12)))</f>
        <v>0</v>
      </c>
      <c r="CA120" s="11">
        <f>HLOOKUP((CA$2-1)*12,$W$3:$CE$132,ROW()-2,0)*(1+(HLOOKUP(CA$2,'UW Model'!$M$103:$Q$104,2,0)/12)*(CA$3-((CA$2-1)*12)))</f>
        <v>0</v>
      </c>
      <c r="CB120" s="11">
        <f>HLOOKUP((CB$2-1)*12,$W$3:$CE$132,ROW()-2,0)*(1+(HLOOKUP(CB$2,'UW Model'!$M$103:$Q$104,2,0)/12)*(CB$3-((CB$2-1)*12)))</f>
        <v>0</v>
      </c>
      <c r="CC120" s="11">
        <f>HLOOKUP((CC$2-1)*12,$W$3:$CE$132,ROW()-2,0)*(1+(HLOOKUP(CC$2,'UW Model'!$M$103:$Q$104,2,0)/12)*(CC$3-((CC$2-1)*12)))</f>
        <v>0</v>
      </c>
      <c r="CD120" s="11">
        <f>HLOOKUP((CD$2-1)*12,$W$3:$CE$132,ROW()-2,0)*(1+(HLOOKUP(CD$2,'UW Model'!$M$103:$Q$104,2,0)/12)*(CD$3-((CD$2-1)*12)))</f>
        <v>0</v>
      </c>
      <c r="CE120" s="88">
        <f>HLOOKUP((CE$2-1)*12,$W$3:$CE$132,ROW()-2,0)*(1+(HLOOKUP(CE$2,'UW Model'!$M$103:$Q$104,2,0)/12)*(CE$3-((CE$2-1)*12)))</f>
        <v>0</v>
      </c>
    </row>
    <row r="121" spans="16:83" x14ac:dyDescent="0.35">
      <c r="P121" s="936"/>
      <c r="Q121" s="194" t="str">
        <f>$Q$9</f>
        <v/>
      </c>
      <c r="R121" s="199">
        <f t="shared" si="271"/>
        <v>0</v>
      </c>
      <c r="S121" s="121">
        <f t="shared" si="271"/>
        <v>0</v>
      </c>
      <c r="T121" s="121">
        <f t="shared" si="271"/>
        <v>0</v>
      </c>
      <c r="U121" s="121">
        <f t="shared" si="271"/>
        <v>0</v>
      </c>
      <c r="V121" s="200">
        <f t="shared" si="271"/>
        <v>0</v>
      </c>
      <c r="W121" s="201">
        <f>'UW Model'!L31</f>
        <v>0</v>
      </c>
      <c r="X121" s="201">
        <f>HLOOKUP((X$2-1)*12,$W$3:$CE$132,ROW()-2,0)*(1+(HLOOKUP(X$2,'UW Model'!$M$103:$Q$104,2,0)/12)*(X$3-((X$2-1)*12)))</f>
        <v>0</v>
      </c>
      <c r="Y121" s="11">
        <f>HLOOKUP((Y$2-1)*12,$W$3:$CE$132,ROW()-2,0)*(1+(HLOOKUP(Y$2,'UW Model'!$M$103:$Q$104,2,0)/12)*(Y$3-((Y$2-1)*12)))</f>
        <v>0</v>
      </c>
      <c r="Z121" s="11">
        <f>HLOOKUP((Z$2-1)*12,$W$3:$CE$132,ROW()-2,0)*(1+(HLOOKUP(Z$2,'UW Model'!$M$103:$Q$104,2,0)/12)*(Z$3-((Z$2-1)*12)))</f>
        <v>0</v>
      </c>
      <c r="AA121" s="11">
        <f>HLOOKUP((AA$2-1)*12,$W$3:$CE$132,ROW()-2,0)*(1+(HLOOKUP(AA$2,'UW Model'!$M$103:$Q$104,2,0)/12)*(AA$3-((AA$2-1)*12)))</f>
        <v>0</v>
      </c>
      <c r="AB121" s="11">
        <f>HLOOKUP((AB$2-1)*12,$W$3:$CE$132,ROW()-2,0)*(1+(HLOOKUP(AB$2,'UW Model'!$M$103:$Q$104,2,0)/12)*(AB$3-((AB$2-1)*12)))</f>
        <v>0</v>
      </c>
      <c r="AC121" s="11">
        <f>HLOOKUP((AC$2-1)*12,$W$3:$CE$132,ROW()-2,0)*(1+(HLOOKUP(AC$2,'UW Model'!$M$103:$Q$104,2,0)/12)*(AC$3-((AC$2-1)*12)))</f>
        <v>0</v>
      </c>
      <c r="AD121" s="11">
        <f>HLOOKUP((AD$2-1)*12,$W$3:$CE$132,ROW()-2,0)*(1+(HLOOKUP(AD$2,'UW Model'!$M$103:$Q$104,2,0)/12)*(AD$3-((AD$2-1)*12)))</f>
        <v>0</v>
      </c>
      <c r="AE121" s="11">
        <f>HLOOKUP((AE$2-1)*12,$W$3:$CE$132,ROW()-2,0)*(1+(HLOOKUP(AE$2,'UW Model'!$M$103:$Q$104,2,0)/12)*(AE$3-((AE$2-1)*12)))</f>
        <v>0</v>
      </c>
      <c r="AF121" s="11">
        <f>HLOOKUP((AF$2-1)*12,$W$3:$CE$132,ROW()-2,0)*(1+(HLOOKUP(AF$2,'UW Model'!$M$103:$Q$104,2,0)/12)*(AF$3-((AF$2-1)*12)))</f>
        <v>0</v>
      </c>
      <c r="AG121" s="11">
        <f>HLOOKUP((AG$2-1)*12,$W$3:$CE$132,ROW()-2,0)*(1+(HLOOKUP(AG$2,'UW Model'!$M$103:$Q$104,2,0)/12)*(AG$3-((AG$2-1)*12)))</f>
        <v>0</v>
      </c>
      <c r="AH121" s="11">
        <f>HLOOKUP((AH$2-1)*12,$W$3:$CE$132,ROW()-2,0)*(1+(HLOOKUP(AH$2,'UW Model'!$M$103:$Q$104,2,0)/12)*(AH$3-((AH$2-1)*12)))</f>
        <v>0</v>
      </c>
      <c r="AI121" s="71">
        <f>HLOOKUP((AI$2-1)*12,$W$3:$CE$132,ROW()-2,0)*(1+(HLOOKUP(AI$2,'UW Model'!$M$103:$Q$104,2,0)/12)*(AI$3-((AI$2-1)*12)))</f>
        <v>0</v>
      </c>
      <c r="AJ121" s="201">
        <f>HLOOKUP((AJ$2-1)*12,$W$3:$CE$132,ROW()-2,0)*(1+(HLOOKUP(AJ$2,'UW Model'!$M$103:$Q$104,2,0)/12)*(AJ$3-((AJ$2-1)*12)))</f>
        <v>0</v>
      </c>
      <c r="AK121" s="11">
        <f>HLOOKUP((AK$2-1)*12,$W$3:$CE$132,ROW()-2,0)*(1+(HLOOKUP(AK$2,'UW Model'!$M$103:$Q$104,2,0)/12)*(AK$3-((AK$2-1)*12)))</f>
        <v>0</v>
      </c>
      <c r="AL121" s="11">
        <f>HLOOKUP((AL$2-1)*12,$W$3:$CE$132,ROW()-2,0)*(1+(HLOOKUP(AL$2,'UW Model'!$M$103:$Q$104,2,0)/12)*(AL$3-((AL$2-1)*12)))</f>
        <v>0</v>
      </c>
      <c r="AM121" s="11">
        <f>HLOOKUP((AM$2-1)*12,$W$3:$CE$132,ROW()-2,0)*(1+(HLOOKUP(AM$2,'UW Model'!$M$103:$Q$104,2,0)/12)*(AM$3-((AM$2-1)*12)))</f>
        <v>0</v>
      </c>
      <c r="AN121" s="11">
        <f>HLOOKUP((AN$2-1)*12,$W$3:$CE$132,ROW()-2,0)*(1+(HLOOKUP(AN$2,'UW Model'!$M$103:$Q$104,2,0)/12)*(AN$3-((AN$2-1)*12)))</f>
        <v>0</v>
      </c>
      <c r="AO121" s="11">
        <f>HLOOKUP((AO$2-1)*12,$W$3:$CE$132,ROW()-2,0)*(1+(HLOOKUP(AO$2,'UW Model'!$M$103:$Q$104,2,0)/12)*(AO$3-((AO$2-1)*12)))</f>
        <v>0</v>
      </c>
      <c r="AP121" s="11">
        <f>HLOOKUP((AP$2-1)*12,$W$3:$CE$132,ROW()-2,0)*(1+(HLOOKUP(AP$2,'UW Model'!$M$103:$Q$104,2,0)/12)*(AP$3-((AP$2-1)*12)))</f>
        <v>0</v>
      </c>
      <c r="AQ121" s="11">
        <f>HLOOKUP((AQ$2-1)*12,$W$3:$CE$132,ROW()-2,0)*(1+(HLOOKUP(AQ$2,'UW Model'!$M$103:$Q$104,2,0)/12)*(AQ$3-((AQ$2-1)*12)))</f>
        <v>0</v>
      </c>
      <c r="AR121" s="11">
        <f>HLOOKUP((AR$2-1)*12,$W$3:$CE$132,ROW()-2,0)*(1+(HLOOKUP(AR$2,'UW Model'!$M$103:$Q$104,2,0)/12)*(AR$3-((AR$2-1)*12)))</f>
        <v>0</v>
      </c>
      <c r="AS121" s="11">
        <f>HLOOKUP((AS$2-1)*12,$W$3:$CE$132,ROW()-2,0)*(1+(HLOOKUP(AS$2,'UW Model'!$M$103:$Q$104,2,0)/12)*(AS$3-((AS$2-1)*12)))</f>
        <v>0</v>
      </c>
      <c r="AT121" s="11">
        <f>HLOOKUP((AT$2-1)*12,$W$3:$CE$132,ROW()-2,0)*(1+(HLOOKUP(AT$2,'UW Model'!$M$103:$Q$104,2,0)/12)*(AT$3-((AT$2-1)*12)))</f>
        <v>0</v>
      </c>
      <c r="AU121" s="71">
        <f>HLOOKUP((AU$2-1)*12,$W$3:$CE$132,ROW()-2,0)*(1+(HLOOKUP(AU$2,'UW Model'!$M$103:$Q$104,2,0)/12)*(AU$3-((AU$2-1)*12)))</f>
        <v>0</v>
      </c>
      <c r="AV121" s="11">
        <f>HLOOKUP((AV$2-1)*12,$W$3:$CE$132,ROW()-2,0)*(1+(HLOOKUP(AV$2,'UW Model'!$M$103:$Q$104,2,0)/12)*(AV$3-((AV$2-1)*12)))</f>
        <v>0</v>
      </c>
      <c r="AW121" s="11">
        <f>HLOOKUP((AW$2-1)*12,$W$3:$CE$132,ROW()-2,0)*(1+(HLOOKUP(AW$2,'UW Model'!$M$103:$Q$104,2,0)/12)*(AW$3-((AW$2-1)*12)))</f>
        <v>0</v>
      </c>
      <c r="AX121" s="11">
        <f>HLOOKUP((AX$2-1)*12,$W$3:$CE$132,ROW()-2,0)*(1+(HLOOKUP(AX$2,'UW Model'!$M$103:$Q$104,2,0)/12)*(AX$3-((AX$2-1)*12)))</f>
        <v>0</v>
      </c>
      <c r="AY121" s="11">
        <f>HLOOKUP((AY$2-1)*12,$W$3:$CE$132,ROW()-2,0)*(1+(HLOOKUP(AY$2,'UW Model'!$M$103:$Q$104,2,0)/12)*(AY$3-((AY$2-1)*12)))</f>
        <v>0</v>
      </c>
      <c r="AZ121" s="11">
        <f>HLOOKUP((AZ$2-1)*12,$W$3:$CE$132,ROW()-2,0)*(1+(HLOOKUP(AZ$2,'UW Model'!$M$103:$Q$104,2,0)/12)*(AZ$3-((AZ$2-1)*12)))</f>
        <v>0</v>
      </c>
      <c r="BA121" s="11">
        <f>HLOOKUP((BA$2-1)*12,$W$3:$CE$132,ROW()-2,0)*(1+(HLOOKUP(BA$2,'UW Model'!$M$103:$Q$104,2,0)/12)*(BA$3-((BA$2-1)*12)))</f>
        <v>0</v>
      </c>
      <c r="BB121" s="11">
        <f>HLOOKUP((BB$2-1)*12,$W$3:$CE$132,ROW()-2,0)*(1+(HLOOKUP(BB$2,'UW Model'!$M$103:$Q$104,2,0)/12)*(BB$3-((BB$2-1)*12)))</f>
        <v>0</v>
      </c>
      <c r="BC121" s="11">
        <f>HLOOKUP((BC$2-1)*12,$W$3:$CE$132,ROW()-2,0)*(1+(HLOOKUP(BC$2,'UW Model'!$M$103:$Q$104,2,0)/12)*(BC$3-((BC$2-1)*12)))</f>
        <v>0</v>
      </c>
      <c r="BD121" s="11">
        <f>HLOOKUP((BD$2-1)*12,$W$3:$CE$132,ROW()-2,0)*(1+(HLOOKUP(BD$2,'UW Model'!$M$103:$Q$104,2,0)/12)*(BD$3-((BD$2-1)*12)))</f>
        <v>0</v>
      </c>
      <c r="BE121" s="11">
        <f>HLOOKUP((BE$2-1)*12,$W$3:$CE$132,ROW()-2,0)*(1+(HLOOKUP(BE$2,'UW Model'!$M$103:$Q$104,2,0)/12)*(BE$3-((BE$2-1)*12)))</f>
        <v>0</v>
      </c>
      <c r="BF121" s="11">
        <f>HLOOKUP((BF$2-1)*12,$W$3:$CE$132,ROW()-2,0)*(1+(HLOOKUP(BF$2,'UW Model'!$M$103:$Q$104,2,0)/12)*(BF$3-((BF$2-1)*12)))</f>
        <v>0</v>
      </c>
      <c r="BG121" s="71">
        <f>HLOOKUP((BG$2-1)*12,$W$3:$CE$132,ROW()-2,0)*(1+(HLOOKUP(BG$2,'UW Model'!$M$103:$Q$104,2,0)/12)*(BG$3-((BG$2-1)*12)))</f>
        <v>0</v>
      </c>
      <c r="BH121" s="11">
        <f>HLOOKUP((BH$2-1)*12,$W$3:$CE$132,ROW()-2,0)*(1+(HLOOKUP(BH$2,'UW Model'!$M$103:$Q$104,2,0)/12)*(BH$3-((BH$2-1)*12)))</f>
        <v>0</v>
      </c>
      <c r="BI121" s="11">
        <f>HLOOKUP((BI$2-1)*12,$W$3:$CE$132,ROW()-2,0)*(1+(HLOOKUP(BI$2,'UW Model'!$M$103:$Q$104,2,0)/12)*(BI$3-((BI$2-1)*12)))</f>
        <v>0</v>
      </c>
      <c r="BJ121" s="11">
        <f>HLOOKUP((BJ$2-1)*12,$W$3:$CE$132,ROW()-2,0)*(1+(HLOOKUP(BJ$2,'UW Model'!$M$103:$Q$104,2,0)/12)*(BJ$3-((BJ$2-1)*12)))</f>
        <v>0</v>
      </c>
      <c r="BK121" s="11">
        <f>HLOOKUP((BK$2-1)*12,$W$3:$CE$132,ROW()-2,0)*(1+(HLOOKUP(BK$2,'UW Model'!$M$103:$Q$104,2,0)/12)*(BK$3-((BK$2-1)*12)))</f>
        <v>0</v>
      </c>
      <c r="BL121" s="11">
        <f>HLOOKUP((BL$2-1)*12,$W$3:$CE$132,ROW()-2,0)*(1+(HLOOKUP(BL$2,'UW Model'!$M$103:$Q$104,2,0)/12)*(BL$3-((BL$2-1)*12)))</f>
        <v>0</v>
      </c>
      <c r="BM121" s="11">
        <f>HLOOKUP((BM$2-1)*12,$W$3:$CE$132,ROW()-2,0)*(1+(HLOOKUP(BM$2,'UW Model'!$M$103:$Q$104,2,0)/12)*(BM$3-((BM$2-1)*12)))</f>
        <v>0</v>
      </c>
      <c r="BN121" s="11">
        <f>HLOOKUP((BN$2-1)*12,$W$3:$CE$132,ROW()-2,0)*(1+(HLOOKUP(BN$2,'UW Model'!$M$103:$Q$104,2,0)/12)*(BN$3-((BN$2-1)*12)))</f>
        <v>0</v>
      </c>
      <c r="BO121" s="11">
        <f>HLOOKUP((BO$2-1)*12,$W$3:$CE$132,ROW()-2,0)*(1+(HLOOKUP(BO$2,'UW Model'!$M$103:$Q$104,2,0)/12)*(BO$3-((BO$2-1)*12)))</f>
        <v>0</v>
      </c>
      <c r="BP121" s="11">
        <f>HLOOKUP((BP$2-1)*12,$W$3:$CE$132,ROW()-2,0)*(1+(HLOOKUP(BP$2,'UW Model'!$M$103:$Q$104,2,0)/12)*(BP$3-((BP$2-1)*12)))</f>
        <v>0</v>
      </c>
      <c r="BQ121" s="11">
        <f>HLOOKUP((BQ$2-1)*12,$W$3:$CE$132,ROW()-2,0)*(1+(HLOOKUP(BQ$2,'UW Model'!$M$103:$Q$104,2,0)/12)*(BQ$3-((BQ$2-1)*12)))</f>
        <v>0</v>
      </c>
      <c r="BR121" s="11">
        <f>HLOOKUP((BR$2-1)*12,$W$3:$CE$132,ROW()-2,0)*(1+(HLOOKUP(BR$2,'UW Model'!$M$103:$Q$104,2,0)/12)*(BR$3-((BR$2-1)*12)))</f>
        <v>0</v>
      </c>
      <c r="BS121" s="71">
        <f>HLOOKUP((BS$2-1)*12,$W$3:$CE$132,ROW()-2,0)*(1+(HLOOKUP(BS$2,'UW Model'!$M$103:$Q$104,2,0)/12)*(BS$3-((BS$2-1)*12)))</f>
        <v>0</v>
      </c>
      <c r="BT121" s="11">
        <f>HLOOKUP((BT$2-1)*12,$W$3:$CE$132,ROW()-2,0)*(1+(HLOOKUP(BT$2,'UW Model'!$M$103:$Q$104,2,0)/12)*(BT$3-((BT$2-1)*12)))</f>
        <v>0</v>
      </c>
      <c r="BU121" s="11">
        <f>HLOOKUP((BU$2-1)*12,$W$3:$CE$132,ROW()-2,0)*(1+(HLOOKUP(BU$2,'UW Model'!$M$103:$Q$104,2,0)/12)*(BU$3-((BU$2-1)*12)))</f>
        <v>0</v>
      </c>
      <c r="BV121" s="11">
        <f>HLOOKUP((BV$2-1)*12,$W$3:$CE$132,ROW()-2,0)*(1+(HLOOKUP(BV$2,'UW Model'!$M$103:$Q$104,2,0)/12)*(BV$3-((BV$2-1)*12)))</f>
        <v>0</v>
      </c>
      <c r="BW121" s="11">
        <f>HLOOKUP((BW$2-1)*12,$W$3:$CE$132,ROW()-2,0)*(1+(HLOOKUP(BW$2,'UW Model'!$M$103:$Q$104,2,0)/12)*(BW$3-((BW$2-1)*12)))</f>
        <v>0</v>
      </c>
      <c r="BX121" s="11">
        <f>HLOOKUP((BX$2-1)*12,$W$3:$CE$132,ROW()-2,0)*(1+(HLOOKUP(BX$2,'UW Model'!$M$103:$Q$104,2,0)/12)*(BX$3-((BX$2-1)*12)))</f>
        <v>0</v>
      </c>
      <c r="BY121" s="11">
        <f>HLOOKUP((BY$2-1)*12,$W$3:$CE$132,ROW()-2,0)*(1+(HLOOKUP(BY$2,'UW Model'!$M$103:$Q$104,2,0)/12)*(BY$3-((BY$2-1)*12)))</f>
        <v>0</v>
      </c>
      <c r="BZ121" s="11">
        <f>HLOOKUP((BZ$2-1)*12,$W$3:$CE$132,ROW()-2,0)*(1+(HLOOKUP(BZ$2,'UW Model'!$M$103:$Q$104,2,0)/12)*(BZ$3-((BZ$2-1)*12)))</f>
        <v>0</v>
      </c>
      <c r="CA121" s="11">
        <f>HLOOKUP((CA$2-1)*12,$W$3:$CE$132,ROW()-2,0)*(1+(HLOOKUP(CA$2,'UW Model'!$M$103:$Q$104,2,0)/12)*(CA$3-((CA$2-1)*12)))</f>
        <v>0</v>
      </c>
      <c r="CB121" s="11">
        <f>HLOOKUP((CB$2-1)*12,$W$3:$CE$132,ROW()-2,0)*(1+(HLOOKUP(CB$2,'UW Model'!$M$103:$Q$104,2,0)/12)*(CB$3-((CB$2-1)*12)))</f>
        <v>0</v>
      </c>
      <c r="CC121" s="11">
        <f>HLOOKUP((CC$2-1)*12,$W$3:$CE$132,ROW()-2,0)*(1+(HLOOKUP(CC$2,'UW Model'!$M$103:$Q$104,2,0)/12)*(CC$3-((CC$2-1)*12)))</f>
        <v>0</v>
      </c>
      <c r="CD121" s="11">
        <f>HLOOKUP((CD$2-1)*12,$W$3:$CE$132,ROW()-2,0)*(1+(HLOOKUP(CD$2,'UW Model'!$M$103:$Q$104,2,0)/12)*(CD$3-((CD$2-1)*12)))</f>
        <v>0</v>
      </c>
      <c r="CE121" s="88">
        <f>HLOOKUP((CE$2-1)*12,$W$3:$CE$132,ROW()-2,0)*(1+(HLOOKUP(CE$2,'UW Model'!$M$103:$Q$104,2,0)/12)*(CE$3-((CE$2-1)*12)))</f>
        <v>0</v>
      </c>
    </row>
    <row r="122" spans="16:83" x14ac:dyDescent="0.35">
      <c r="P122" s="936"/>
      <c r="Q122" s="194" t="str">
        <f>$Q$10</f>
        <v/>
      </c>
      <c r="R122" s="199">
        <f t="shared" si="271"/>
        <v>0</v>
      </c>
      <c r="S122" s="121">
        <f t="shared" si="271"/>
        <v>0</v>
      </c>
      <c r="T122" s="121">
        <f t="shared" si="271"/>
        <v>0</v>
      </c>
      <c r="U122" s="121">
        <f t="shared" si="271"/>
        <v>0</v>
      </c>
      <c r="V122" s="200">
        <f t="shared" si="271"/>
        <v>0</v>
      </c>
      <c r="W122" s="201">
        <f>'UW Model'!L32</f>
        <v>0</v>
      </c>
      <c r="X122" s="201">
        <f>HLOOKUP((X$2-1)*12,$W$3:$CE$132,ROW()-2,0)*(1+(HLOOKUP(X$2,'UW Model'!$M$103:$Q$104,2,0)/12)*(X$3-((X$2-1)*12)))</f>
        <v>0</v>
      </c>
      <c r="Y122" s="11">
        <f>HLOOKUP((Y$2-1)*12,$W$3:$CE$132,ROW()-2,0)*(1+(HLOOKUP(Y$2,'UW Model'!$M$103:$Q$104,2,0)/12)*(Y$3-((Y$2-1)*12)))</f>
        <v>0</v>
      </c>
      <c r="Z122" s="11">
        <f>HLOOKUP((Z$2-1)*12,$W$3:$CE$132,ROW()-2,0)*(1+(HLOOKUP(Z$2,'UW Model'!$M$103:$Q$104,2,0)/12)*(Z$3-((Z$2-1)*12)))</f>
        <v>0</v>
      </c>
      <c r="AA122" s="11">
        <f>HLOOKUP((AA$2-1)*12,$W$3:$CE$132,ROW()-2,0)*(1+(HLOOKUP(AA$2,'UW Model'!$M$103:$Q$104,2,0)/12)*(AA$3-((AA$2-1)*12)))</f>
        <v>0</v>
      </c>
      <c r="AB122" s="11">
        <f>HLOOKUP((AB$2-1)*12,$W$3:$CE$132,ROW()-2,0)*(1+(HLOOKUP(AB$2,'UW Model'!$M$103:$Q$104,2,0)/12)*(AB$3-((AB$2-1)*12)))</f>
        <v>0</v>
      </c>
      <c r="AC122" s="11">
        <f>HLOOKUP((AC$2-1)*12,$W$3:$CE$132,ROW()-2,0)*(1+(HLOOKUP(AC$2,'UW Model'!$M$103:$Q$104,2,0)/12)*(AC$3-((AC$2-1)*12)))</f>
        <v>0</v>
      </c>
      <c r="AD122" s="11">
        <f>HLOOKUP((AD$2-1)*12,$W$3:$CE$132,ROW()-2,0)*(1+(HLOOKUP(AD$2,'UW Model'!$M$103:$Q$104,2,0)/12)*(AD$3-((AD$2-1)*12)))</f>
        <v>0</v>
      </c>
      <c r="AE122" s="11">
        <f>HLOOKUP((AE$2-1)*12,$W$3:$CE$132,ROW()-2,0)*(1+(HLOOKUP(AE$2,'UW Model'!$M$103:$Q$104,2,0)/12)*(AE$3-((AE$2-1)*12)))</f>
        <v>0</v>
      </c>
      <c r="AF122" s="11">
        <f>HLOOKUP((AF$2-1)*12,$W$3:$CE$132,ROW()-2,0)*(1+(HLOOKUP(AF$2,'UW Model'!$M$103:$Q$104,2,0)/12)*(AF$3-((AF$2-1)*12)))</f>
        <v>0</v>
      </c>
      <c r="AG122" s="11">
        <f>HLOOKUP((AG$2-1)*12,$W$3:$CE$132,ROW()-2,0)*(1+(HLOOKUP(AG$2,'UW Model'!$M$103:$Q$104,2,0)/12)*(AG$3-((AG$2-1)*12)))</f>
        <v>0</v>
      </c>
      <c r="AH122" s="11">
        <f>HLOOKUP((AH$2-1)*12,$W$3:$CE$132,ROW()-2,0)*(1+(HLOOKUP(AH$2,'UW Model'!$M$103:$Q$104,2,0)/12)*(AH$3-((AH$2-1)*12)))</f>
        <v>0</v>
      </c>
      <c r="AI122" s="71">
        <f>HLOOKUP((AI$2-1)*12,$W$3:$CE$132,ROW()-2,0)*(1+(HLOOKUP(AI$2,'UW Model'!$M$103:$Q$104,2,0)/12)*(AI$3-((AI$2-1)*12)))</f>
        <v>0</v>
      </c>
      <c r="AJ122" s="201">
        <f>HLOOKUP((AJ$2-1)*12,$W$3:$CE$132,ROW()-2,0)*(1+(HLOOKUP(AJ$2,'UW Model'!$M$103:$Q$104,2,0)/12)*(AJ$3-((AJ$2-1)*12)))</f>
        <v>0</v>
      </c>
      <c r="AK122" s="11">
        <f>HLOOKUP((AK$2-1)*12,$W$3:$CE$132,ROW()-2,0)*(1+(HLOOKUP(AK$2,'UW Model'!$M$103:$Q$104,2,0)/12)*(AK$3-((AK$2-1)*12)))</f>
        <v>0</v>
      </c>
      <c r="AL122" s="11">
        <f>HLOOKUP((AL$2-1)*12,$W$3:$CE$132,ROW()-2,0)*(1+(HLOOKUP(AL$2,'UW Model'!$M$103:$Q$104,2,0)/12)*(AL$3-((AL$2-1)*12)))</f>
        <v>0</v>
      </c>
      <c r="AM122" s="11">
        <f>HLOOKUP((AM$2-1)*12,$W$3:$CE$132,ROW()-2,0)*(1+(HLOOKUP(AM$2,'UW Model'!$M$103:$Q$104,2,0)/12)*(AM$3-((AM$2-1)*12)))</f>
        <v>0</v>
      </c>
      <c r="AN122" s="11">
        <f>HLOOKUP((AN$2-1)*12,$W$3:$CE$132,ROW()-2,0)*(1+(HLOOKUP(AN$2,'UW Model'!$M$103:$Q$104,2,0)/12)*(AN$3-((AN$2-1)*12)))</f>
        <v>0</v>
      </c>
      <c r="AO122" s="11">
        <f>HLOOKUP((AO$2-1)*12,$W$3:$CE$132,ROW()-2,0)*(1+(HLOOKUP(AO$2,'UW Model'!$M$103:$Q$104,2,0)/12)*(AO$3-((AO$2-1)*12)))</f>
        <v>0</v>
      </c>
      <c r="AP122" s="11">
        <f>HLOOKUP((AP$2-1)*12,$W$3:$CE$132,ROW()-2,0)*(1+(HLOOKUP(AP$2,'UW Model'!$M$103:$Q$104,2,0)/12)*(AP$3-((AP$2-1)*12)))</f>
        <v>0</v>
      </c>
      <c r="AQ122" s="11">
        <f>HLOOKUP((AQ$2-1)*12,$W$3:$CE$132,ROW()-2,0)*(1+(HLOOKUP(AQ$2,'UW Model'!$M$103:$Q$104,2,0)/12)*(AQ$3-((AQ$2-1)*12)))</f>
        <v>0</v>
      </c>
      <c r="AR122" s="11">
        <f>HLOOKUP((AR$2-1)*12,$W$3:$CE$132,ROW()-2,0)*(1+(HLOOKUP(AR$2,'UW Model'!$M$103:$Q$104,2,0)/12)*(AR$3-((AR$2-1)*12)))</f>
        <v>0</v>
      </c>
      <c r="AS122" s="11">
        <f>HLOOKUP((AS$2-1)*12,$W$3:$CE$132,ROW()-2,0)*(1+(HLOOKUP(AS$2,'UW Model'!$M$103:$Q$104,2,0)/12)*(AS$3-((AS$2-1)*12)))</f>
        <v>0</v>
      </c>
      <c r="AT122" s="11">
        <f>HLOOKUP((AT$2-1)*12,$W$3:$CE$132,ROW()-2,0)*(1+(HLOOKUP(AT$2,'UW Model'!$M$103:$Q$104,2,0)/12)*(AT$3-((AT$2-1)*12)))</f>
        <v>0</v>
      </c>
      <c r="AU122" s="71">
        <f>HLOOKUP((AU$2-1)*12,$W$3:$CE$132,ROW()-2,0)*(1+(HLOOKUP(AU$2,'UW Model'!$M$103:$Q$104,2,0)/12)*(AU$3-((AU$2-1)*12)))</f>
        <v>0</v>
      </c>
      <c r="AV122" s="11">
        <f>HLOOKUP((AV$2-1)*12,$W$3:$CE$132,ROW()-2,0)*(1+(HLOOKUP(AV$2,'UW Model'!$M$103:$Q$104,2,0)/12)*(AV$3-((AV$2-1)*12)))</f>
        <v>0</v>
      </c>
      <c r="AW122" s="11">
        <f>HLOOKUP((AW$2-1)*12,$W$3:$CE$132,ROW()-2,0)*(1+(HLOOKUP(AW$2,'UW Model'!$M$103:$Q$104,2,0)/12)*(AW$3-((AW$2-1)*12)))</f>
        <v>0</v>
      </c>
      <c r="AX122" s="11">
        <f>HLOOKUP((AX$2-1)*12,$W$3:$CE$132,ROW()-2,0)*(1+(HLOOKUP(AX$2,'UW Model'!$M$103:$Q$104,2,0)/12)*(AX$3-((AX$2-1)*12)))</f>
        <v>0</v>
      </c>
      <c r="AY122" s="11">
        <f>HLOOKUP((AY$2-1)*12,$W$3:$CE$132,ROW()-2,0)*(1+(HLOOKUP(AY$2,'UW Model'!$M$103:$Q$104,2,0)/12)*(AY$3-((AY$2-1)*12)))</f>
        <v>0</v>
      </c>
      <c r="AZ122" s="11">
        <f>HLOOKUP((AZ$2-1)*12,$W$3:$CE$132,ROW()-2,0)*(1+(HLOOKUP(AZ$2,'UW Model'!$M$103:$Q$104,2,0)/12)*(AZ$3-((AZ$2-1)*12)))</f>
        <v>0</v>
      </c>
      <c r="BA122" s="11">
        <f>HLOOKUP((BA$2-1)*12,$W$3:$CE$132,ROW()-2,0)*(1+(HLOOKUP(BA$2,'UW Model'!$M$103:$Q$104,2,0)/12)*(BA$3-((BA$2-1)*12)))</f>
        <v>0</v>
      </c>
      <c r="BB122" s="11">
        <f>HLOOKUP((BB$2-1)*12,$W$3:$CE$132,ROW()-2,0)*(1+(HLOOKUP(BB$2,'UW Model'!$M$103:$Q$104,2,0)/12)*(BB$3-((BB$2-1)*12)))</f>
        <v>0</v>
      </c>
      <c r="BC122" s="11">
        <f>HLOOKUP((BC$2-1)*12,$W$3:$CE$132,ROW()-2,0)*(1+(HLOOKUP(BC$2,'UW Model'!$M$103:$Q$104,2,0)/12)*(BC$3-((BC$2-1)*12)))</f>
        <v>0</v>
      </c>
      <c r="BD122" s="11">
        <f>HLOOKUP((BD$2-1)*12,$W$3:$CE$132,ROW()-2,0)*(1+(HLOOKUP(BD$2,'UW Model'!$M$103:$Q$104,2,0)/12)*(BD$3-((BD$2-1)*12)))</f>
        <v>0</v>
      </c>
      <c r="BE122" s="11">
        <f>HLOOKUP((BE$2-1)*12,$W$3:$CE$132,ROW()-2,0)*(1+(HLOOKUP(BE$2,'UW Model'!$M$103:$Q$104,2,0)/12)*(BE$3-((BE$2-1)*12)))</f>
        <v>0</v>
      </c>
      <c r="BF122" s="11">
        <f>HLOOKUP((BF$2-1)*12,$W$3:$CE$132,ROW()-2,0)*(1+(HLOOKUP(BF$2,'UW Model'!$M$103:$Q$104,2,0)/12)*(BF$3-((BF$2-1)*12)))</f>
        <v>0</v>
      </c>
      <c r="BG122" s="71">
        <f>HLOOKUP((BG$2-1)*12,$W$3:$CE$132,ROW()-2,0)*(1+(HLOOKUP(BG$2,'UW Model'!$M$103:$Q$104,2,0)/12)*(BG$3-((BG$2-1)*12)))</f>
        <v>0</v>
      </c>
      <c r="BH122" s="11">
        <f>HLOOKUP((BH$2-1)*12,$W$3:$CE$132,ROW()-2,0)*(1+(HLOOKUP(BH$2,'UW Model'!$M$103:$Q$104,2,0)/12)*(BH$3-((BH$2-1)*12)))</f>
        <v>0</v>
      </c>
      <c r="BI122" s="11">
        <f>HLOOKUP((BI$2-1)*12,$W$3:$CE$132,ROW()-2,0)*(1+(HLOOKUP(BI$2,'UW Model'!$M$103:$Q$104,2,0)/12)*(BI$3-((BI$2-1)*12)))</f>
        <v>0</v>
      </c>
      <c r="BJ122" s="11">
        <f>HLOOKUP((BJ$2-1)*12,$W$3:$CE$132,ROW()-2,0)*(1+(HLOOKUP(BJ$2,'UW Model'!$M$103:$Q$104,2,0)/12)*(BJ$3-((BJ$2-1)*12)))</f>
        <v>0</v>
      </c>
      <c r="BK122" s="11">
        <f>HLOOKUP((BK$2-1)*12,$W$3:$CE$132,ROW()-2,0)*(1+(HLOOKUP(BK$2,'UW Model'!$M$103:$Q$104,2,0)/12)*(BK$3-((BK$2-1)*12)))</f>
        <v>0</v>
      </c>
      <c r="BL122" s="11">
        <f>HLOOKUP((BL$2-1)*12,$W$3:$CE$132,ROW()-2,0)*(1+(HLOOKUP(BL$2,'UW Model'!$M$103:$Q$104,2,0)/12)*(BL$3-((BL$2-1)*12)))</f>
        <v>0</v>
      </c>
      <c r="BM122" s="11">
        <f>HLOOKUP((BM$2-1)*12,$W$3:$CE$132,ROW()-2,0)*(1+(HLOOKUP(BM$2,'UW Model'!$M$103:$Q$104,2,0)/12)*(BM$3-((BM$2-1)*12)))</f>
        <v>0</v>
      </c>
      <c r="BN122" s="11">
        <f>HLOOKUP((BN$2-1)*12,$W$3:$CE$132,ROW()-2,0)*(1+(HLOOKUP(BN$2,'UW Model'!$M$103:$Q$104,2,0)/12)*(BN$3-((BN$2-1)*12)))</f>
        <v>0</v>
      </c>
      <c r="BO122" s="11">
        <f>HLOOKUP((BO$2-1)*12,$W$3:$CE$132,ROW()-2,0)*(1+(HLOOKUP(BO$2,'UW Model'!$M$103:$Q$104,2,0)/12)*(BO$3-((BO$2-1)*12)))</f>
        <v>0</v>
      </c>
      <c r="BP122" s="11">
        <f>HLOOKUP((BP$2-1)*12,$W$3:$CE$132,ROW()-2,0)*(1+(HLOOKUP(BP$2,'UW Model'!$M$103:$Q$104,2,0)/12)*(BP$3-((BP$2-1)*12)))</f>
        <v>0</v>
      </c>
      <c r="BQ122" s="11">
        <f>HLOOKUP((BQ$2-1)*12,$W$3:$CE$132,ROW()-2,0)*(1+(HLOOKUP(BQ$2,'UW Model'!$M$103:$Q$104,2,0)/12)*(BQ$3-((BQ$2-1)*12)))</f>
        <v>0</v>
      </c>
      <c r="BR122" s="11">
        <f>HLOOKUP((BR$2-1)*12,$W$3:$CE$132,ROW()-2,0)*(1+(HLOOKUP(BR$2,'UW Model'!$M$103:$Q$104,2,0)/12)*(BR$3-((BR$2-1)*12)))</f>
        <v>0</v>
      </c>
      <c r="BS122" s="71">
        <f>HLOOKUP((BS$2-1)*12,$W$3:$CE$132,ROW()-2,0)*(1+(HLOOKUP(BS$2,'UW Model'!$M$103:$Q$104,2,0)/12)*(BS$3-((BS$2-1)*12)))</f>
        <v>0</v>
      </c>
      <c r="BT122" s="11">
        <f>HLOOKUP((BT$2-1)*12,$W$3:$CE$132,ROW()-2,0)*(1+(HLOOKUP(BT$2,'UW Model'!$M$103:$Q$104,2,0)/12)*(BT$3-((BT$2-1)*12)))</f>
        <v>0</v>
      </c>
      <c r="BU122" s="11">
        <f>HLOOKUP((BU$2-1)*12,$W$3:$CE$132,ROW()-2,0)*(1+(HLOOKUP(BU$2,'UW Model'!$M$103:$Q$104,2,0)/12)*(BU$3-((BU$2-1)*12)))</f>
        <v>0</v>
      </c>
      <c r="BV122" s="11">
        <f>HLOOKUP((BV$2-1)*12,$W$3:$CE$132,ROW()-2,0)*(1+(HLOOKUP(BV$2,'UW Model'!$M$103:$Q$104,2,0)/12)*(BV$3-((BV$2-1)*12)))</f>
        <v>0</v>
      </c>
      <c r="BW122" s="11">
        <f>HLOOKUP((BW$2-1)*12,$W$3:$CE$132,ROW()-2,0)*(1+(HLOOKUP(BW$2,'UW Model'!$M$103:$Q$104,2,0)/12)*(BW$3-((BW$2-1)*12)))</f>
        <v>0</v>
      </c>
      <c r="BX122" s="11">
        <f>HLOOKUP((BX$2-1)*12,$W$3:$CE$132,ROW()-2,0)*(1+(HLOOKUP(BX$2,'UW Model'!$M$103:$Q$104,2,0)/12)*(BX$3-((BX$2-1)*12)))</f>
        <v>0</v>
      </c>
      <c r="BY122" s="11">
        <f>HLOOKUP((BY$2-1)*12,$W$3:$CE$132,ROW()-2,0)*(1+(HLOOKUP(BY$2,'UW Model'!$M$103:$Q$104,2,0)/12)*(BY$3-((BY$2-1)*12)))</f>
        <v>0</v>
      </c>
      <c r="BZ122" s="11">
        <f>HLOOKUP((BZ$2-1)*12,$W$3:$CE$132,ROW()-2,0)*(1+(HLOOKUP(BZ$2,'UW Model'!$M$103:$Q$104,2,0)/12)*(BZ$3-((BZ$2-1)*12)))</f>
        <v>0</v>
      </c>
      <c r="CA122" s="11">
        <f>HLOOKUP((CA$2-1)*12,$W$3:$CE$132,ROW()-2,0)*(1+(HLOOKUP(CA$2,'UW Model'!$M$103:$Q$104,2,0)/12)*(CA$3-((CA$2-1)*12)))</f>
        <v>0</v>
      </c>
      <c r="CB122" s="11">
        <f>HLOOKUP((CB$2-1)*12,$W$3:$CE$132,ROW()-2,0)*(1+(HLOOKUP(CB$2,'UW Model'!$M$103:$Q$104,2,0)/12)*(CB$3-((CB$2-1)*12)))</f>
        <v>0</v>
      </c>
      <c r="CC122" s="11">
        <f>HLOOKUP((CC$2-1)*12,$W$3:$CE$132,ROW()-2,0)*(1+(HLOOKUP(CC$2,'UW Model'!$M$103:$Q$104,2,0)/12)*(CC$3-((CC$2-1)*12)))</f>
        <v>0</v>
      </c>
      <c r="CD122" s="11">
        <f>HLOOKUP((CD$2-1)*12,$W$3:$CE$132,ROW()-2,0)*(1+(HLOOKUP(CD$2,'UW Model'!$M$103:$Q$104,2,0)/12)*(CD$3-((CD$2-1)*12)))</f>
        <v>0</v>
      </c>
      <c r="CE122" s="88">
        <f>HLOOKUP((CE$2-1)*12,$W$3:$CE$132,ROW()-2,0)*(1+(HLOOKUP(CE$2,'UW Model'!$M$103:$Q$104,2,0)/12)*(CE$3-((CE$2-1)*12)))</f>
        <v>0</v>
      </c>
    </row>
    <row r="123" spans="16:83" x14ac:dyDescent="0.35">
      <c r="P123" s="936"/>
      <c r="Q123" s="194" t="str">
        <f>$Q$11</f>
        <v/>
      </c>
      <c r="R123" s="199">
        <f t="shared" si="271"/>
        <v>0</v>
      </c>
      <c r="S123" s="121">
        <f t="shared" si="271"/>
        <v>0</v>
      </c>
      <c r="T123" s="121">
        <f t="shared" si="271"/>
        <v>0</v>
      </c>
      <c r="U123" s="121">
        <f t="shared" si="271"/>
        <v>0</v>
      </c>
      <c r="V123" s="200">
        <f t="shared" si="271"/>
        <v>0</v>
      </c>
      <c r="W123" s="201">
        <f>'UW Model'!L33</f>
        <v>0</v>
      </c>
      <c r="X123" s="201">
        <f>HLOOKUP((X$2-1)*12,$W$3:$CE$132,ROW()-2,0)*(1+(HLOOKUP(X$2,'UW Model'!$M$103:$Q$104,2,0)/12)*(X$3-((X$2-1)*12)))</f>
        <v>0</v>
      </c>
      <c r="Y123" s="11">
        <f>HLOOKUP((Y$2-1)*12,$W$3:$CE$132,ROW()-2,0)*(1+(HLOOKUP(Y$2,'UW Model'!$M$103:$Q$104,2,0)/12)*(Y$3-((Y$2-1)*12)))</f>
        <v>0</v>
      </c>
      <c r="Z123" s="11">
        <f>HLOOKUP((Z$2-1)*12,$W$3:$CE$132,ROW()-2,0)*(1+(HLOOKUP(Z$2,'UW Model'!$M$103:$Q$104,2,0)/12)*(Z$3-((Z$2-1)*12)))</f>
        <v>0</v>
      </c>
      <c r="AA123" s="11">
        <f>HLOOKUP((AA$2-1)*12,$W$3:$CE$132,ROW()-2,0)*(1+(HLOOKUP(AA$2,'UW Model'!$M$103:$Q$104,2,0)/12)*(AA$3-((AA$2-1)*12)))</f>
        <v>0</v>
      </c>
      <c r="AB123" s="11">
        <f>HLOOKUP((AB$2-1)*12,$W$3:$CE$132,ROW()-2,0)*(1+(HLOOKUP(AB$2,'UW Model'!$M$103:$Q$104,2,0)/12)*(AB$3-((AB$2-1)*12)))</f>
        <v>0</v>
      </c>
      <c r="AC123" s="11">
        <f>HLOOKUP((AC$2-1)*12,$W$3:$CE$132,ROW()-2,0)*(1+(HLOOKUP(AC$2,'UW Model'!$M$103:$Q$104,2,0)/12)*(AC$3-((AC$2-1)*12)))</f>
        <v>0</v>
      </c>
      <c r="AD123" s="11">
        <f>HLOOKUP((AD$2-1)*12,$W$3:$CE$132,ROW()-2,0)*(1+(HLOOKUP(AD$2,'UW Model'!$M$103:$Q$104,2,0)/12)*(AD$3-((AD$2-1)*12)))</f>
        <v>0</v>
      </c>
      <c r="AE123" s="11">
        <f>HLOOKUP((AE$2-1)*12,$W$3:$CE$132,ROW()-2,0)*(1+(HLOOKUP(AE$2,'UW Model'!$M$103:$Q$104,2,0)/12)*(AE$3-((AE$2-1)*12)))</f>
        <v>0</v>
      </c>
      <c r="AF123" s="11">
        <f>HLOOKUP((AF$2-1)*12,$W$3:$CE$132,ROW()-2,0)*(1+(HLOOKUP(AF$2,'UW Model'!$M$103:$Q$104,2,0)/12)*(AF$3-((AF$2-1)*12)))</f>
        <v>0</v>
      </c>
      <c r="AG123" s="11">
        <f>HLOOKUP((AG$2-1)*12,$W$3:$CE$132,ROW()-2,0)*(1+(HLOOKUP(AG$2,'UW Model'!$M$103:$Q$104,2,0)/12)*(AG$3-((AG$2-1)*12)))</f>
        <v>0</v>
      </c>
      <c r="AH123" s="11">
        <f>HLOOKUP((AH$2-1)*12,$W$3:$CE$132,ROW()-2,0)*(1+(HLOOKUP(AH$2,'UW Model'!$M$103:$Q$104,2,0)/12)*(AH$3-((AH$2-1)*12)))</f>
        <v>0</v>
      </c>
      <c r="AI123" s="71">
        <f>HLOOKUP((AI$2-1)*12,$W$3:$CE$132,ROW()-2,0)*(1+(HLOOKUP(AI$2,'UW Model'!$M$103:$Q$104,2,0)/12)*(AI$3-((AI$2-1)*12)))</f>
        <v>0</v>
      </c>
      <c r="AJ123" s="201">
        <f>HLOOKUP((AJ$2-1)*12,$W$3:$CE$132,ROW()-2,0)*(1+(HLOOKUP(AJ$2,'UW Model'!$M$103:$Q$104,2,0)/12)*(AJ$3-((AJ$2-1)*12)))</f>
        <v>0</v>
      </c>
      <c r="AK123" s="11">
        <f>HLOOKUP((AK$2-1)*12,$W$3:$CE$132,ROW()-2,0)*(1+(HLOOKUP(AK$2,'UW Model'!$M$103:$Q$104,2,0)/12)*(AK$3-((AK$2-1)*12)))</f>
        <v>0</v>
      </c>
      <c r="AL123" s="11">
        <f>HLOOKUP((AL$2-1)*12,$W$3:$CE$132,ROW()-2,0)*(1+(HLOOKUP(AL$2,'UW Model'!$M$103:$Q$104,2,0)/12)*(AL$3-((AL$2-1)*12)))</f>
        <v>0</v>
      </c>
      <c r="AM123" s="11">
        <f>HLOOKUP((AM$2-1)*12,$W$3:$CE$132,ROW()-2,0)*(1+(HLOOKUP(AM$2,'UW Model'!$M$103:$Q$104,2,0)/12)*(AM$3-((AM$2-1)*12)))</f>
        <v>0</v>
      </c>
      <c r="AN123" s="11">
        <f>HLOOKUP((AN$2-1)*12,$W$3:$CE$132,ROW()-2,0)*(1+(HLOOKUP(AN$2,'UW Model'!$M$103:$Q$104,2,0)/12)*(AN$3-((AN$2-1)*12)))</f>
        <v>0</v>
      </c>
      <c r="AO123" s="11">
        <f>HLOOKUP((AO$2-1)*12,$W$3:$CE$132,ROW()-2,0)*(1+(HLOOKUP(AO$2,'UW Model'!$M$103:$Q$104,2,0)/12)*(AO$3-((AO$2-1)*12)))</f>
        <v>0</v>
      </c>
      <c r="AP123" s="11">
        <f>HLOOKUP((AP$2-1)*12,$W$3:$CE$132,ROW()-2,0)*(1+(HLOOKUP(AP$2,'UW Model'!$M$103:$Q$104,2,0)/12)*(AP$3-((AP$2-1)*12)))</f>
        <v>0</v>
      </c>
      <c r="AQ123" s="11">
        <f>HLOOKUP((AQ$2-1)*12,$W$3:$CE$132,ROW()-2,0)*(1+(HLOOKUP(AQ$2,'UW Model'!$M$103:$Q$104,2,0)/12)*(AQ$3-((AQ$2-1)*12)))</f>
        <v>0</v>
      </c>
      <c r="AR123" s="11">
        <f>HLOOKUP((AR$2-1)*12,$W$3:$CE$132,ROW()-2,0)*(1+(HLOOKUP(AR$2,'UW Model'!$M$103:$Q$104,2,0)/12)*(AR$3-((AR$2-1)*12)))</f>
        <v>0</v>
      </c>
      <c r="AS123" s="11">
        <f>HLOOKUP((AS$2-1)*12,$W$3:$CE$132,ROW()-2,0)*(1+(HLOOKUP(AS$2,'UW Model'!$M$103:$Q$104,2,0)/12)*(AS$3-((AS$2-1)*12)))</f>
        <v>0</v>
      </c>
      <c r="AT123" s="11">
        <f>HLOOKUP((AT$2-1)*12,$W$3:$CE$132,ROW()-2,0)*(1+(HLOOKUP(AT$2,'UW Model'!$M$103:$Q$104,2,0)/12)*(AT$3-((AT$2-1)*12)))</f>
        <v>0</v>
      </c>
      <c r="AU123" s="71">
        <f>HLOOKUP((AU$2-1)*12,$W$3:$CE$132,ROW()-2,0)*(1+(HLOOKUP(AU$2,'UW Model'!$M$103:$Q$104,2,0)/12)*(AU$3-((AU$2-1)*12)))</f>
        <v>0</v>
      </c>
      <c r="AV123" s="11">
        <f>HLOOKUP((AV$2-1)*12,$W$3:$CE$132,ROW()-2,0)*(1+(HLOOKUP(AV$2,'UW Model'!$M$103:$Q$104,2,0)/12)*(AV$3-((AV$2-1)*12)))</f>
        <v>0</v>
      </c>
      <c r="AW123" s="11">
        <f>HLOOKUP((AW$2-1)*12,$W$3:$CE$132,ROW()-2,0)*(1+(HLOOKUP(AW$2,'UW Model'!$M$103:$Q$104,2,0)/12)*(AW$3-((AW$2-1)*12)))</f>
        <v>0</v>
      </c>
      <c r="AX123" s="11">
        <f>HLOOKUP((AX$2-1)*12,$W$3:$CE$132,ROW()-2,0)*(1+(HLOOKUP(AX$2,'UW Model'!$M$103:$Q$104,2,0)/12)*(AX$3-((AX$2-1)*12)))</f>
        <v>0</v>
      </c>
      <c r="AY123" s="11">
        <f>HLOOKUP((AY$2-1)*12,$W$3:$CE$132,ROW()-2,0)*(1+(HLOOKUP(AY$2,'UW Model'!$M$103:$Q$104,2,0)/12)*(AY$3-((AY$2-1)*12)))</f>
        <v>0</v>
      </c>
      <c r="AZ123" s="11">
        <f>HLOOKUP((AZ$2-1)*12,$W$3:$CE$132,ROW()-2,0)*(1+(HLOOKUP(AZ$2,'UW Model'!$M$103:$Q$104,2,0)/12)*(AZ$3-((AZ$2-1)*12)))</f>
        <v>0</v>
      </c>
      <c r="BA123" s="11">
        <f>HLOOKUP((BA$2-1)*12,$W$3:$CE$132,ROW()-2,0)*(1+(HLOOKUP(BA$2,'UW Model'!$M$103:$Q$104,2,0)/12)*(BA$3-((BA$2-1)*12)))</f>
        <v>0</v>
      </c>
      <c r="BB123" s="11">
        <f>HLOOKUP((BB$2-1)*12,$W$3:$CE$132,ROW()-2,0)*(1+(HLOOKUP(BB$2,'UW Model'!$M$103:$Q$104,2,0)/12)*(BB$3-((BB$2-1)*12)))</f>
        <v>0</v>
      </c>
      <c r="BC123" s="11">
        <f>HLOOKUP((BC$2-1)*12,$W$3:$CE$132,ROW()-2,0)*(1+(HLOOKUP(BC$2,'UW Model'!$M$103:$Q$104,2,0)/12)*(BC$3-((BC$2-1)*12)))</f>
        <v>0</v>
      </c>
      <c r="BD123" s="11">
        <f>HLOOKUP((BD$2-1)*12,$W$3:$CE$132,ROW()-2,0)*(1+(HLOOKUP(BD$2,'UW Model'!$M$103:$Q$104,2,0)/12)*(BD$3-((BD$2-1)*12)))</f>
        <v>0</v>
      </c>
      <c r="BE123" s="11">
        <f>HLOOKUP((BE$2-1)*12,$W$3:$CE$132,ROW()-2,0)*(1+(HLOOKUP(BE$2,'UW Model'!$M$103:$Q$104,2,0)/12)*(BE$3-((BE$2-1)*12)))</f>
        <v>0</v>
      </c>
      <c r="BF123" s="11">
        <f>HLOOKUP((BF$2-1)*12,$W$3:$CE$132,ROW()-2,0)*(1+(HLOOKUP(BF$2,'UW Model'!$M$103:$Q$104,2,0)/12)*(BF$3-((BF$2-1)*12)))</f>
        <v>0</v>
      </c>
      <c r="BG123" s="71">
        <f>HLOOKUP((BG$2-1)*12,$W$3:$CE$132,ROW()-2,0)*(1+(HLOOKUP(BG$2,'UW Model'!$M$103:$Q$104,2,0)/12)*(BG$3-((BG$2-1)*12)))</f>
        <v>0</v>
      </c>
      <c r="BH123" s="11">
        <f>HLOOKUP((BH$2-1)*12,$W$3:$CE$132,ROW()-2,0)*(1+(HLOOKUP(BH$2,'UW Model'!$M$103:$Q$104,2,0)/12)*(BH$3-((BH$2-1)*12)))</f>
        <v>0</v>
      </c>
      <c r="BI123" s="11">
        <f>HLOOKUP((BI$2-1)*12,$W$3:$CE$132,ROW()-2,0)*(1+(HLOOKUP(BI$2,'UW Model'!$M$103:$Q$104,2,0)/12)*(BI$3-((BI$2-1)*12)))</f>
        <v>0</v>
      </c>
      <c r="BJ123" s="11">
        <f>HLOOKUP((BJ$2-1)*12,$W$3:$CE$132,ROW()-2,0)*(1+(HLOOKUP(BJ$2,'UW Model'!$M$103:$Q$104,2,0)/12)*(BJ$3-((BJ$2-1)*12)))</f>
        <v>0</v>
      </c>
      <c r="BK123" s="11">
        <f>HLOOKUP((BK$2-1)*12,$W$3:$CE$132,ROW()-2,0)*(1+(HLOOKUP(BK$2,'UW Model'!$M$103:$Q$104,2,0)/12)*(BK$3-((BK$2-1)*12)))</f>
        <v>0</v>
      </c>
      <c r="BL123" s="11">
        <f>HLOOKUP((BL$2-1)*12,$W$3:$CE$132,ROW()-2,0)*(1+(HLOOKUP(BL$2,'UW Model'!$M$103:$Q$104,2,0)/12)*(BL$3-((BL$2-1)*12)))</f>
        <v>0</v>
      </c>
      <c r="BM123" s="11">
        <f>HLOOKUP((BM$2-1)*12,$W$3:$CE$132,ROW()-2,0)*(1+(HLOOKUP(BM$2,'UW Model'!$M$103:$Q$104,2,0)/12)*(BM$3-((BM$2-1)*12)))</f>
        <v>0</v>
      </c>
      <c r="BN123" s="11">
        <f>HLOOKUP((BN$2-1)*12,$W$3:$CE$132,ROW()-2,0)*(1+(HLOOKUP(BN$2,'UW Model'!$M$103:$Q$104,2,0)/12)*(BN$3-((BN$2-1)*12)))</f>
        <v>0</v>
      </c>
      <c r="BO123" s="11">
        <f>HLOOKUP((BO$2-1)*12,$W$3:$CE$132,ROW()-2,0)*(1+(HLOOKUP(BO$2,'UW Model'!$M$103:$Q$104,2,0)/12)*(BO$3-((BO$2-1)*12)))</f>
        <v>0</v>
      </c>
      <c r="BP123" s="11">
        <f>HLOOKUP((BP$2-1)*12,$W$3:$CE$132,ROW()-2,0)*(1+(HLOOKUP(BP$2,'UW Model'!$M$103:$Q$104,2,0)/12)*(BP$3-((BP$2-1)*12)))</f>
        <v>0</v>
      </c>
      <c r="BQ123" s="11">
        <f>HLOOKUP((BQ$2-1)*12,$W$3:$CE$132,ROW()-2,0)*(1+(HLOOKUP(BQ$2,'UW Model'!$M$103:$Q$104,2,0)/12)*(BQ$3-((BQ$2-1)*12)))</f>
        <v>0</v>
      </c>
      <c r="BR123" s="11">
        <f>HLOOKUP((BR$2-1)*12,$W$3:$CE$132,ROW()-2,0)*(1+(HLOOKUP(BR$2,'UW Model'!$M$103:$Q$104,2,0)/12)*(BR$3-((BR$2-1)*12)))</f>
        <v>0</v>
      </c>
      <c r="BS123" s="71">
        <f>HLOOKUP((BS$2-1)*12,$W$3:$CE$132,ROW()-2,0)*(1+(HLOOKUP(BS$2,'UW Model'!$M$103:$Q$104,2,0)/12)*(BS$3-((BS$2-1)*12)))</f>
        <v>0</v>
      </c>
      <c r="BT123" s="11">
        <f>HLOOKUP((BT$2-1)*12,$W$3:$CE$132,ROW()-2,0)*(1+(HLOOKUP(BT$2,'UW Model'!$M$103:$Q$104,2,0)/12)*(BT$3-((BT$2-1)*12)))</f>
        <v>0</v>
      </c>
      <c r="BU123" s="11">
        <f>HLOOKUP((BU$2-1)*12,$W$3:$CE$132,ROW()-2,0)*(1+(HLOOKUP(BU$2,'UW Model'!$M$103:$Q$104,2,0)/12)*(BU$3-((BU$2-1)*12)))</f>
        <v>0</v>
      </c>
      <c r="BV123" s="11">
        <f>HLOOKUP((BV$2-1)*12,$W$3:$CE$132,ROW()-2,0)*(1+(HLOOKUP(BV$2,'UW Model'!$M$103:$Q$104,2,0)/12)*(BV$3-((BV$2-1)*12)))</f>
        <v>0</v>
      </c>
      <c r="BW123" s="11">
        <f>HLOOKUP((BW$2-1)*12,$W$3:$CE$132,ROW()-2,0)*(1+(HLOOKUP(BW$2,'UW Model'!$M$103:$Q$104,2,0)/12)*(BW$3-((BW$2-1)*12)))</f>
        <v>0</v>
      </c>
      <c r="BX123" s="11">
        <f>HLOOKUP((BX$2-1)*12,$W$3:$CE$132,ROW()-2,0)*(1+(HLOOKUP(BX$2,'UW Model'!$M$103:$Q$104,2,0)/12)*(BX$3-((BX$2-1)*12)))</f>
        <v>0</v>
      </c>
      <c r="BY123" s="11">
        <f>HLOOKUP((BY$2-1)*12,$W$3:$CE$132,ROW()-2,0)*(1+(HLOOKUP(BY$2,'UW Model'!$M$103:$Q$104,2,0)/12)*(BY$3-((BY$2-1)*12)))</f>
        <v>0</v>
      </c>
      <c r="BZ123" s="11">
        <f>HLOOKUP((BZ$2-1)*12,$W$3:$CE$132,ROW()-2,0)*(1+(HLOOKUP(BZ$2,'UW Model'!$M$103:$Q$104,2,0)/12)*(BZ$3-((BZ$2-1)*12)))</f>
        <v>0</v>
      </c>
      <c r="CA123" s="11">
        <f>HLOOKUP((CA$2-1)*12,$W$3:$CE$132,ROW()-2,0)*(1+(HLOOKUP(CA$2,'UW Model'!$M$103:$Q$104,2,0)/12)*(CA$3-((CA$2-1)*12)))</f>
        <v>0</v>
      </c>
      <c r="CB123" s="11">
        <f>HLOOKUP((CB$2-1)*12,$W$3:$CE$132,ROW()-2,0)*(1+(HLOOKUP(CB$2,'UW Model'!$M$103:$Q$104,2,0)/12)*(CB$3-((CB$2-1)*12)))</f>
        <v>0</v>
      </c>
      <c r="CC123" s="11">
        <f>HLOOKUP((CC$2-1)*12,$W$3:$CE$132,ROW()-2,0)*(1+(HLOOKUP(CC$2,'UW Model'!$M$103:$Q$104,2,0)/12)*(CC$3-((CC$2-1)*12)))</f>
        <v>0</v>
      </c>
      <c r="CD123" s="11">
        <f>HLOOKUP((CD$2-1)*12,$W$3:$CE$132,ROW()-2,0)*(1+(HLOOKUP(CD$2,'UW Model'!$M$103:$Q$104,2,0)/12)*(CD$3-((CD$2-1)*12)))</f>
        <v>0</v>
      </c>
      <c r="CE123" s="88">
        <f>HLOOKUP((CE$2-1)*12,$W$3:$CE$132,ROW()-2,0)*(1+(HLOOKUP(CE$2,'UW Model'!$M$103:$Q$104,2,0)/12)*(CE$3-((CE$2-1)*12)))</f>
        <v>0</v>
      </c>
    </row>
    <row r="124" spans="16:83" x14ac:dyDescent="0.35">
      <c r="P124" s="936"/>
      <c r="Q124" s="196" t="str">
        <f>$Q$12</f>
        <v/>
      </c>
      <c r="R124" s="199">
        <f t="shared" si="271"/>
        <v>0</v>
      </c>
      <c r="S124" s="121">
        <f t="shared" si="271"/>
        <v>0</v>
      </c>
      <c r="T124" s="121">
        <f t="shared" si="271"/>
        <v>0</v>
      </c>
      <c r="U124" s="121">
        <f t="shared" si="271"/>
        <v>0</v>
      </c>
      <c r="V124" s="200">
        <f t="shared" si="271"/>
        <v>0</v>
      </c>
      <c r="W124" s="201">
        <f>'UW Model'!L34</f>
        <v>0</v>
      </c>
      <c r="X124" s="201">
        <f>HLOOKUP((X$2-1)*12,$W$3:$CE$132,ROW()-2,0)*(1+(HLOOKUP(X$2,'UW Model'!$M$103:$Q$104,2,0)/12)*(X$3-((X$2-1)*12)))</f>
        <v>0</v>
      </c>
      <c r="Y124" s="11">
        <f>HLOOKUP((Y$2-1)*12,$W$3:$CE$132,ROW()-2,0)*(1+(HLOOKUP(Y$2,'UW Model'!$M$103:$Q$104,2,0)/12)*(Y$3-((Y$2-1)*12)))</f>
        <v>0</v>
      </c>
      <c r="Z124" s="11">
        <f>HLOOKUP((Z$2-1)*12,$W$3:$CE$132,ROW()-2,0)*(1+(HLOOKUP(Z$2,'UW Model'!$M$103:$Q$104,2,0)/12)*(Z$3-((Z$2-1)*12)))</f>
        <v>0</v>
      </c>
      <c r="AA124" s="11">
        <f>HLOOKUP((AA$2-1)*12,$W$3:$CE$132,ROW()-2,0)*(1+(HLOOKUP(AA$2,'UW Model'!$M$103:$Q$104,2,0)/12)*(AA$3-((AA$2-1)*12)))</f>
        <v>0</v>
      </c>
      <c r="AB124" s="11">
        <f>HLOOKUP((AB$2-1)*12,$W$3:$CE$132,ROW()-2,0)*(1+(HLOOKUP(AB$2,'UW Model'!$M$103:$Q$104,2,0)/12)*(AB$3-((AB$2-1)*12)))</f>
        <v>0</v>
      </c>
      <c r="AC124" s="11">
        <f>HLOOKUP((AC$2-1)*12,$W$3:$CE$132,ROW()-2,0)*(1+(HLOOKUP(AC$2,'UW Model'!$M$103:$Q$104,2,0)/12)*(AC$3-((AC$2-1)*12)))</f>
        <v>0</v>
      </c>
      <c r="AD124" s="11">
        <f>HLOOKUP((AD$2-1)*12,$W$3:$CE$132,ROW()-2,0)*(1+(HLOOKUP(AD$2,'UW Model'!$M$103:$Q$104,2,0)/12)*(AD$3-((AD$2-1)*12)))</f>
        <v>0</v>
      </c>
      <c r="AE124" s="11">
        <f>HLOOKUP((AE$2-1)*12,$W$3:$CE$132,ROW()-2,0)*(1+(HLOOKUP(AE$2,'UW Model'!$M$103:$Q$104,2,0)/12)*(AE$3-((AE$2-1)*12)))</f>
        <v>0</v>
      </c>
      <c r="AF124" s="11">
        <f>HLOOKUP((AF$2-1)*12,$W$3:$CE$132,ROW()-2,0)*(1+(HLOOKUP(AF$2,'UW Model'!$M$103:$Q$104,2,0)/12)*(AF$3-((AF$2-1)*12)))</f>
        <v>0</v>
      </c>
      <c r="AG124" s="11">
        <f>HLOOKUP((AG$2-1)*12,$W$3:$CE$132,ROW()-2,0)*(1+(HLOOKUP(AG$2,'UW Model'!$M$103:$Q$104,2,0)/12)*(AG$3-((AG$2-1)*12)))</f>
        <v>0</v>
      </c>
      <c r="AH124" s="11">
        <f>HLOOKUP((AH$2-1)*12,$W$3:$CE$132,ROW()-2,0)*(1+(HLOOKUP(AH$2,'UW Model'!$M$103:$Q$104,2,0)/12)*(AH$3-((AH$2-1)*12)))</f>
        <v>0</v>
      </c>
      <c r="AI124" s="71">
        <f>HLOOKUP((AI$2-1)*12,$W$3:$CE$132,ROW()-2,0)*(1+(HLOOKUP(AI$2,'UW Model'!$M$103:$Q$104,2,0)/12)*(AI$3-((AI$2-1)*12)))</f>
        <v>0</v>
      </c>
      <c r="AJ124" s="201">
        <f>HLOOKUP((AJ$2-1)*12,$W$3:$CE$132,ROW()-2,0)*(1+(HLOOKUP(AJ$2,'UW Model'!$M$103:$Q$104,2,0)/12)*(AJ$3-((AJ$2-1)*12)))</f>
        <v>0</v>
      </c>
      <c r="AK124" s="11">
        <f>HLOOKUP((AK$2-1)*12,$W$3:$CE$132,ROW()-2,0)*(1+(HLOOKUP(AK$2,'UW Model'!$M$103:$Q$104,2,0)/12)*(AK$3-((AK$2-1)*12)))</f>
        <v>0</v>
      </c>
      <c r="AL124" s="11">
        <f>HLOOKUP((AL$2-1)*12,$W$3:$CE$132,ROW()-2,0)*(1+(HLOOKUP(AL$2,'UW Model'!$M$103:$Q$104,2,0)/12)*(AL$3-((AL$2-1)*12)))</f>
        <v>0</v>
      </c>
      <c r="AM124" s="11">
        <f>HLOOKUP((AM$2-1)*12,$W$3:$CE$132,ROW()-2,0)*(1+(HLOOKUP(AM$2,'UW Model'!$M$103:$Q$104,2,0)/12)*(AM$3-((AM$2-1)*12)))</f>
        <v>0</v>
      </c>
      <c r="AN124" s="11">
        <f>HLOOKUP((AN$2-1)*12,$W$3:$CE$132,ROW()-2,0)*(1+(HLOOKUP(AN$2,'UW Model'!$M$103:$Q$104,2,0)/12)*(AN$3-((AN$2-1)*12)))</f>
        <v>0</v>
      </c>
      <c r="AO124" s="11">
        <f>HLOOKUP((AO$2-1)*12,$W$3:$CE$132,ROW()-2,0)*(1+(HLOOKUP(AO$2,'UW Model'!$M$103:$Q$104,2,0)/12)*(AO$3-((AO$2-1)*12)))</f>
        <v>0</v>
      </c>
      <c r="AP124" s="11">
        <f>HLOOKUP((AP$2-1)*12,$W$3:$CE$132,ROW()-2,0)*(1+(HLOOKUP(AP$2,'UW Model'!$M$103:$Q$104,2,0)/12)*(AP$3-((AP$2-1)*12)))</f>
        <v>0</v>
      </c>
      <c r="AQ124" s="11">
        <f>HLOOKUP((AQ$2-1)*12,$W$3:$CE$132,ROW()-2,0)*(1+(HLOOKUP(AQ$2,'UW Model'!$M$103:$Q$104,2,0)/12)*(AQ$3-((AQ$2-1)*12)))</f>
        <v>0</v>
      </c>
      <c r="AR124" s="11">
        <f>HLOOKUP((AR$2-1)*12,$W$3:$CE$132,ROW()-2,0)*(1+(HLOOKUP(AR$2,'UW Model'!$M$103:$Q$104,2,0)/12)*(AR$3-((AR$2-1)*12)))</f>
        <v>0</v>
      </c>
      <c r="AS124" s="11">
        <f>HLOOKUP((AS$2-1)*12,$W$3:$CE$132,ROW()-2,0)*(1+(HLOOKUP(AS$2,'UW Model'!$M$103:$Q$104,2,0)/12)*(AS$3-((AS$2-1)*12)))</f>
        <v>0</v>
      </c>
      <c r="AT124" s="11">
        <f>HLOOKUP((AT$2-1)*12,$W$3:$CE$132,ROW()-2,0)*(1+(HLOOKUP(AT$2,'UW Model'!$M$103:$Q$104,2,0)/12)*(AT$3-((AT$2-1)*12)))</f>
        <v>0</v>
      </c>
      <c r="AU124" s="71">
        <f>HLOOKUP((AU$2-1)*12,$W$3:$CE$132,ROW()-2,0)*(1+(HLOOKUP(AU$2,'UW Model'!$M$103:$Q$104,2,0)/12)*(AU$3-((AU$2-1)*12)))</f>
        <v>0</v>
      </c>
      <c r="AV124" s="11">
        <f>HLOOKUP((AV$2-1)*12,$W$3:$CE$132,ROW()-2,0)*(1+(HLOOKUP(AV$2,'UW Model'!$M$103:$Q$104,2,0)/12)*(AV$3-((AV$2-1)*12)))</f>
        <v>0</v>
      </c>
      <c r="AW124" s="11">
        <f>HLOOKUP((AW$2-1)*12,$W$3:$CE$132,ROW()-2,0)*(1+(HLOOKUP(AW$2,'UW Model'!$M$103:$Q$104,2,0)/12)*(AW$3-((AW$2-1)*12)))</f>
        <v>0</v>
      </c>
      <c r="AX124" s="11">
        <f>HLOOKUP((AX$2-1)*12,$W$3:$CE$132,ROW()-2,0)*(1+(HLOOKUP(AX$2,'UW Model'!$M$103:$Q$104,2,0)/12)*(AX$3-((AX$2-1)*12)))</f>
        <v>0</v>
      </c>
      <c r="AY124" s="11">
        <f>HLOOKUP((AY$2-1)*12,$W$3:$CE$132,ROW()-2,0)*(1+(HLOOKUP(AY$2,'UW Model'!$M$103:$Q$104,2,0)/12)*(AY$3-((AY$2-1)*12)))</f>
        <v>0</v>
      </c>
      <c r="AZ124" s="11">
        <f>HLOOKUP((AZ$2-1)*12,$W$3:$CE$132,ROW()-2,0)*(1+(HLOOKUP(AZ$2,'UW Model'!$M$103:$Q$104,2,0)/12)*(AZ$3-((AZ$2-1)*12)))</f>
        <v>0</v>
      </c>
      <c r="BA124" s="11">
        <f>HLOOKUP((BA$2-1)*12,$W$3:$CE$132,ROW()-2,0)*(1+(HLOOKUP(BA$2,'UW Model'!$M$103:$Q$104,2,0)/12)*(BA$3-((BA$2-1)*12)))</f>
        <v>0</v>
      </c>
      <c r="BB124" s="11">
        <f>HLOOKUP((BB$2-1)*12,$W$3:$CE$132,ROW()-2,0)*(1+(HLOOKUP(BB$2,'UW Model'!$M$103:$Q$104,2,0)/12)*(BB$3-((BB$2-1)*12)))</f>
        <v>0</v>
      </c>
      <c r="BC124" s="11">
        <f>HLOOKUP((BC$2-1)*12,$W$3:$CE$132,ROW()-2,0)*(1+(HLOOKUP(BC$2,'UW Model'!$M$103:$Q$104,2,0)/12)*(BC$3-((BC$2-1)*12)))</f>
        <v>0</v>
      </c>
      <c r="BD124" s="11">
        <f>HLOOKUP((BD$2-1)*12,$W$3:$CE$132,ROW()-2,0)*(1+(HLOOKUP(BD$2,'UW Model'!$M$103:$Q$104,2,0)/12)*(BD$3-((BD$2-1)*12)))</f>
        <v>0</v>
      </c>
      <c r="BE124" s="11">
        <f>HLOOKUP((BE$2-1)*12,$W$3:$CE$132,ROW()-2,0)*(1+(HLOOKUP(BE$2,'UW Model'!$M$103:$Q$104,2,0)/12)*(BE$3-((BE$2-1)*12)))</f>
        <v>0</v>
      </c>
      <c r="BF124" s="11">
        <f>HLOOKUP((BF$2-1)*12,$W$3:$CE$132,ROW()-2,0)*(1+(HLOOKUP(BF$2,'UW Model'!$M$103:$Q$104,2,0)/12)*(BF$3-((BF$2-1)*12)))</f>
        <v>0</v>
      </c>
      <c r="BG124" s="71">
        <f>HLOOKUP((BG$2-1)*12,$W$3:$CE$132,ROW()-2,0)*(1+(HLOOKUP(BG$2,'UW Model'!$M$103:$Q$104,2,0)/12)*(BG$3-((BG$2-1)*12)))</f>
        <v>0</v>
      </c>
      <c r="BH124" s="11">
        <f>HLOOKUP((BH$2-1)*12,$W$3:$CE$132,ROW()-2,0)*(1+(HLOOKUP(BH$2,'UW Model'!$M$103:$Q$104,2,0)/12)*(BH$3-((BH$2-1)*12)))</f>
        <v>0</v>
      </c>
      <c r="BI124" s="11">
        <f>HLOOKUP((BI$2-1)*12,$W$3:$CE$132,ROW()-2,0)*(1+(HLOOKUP(BI$2,'UW Model'!$M$103:$Q$104,2,0)/12)*(BI$3-((BI$2-1)*12)))</f>
        <v>0</v>
      </c>
      <c r="BJ124" s="11">
        <f>HLOOKUP((BJ$2-1)*12,$W$3:$CE$132,ROW()-2,0)*(1+(HLOOKUP(BJ$2,'UW Model'!$M$103:$Q$104,2,0)/12)*(BJ$3-((BJ$2-1)*12)))</f>
        <v>0</v>
      </c>
      <c r="BK124" s="11">
        <f>HLOOKUP((BK$2-1)*12,$W$3:$CE$132,ROW()-2,0)*(1+(HLOOKUP(BK$2,'UW Model'!$M$103:$Q$104,2,0)/12)*(BK$3-((BK$2-1)*12)))</f>
        <v>0</v>
      </c>
      <c r="BL124" s="11">
        <f>HLOOKUP((BL$2-1)*12,$W$3:$CE$132,ROW()-2,0)*(1+(HLOOKUP(BL$2,'UW Model'!$M$103:$Q$104,2,0)/12)*(BL$3-((BL$2-1)*12)))</f>
        <v>0</v>
      </c>
      <c r="BM124" s="11">
        <f>HLOOKUP((BM$2-1)*12,$W$3:$CE$132,ROW()-2,0)*(1+(HLOOKUP(BM$2,'UW Model'!$M$103:$Q$104,2,0)/12)*(BM$3-((BM$2-1)*12)))</f>
        <v>0</v>
      </c>
      <c r="BN124" s="11">
        <f>HLOOKUP((BN$2-1)*12,$W$3:$CE$132,ROW()-2,0)*(1+(HLOOKUP(BN$2,'UW Model'!$M$103:$Q$104,2,0)/12)*(BN$3-((BN$2-1)*12)))</f>
        <v>0</v>
      </c>
      <c r="BO124" s="11">
        <f>HLOOKUP((BO$2-1)*12,$W$3:$CE$132,ROW()-2,0)*(1+(HLOOKUP(BO$2,'UW Model'!$M$103:$Q$104,2,0)/12)*(BO$3-((BO$2-1)*12)))</f>
        <v>0</v>
      </c>
      <c r="BP124" s="11">
        <f>HLOOKUP((BP$2-1)*12,$W$3:$CE$132,ROW()-2,0)*(1+(HLOOKUP(BP$2,'UW Model'!$M$103:$Q$104,2,0)/12)*(BP$3-((BP$2-1)*12)))</f>
        <v>0</v>
      </c>
      <c r="BQ124" s="11">
        <f>HLOOKUP((BQ$2-1)*12,$W$3:$CE$132,ROW()-2,0)*(1+(HLOOKUP(BQ$2,'UW Model'!$M$103:$Q$104,2,0)/12)*(BQ$3-((BQ$2-1)*12)))</f>
        <v>0</v>
      </c>
      <c r="BR124" s="11">
        <f>HLOOKUP((BR$2-1)*12,$W$3:$CE$132,ROW()-2,0)*(1+(HLOOKUP(BR$2,'UW Model'!$M$103:$Q$104,2,0)/12)*(BR$3-((BR$2-1)*12)))</f>
        <v>0</v>
      </c>
      <c r="BS124" s="71">
        <f>HLOOKUP((BS$2-1)*12,$W$3:$CE$132,ROW()-2,0)*(1+(HLOOKUP(BS$2,'UW Model'!$M$103:$Q$104,2,0)/12)*(BS$3-((BS$2-1)*12)))</f>
        <v>0</v>
      </c>
      <c r="BT124" s="11">
        <f>HLOOKUP((BT$2-1)*12,$W$3:$CE$132,ROW()-2,0)*(1+(HLOOKUP(BT$2,'UW Model'!$M$103:$Q$104,2,0)/12)*(BT$3-((BT$2-1)*12)))</f>
        <v>0</v>
      </c>
      <c r="BU124" s="11">
        <f>HLOOKUP((BU$2-1)*12,$W$3:$CE$132,ROW()-2,0)*(1+(HLOOKUP(BU$2,'UW Model'!$M$103:$Q$104,2,0)/12)*(BU$3-((BU$2-1)*12)))</f>
        <v>0</v>
      </c>
      <c r="BV124" s="11">
        <f>HLOOKUP((BV$2-1)*12,$W$3:$CE$132,ROW()-2,0)*(1+(HLOOKUP(BV$2,'UW Model'!$M$103:$Q$104,2,0)/12)*(BV$3-((BV$2-1)*12)))</f>
        <v>0</v>
      </c>
      <c r="BW124" s="11">
        <f>HLOOKUP((BW$2-1)*12,$W$3:$CE$132,ROW()-2,0)*(1+(HLOOKUP(BW$2,'UW Model'!$M$103:$Q$104,2,0)/12)*(BW$3-((BW$2-1)*12)))</f>
        <v>0</v>
      </c>
      <c r="BX124" s="11">
        <f>HLOOKUP((BX$2-1)*12,$W$3:$CE$132,ROW()-2,0)*(1+(HLOOKUP(BX$2,'UW Model'!$M$103:$Q$104,2,0)/12)*(BX$3-((BX$2-1)*12)))</f>
        <v>0</v>
      </c>
      <c r="BY124" s="11">
        <f>HLOOKUP((BY$2-1)*12,$W$3:$CE$132,ROW()-2,0)*(1+(HLOOKUP(BY$2,'UW Model'!$M$103:$Q$104,2,0)/12)*(BY$3-((BY$2-1)*12)))</f>
        <v>0</v>
      </c>
      <c r="BZ124" s="11">
        <f>HLOOKUP((BZ$2-1)*12,$W$3:$CE$132,ROW()-2,0)*(1+(HLOOKUP(BZ$2,'UW Model'!$M$103:$Q$104,2,0)/12)*(BZ$3-((BZ$2-1)*12)))</f>
        <v>0</v>
      </c>
      <c r="CA124" s="11">
        <f>HLOOKUP((CA$2-1)*12,$W$3:$CE$132,ROW()-2,0)*(1+(HLOOKUP(CA$2,'UW Model'!$M$103:$Q$104,2,0)/12)*(CA$3-((CA$2-1)*12)))</f>
        <v>0</v>
      </c>
      <c r="CB124" s="11">
        <f>HLOOKUP((CB$2-1)*12,$W$3:$CE$132,ROW()-2,0)*(1+(HLOOKUP(CB$2,'UW Model'!$M$103:$Q$104,2,0)/12)*(CB$3-((CB$2-1)*12)))</f>
        <v>0</v>
      </c>
      <c r="CC124" s="11">
        <f>HLOOKUP((CC$2-1)*12,$W$3:$CE$132,ROW()-2,0)*(1+(HLOOKUP(CC$2,'UW Model'!$M$103:$Q$104,2,0)/12)*(CC$3-((CC$2-1)*12)))</f>
        <v>0</v>
      </c>
      <c r="CD124" s="11">
        <f>HLOOKUP((CD$2-1)*12,$W$3:$CE$132,ROW()-2,0)*(1+(HLOOKUP(CD$2,'UW Model'!$M$103:$Q$104,2,0)/12)*(CD$3-((CD$2-1)*12)))</f>
        <v>0</v>
      </c>
      <c r="CE124" s="88">
        <f>HLOOKUP((CE$2-1)*12,$W$3:$CE$132,ROW()-2,0)*(1+(HLOOKUP(CE$2,'UW Model'!$M$103:$Q$104,2,0)/12)*(CE$3-((CE$2-1)*12)))</f>
        <v>0</v>
      </c>
    </row>
    <row r="125" spans="16:83" x14ac:dyDescent="0.35">
      <c r="P125" s="936"/>
      <c r="Q125" s="196" t="str">
        <f>$Q$13</f>
        <v/>
      </c>
      <c r="R125" s="199">
        <f t="shared" si="271"/>
        <v>0</v>
      </c>
      <c r="S125" s="121">
        <f t="shared" si="271"/>
        <v>0</v>
      </c>
      <c r="T125" s="121">
        <f t="shared" si="271"/>
        <v>0</v>
      </c>
      <c r="U125" s="121">
        <f t="shared" si="271"/>
        <v>0</v>
      </c>
      <c r="V125" s="200">
        <f t="shared" si="271"/>
        <v>0</v>
      </c>
      <c r="W125" s="201">
        <f>'UW Model'!L35</f>
        <v>0</v>
      </c>
      <c r="X125" s="201">
        <f>HLOOKUP((X$2-1)*12,$W$3:$CE$132,ROW()-2,0)*(1+(HLOOKUP(X$2,'UW Model'!$M$103:$Q$104,2,0)/12)*(X$3-((X$2-1)*12)))</f>
        <v>0</v>
      </c>
      <c r="Y125" s="11">
        <f>HLOOKUP((Y$2-1)*12,$W$3:$CE$132,ROW()-2,0)*(1+(HLOOKUP(Y$2,'UW Model'!$M$103:$Q$104,2,0)/12)*(Y$3-((Y$2-1)*12)))</f>
        <v>0</v>
      </c>
      <c r="Z125" s="11">
        <f>HLOOKUP((Z$2-1)*12,$W$3:$CE$132,ROW()-2,0)*(1+(HLOOKUP(Z$2,'UW Model'!$M$103:$Q$104,2,0)/12)*(Z$3-((Z$2-1)*12)))</f>
        <v>0</v>
      </c>
      <c r="AA125" s="11">
        <f>HLOOKUP((AA$2-1)*12,$W$3:$CE$132,ROW()-2,0)*(1+(HLOOKUP(AA$2,'UW Model'!$M$103:$Q$104,2,0)/12)*(AA$3-((AA$2-1)*12)))</f>
        <v>0</v>
      </c>
      <c r="AB125" s="11">
        <f>HLOOKUP((AB$2-1)*12,$W$3:$CE$132,ROW()-2,0)*(1+(HLOOKUP(AB$2,'UW Model'!$M$103:$Q$104,2,0)/12)*(AB$3-((AB$2-1)*12)))</f>
        <v>0</v>
      </c>
      <c r="AC125" s="11">
        <f>HLOOKUP((AC$2-1)*12,$W$3:$CE$132,ROW()-2,0)*(1+(HLOOKUP(AC$2,'UW Model'!$M$103:$Q$104,2,0)/12)*(AC$3-((AC$2-1)*12)))</f>
        <v>0</v>
      </c>
      <c r="AD125" s="11">
        <f>HLOOKUP((AD$2-1)*12,$W$3:$CE$132,ROW()-2,0)*(1+(HLOOKUP(AD$2,'UW Model'!$M$103:$Q$104,2,0)/12)*(AD$3-((AD$2-1)*12)))</f>
        <v>0</v>
      </c>
      <c r="AE125" s="11">
        <f>HLOOKUP((AE$2-1)*12,$W$3:$CE$132,ROW()-2,0)*(1+(HLOOKUP(AE$2,'UW Model'!$M$103:$Q$104,2,0)/12)*(AE$3-((AE$2-1)*12)))</f>
        <v>0</v>
      </c>
      <c r="AF125" s="11">
        <f>HLOOKUP((AF$2-1)*12,$W$3:$CE$132,ROW()-2,0)*(1+(HLOOKUP(AF$2,'UW Model'!$M$103:$Q$104,2,0)/12)*(AF$3-((AF$2-1)*12)))</f>
        <v>0</v>
      </c>
      <c r="AG125" s="11">
        <f>HLOOKUP((AG$2-1)*12,$W$3:$CE$132,ROW()-2,0)*(1+(HLOOKUP(AG$2,'UW Model'!$M$103:$Q$104,2,0)/12)*(AG$3-((AG$2-1)*12)))</f>
        <v>0</v>
      </c>
      <c r="AH125" s="11">
        <f>HLOOKUP((AH$2-1)*12,$W$3:$CE$132,ROW()-2,0)*(1+(HLOOKUP(AH$2,'UW Model'!$M$103:$Q$104,2,0)/12)*(AH$3-((AH$2-1)*12)))</f>
        <v>0</v>
      </c>
      <c r="AI125" s="71">
        <f>HLOOKUP((AI$2-1)*12,$W$3:$CE$132,ROW()-2,0)*(1+(HLOOKUP(AI$2,'UW Model'!$M$103:$Q$104,2,0)/12)*(AI$3-((AI$2-1)*12)))</f>
        <v>0</v>
      </c>
      <c r="AJ125" s="201">
        <f>HLOOKUP((AJ$2-1)*12,$W$3:$CE$132,ROW()-2,0)*(1+(HLOOKUP(AJ$2,'UW Model'!$M$103:$Q$104,2,0)/12)*(AJ$3-((AJ$2-1)*12)))</f>
        <v>0</v>
      </c>
      <c r="AK125" s="11">
        <f>HLOOKUP((AK$2-1)*12,$W$3:$CE$132,ROW()-2,0)*(1+(HLOOKUP(AK$2,'UW Model'!$M$103:$Q$104,2,0)/12)*(AK$3-((AK$2-1)*12)))</f>
        <v>0</v>
      </c>
      <c r="AL125" s="11">
        <f>HLOOKUP((AL$2-1)*12,$W$3:$CE$132,ROW()-2,0)*(1+(HLOOKUP(AL$2,'UW Model'!$M$103:$Q$104,2,0)/12)*(AL$3-((AL$2-1)*12)))</f>
        <v>0</v>
      </c>
      <c r="AM125" s="11">
        <f>HLOOKUP((AM$2-1)*12,$W$3:$CE$132,ROW()-2,0)*(1+(HLOOKUP(AM$2,'UW Model'!$M$103:$Q$104,2,0)/12)*(AM$3-((AM$2-1)*12)))</f>
        <v>0</v>
      </c>
      <c r="AN125" s="11">
        <f>HLOOKUP((AN$2-1)*12,$W$3:$CE$132,ROW()-2,0)*(1+(HLOOKUP(AN$2,'UW Model'!$M$103:$Q$104,2,0)/12)*(AN$3-((AN$2-1)*12)))</f>
        <v>0</v>
      </c>
      <c r="AO125" s="11">
        <f>HLOOKUP((AO$2-1)*12,$W$3:$CE$132,ROW()-2,0)*(1+(HLOOKUP(AO$2,'UW Model'!$M$103:$Q$104,2,0)/12)*(AO$3-((AO$2-1)*12)))</f>
        <v>0</v>
      </c>
      <c r="AP125" s="11">
        <f>HLOOKUP((AP$2-1)*12,$W$3:$CE$132,ROW()-2,0)*(1+(HLOOKUP(AP$2,'UW Model'!$M$103:$Q$104,2,0)/12)*(AP$3-((AP$2-1)*12)))</f>
        <v>0</v>
      </c>
      <c r="AQ125" s="11">
        <f>HLOOKUP((AQ$2-1)*12,$W$3:$CE$132,ROW()-2,0)*(1+(HLOOKUP(AQ$2,'UW Model'!$M$103:$Q$104,2,0)/12)*(AQ$3-((AQ$2-1)*12)))</f>
        <v>0</v>
      </c>
      <c r="AR125" s="11">
        <f>HLOOKUP((AR$2-1)*12,$W$3:$CE$132,ROW()-2,0)*(1+(HLOOKUP(AR$2,'UW Model'!$M$103:$Q$104,2,0)/12)*(AR$3-((AR$2-1)*12)))</f>
        <v>0</v>
      </c>
      <c r="AS125" s="11">
        <f>HLOOKUP((AS$2-1)*12,$W$3:$CE$132,ROW()-2,0)*(1+(HLOOKUP(AS$2,'UW Model'!$M$103:$Q$104,2,0)/12)*(AS$3-((AS$2-1)*12)))</f>
        <v>0</v>
      </c>
      <c r="AT125" s="11">
        <f>HLOOKUP((AT$2-1)*12,$W$3:$CE$132,ROW()-2,0)*(1+(HLOOKUP(AT$2,'UW Model'!$M$103:$Q$104,2,0)/12)*(AT$3-((AT$2-1)*12)))</f>
        <v>0</v>
      </c>
      <c r="AU125" s="71">
        <f>HLOOKUP((AU$2-1)*12,$W$3:$CE$132,ROW()-2,0)*(1+(HLOOKUP(AU$2,'UW Model'!$M$103:$Q$104,2,0)/12)*(AU$3-((AU$2-1)*12)))</f>
        <v>0</v>
      </c>
      <c r="AV125" s="11">
        <f>HLOOKUP((AV$2-1)*12,$W$3:$CE$132,ROW()-2,0)*(1+(HLOOKUP(AV$2,'UW Model'!$M$103:$Q$104,2,0)/12)*(AV$3-((AV$2-1)*12)))</f>
        <v>0</v>
      </c>
      <c r="AW125" s="11">
        <f>HLOOKUP((AW$2-1)*12,$W$3:$CE$132,ROW()-2,0)*(1+(HLOOKUP(AW$2,'UW Model'!$M$103:$Q$104,2,0)/12)*(AW$3-((AW$2-1)*12)))</f>
        <v>0</v>
      </c>
      <c r="AX125" s="11">
        <f>HLOOKUP((AX$2-1)*12,$W$3:$CE$132,ROW()-2,0)*(1+(HLOOKUP(AX$2,'UW Model'!$M$103:$Q$104,2,0)/12)*(AX$3-((AX$2-1)*12)))</f>
        <v>0</v>
      </c>
      <c r="AY125" s="11">
        <f>HLOOKUP((AY$2-1)*12,$W$3:$CE$132,ROW()-2,0)*(1+(HLOOKUP(AY$2,'UW Model'!$M$103:$Q$104,2,0)/12)*(AY$3-((AY$2-1)*12)))</f>
        <v>0</v>
      </c>
      <c r="AZ125" s="11">
        <f>HLOOKUP((AZ$2-1)*12,$W$3:$CE$132,ROW()-2,0)*(1+(HLOOKUP(AZ$2,'UW Model'!$M$103:$Q$104,2,0)/12)*(AZ$3-((AZ$2-1)*12)))</f>
        <v>0</v>
      </c>
      <c r="BA125" s="11">
        <f>HLOOKUP((BA$2-1)*12,$W$3:$CE$132,ROW()-2,0)*(1+(HLOOKUP(BA$2,'UW Model'!$M$103:$Q$104,2,0)/12)*(BA$3-((BA$2-1)*12)))</f>
        <v>0</v>
      </c>
      <c r="BB125" s="11">
        <f>HLOOKUP((BB$2-1)*12,$W$3:$CE$132,ROW()-2,0)*(1+(HLOOKUP(BB$2,'UW Model'!$M$103:$Q$104,2,0)/12)*(BB$3-((BB$2-1)*12)))</f>
        <v>0</v>
      </c>
      <c r="BC125" s="11">
        <f>HLOOKUP((BC$2-1)*12,$W$3:$CE$132,ROW()-2,0)*(1+(HLOOKUP(BC$2,'UW Model'!$M$103:$Q$104,2,0)/12)*(BC$3-((BC$2-1)*12)))</f>
        <v>0</v>
      </c>
      <c r="BD125" s="11">
        <f>HLOOKUP((BD$2-1)*12,$W$3:$CE$132,ROW()-2,0)*(1+(HLOOKUP(BD$2,'UW Model'!$M$103:$Q$104,2,0)/12)*(BD$3-((BD$2-1)*12)))</f>
        <v>0</v>
      </c>
      <c r="BE125" s="11">
        <f>HLOOKUP((BE$2-1)*12,$W$3:$CE$132,ROW()-2,0)*(1+(HLOOKUP(BE$2,'UW Model'!$M$103:$Q$104,2,0)/12)*(BE$3-((BE$2-1)*12)))</f>
        <v>0</v>
      </c>
      <c r="BF125" s="11">
        <f>HLOOKUP((BF$2-1)*12,$W$3:$CE$132,ROW()-2,0)*(1+(HLOOKUP(BF$2,'UW Model'!$M$103:$Q$104,2,0)/12)*(BF$3-((BF$2-1)*12)))</f>
        <v>0</v>
      </c>
      <c r="BG125" s="71">
        <f>HLOOKUP((BG$2-1)*12,$W$3:$CE$132,ROW()-2,0)*(1+(HLOOKUP(BG$2,'UW Model'!$M$103:$Q$104,2,0)/12)*(BG$3-((BG$2-1)*12)))</f>
        <v>0</v>
      </c>
      <c r="BH125" s="11">
        <f>HLOOKUP((BH$2-1)*12,$W$3:$CE$132,ROW()-2,0)*(1+(HLOOKUP(BH$2,'UW Model'!$M$103:$Q$104,2,0)/12)*(BH$3-((BH$2-1)*12)))</f>
        <v>0</v>
      </c>
      <c r="BI125" s="11">
        <f>HLOOKUP((BI$2-1)*12,$W$3:$CE$132,ROW()-2,0)*(1+(HLOOKUP(BI$2,'UW Model'!$M$103:$Q$104,2,0)/12)*(BI$3-((BI$2-1)*12)))</f>
        <v>0</v>
      </c>
      <c r="BJ125" s="11">
        <f>HLOOKUP((BJ$2-1)*12,$W$3:$CE$132,ROW()-2,0)*(1+(HLOOKUP(BJ$2,'UW Model'!$M$103:$Q$104,2,0)/12)*(BJ$3-((BJ$2-1)*12)))</f>
        <v>0</v>
      </c>
      <c r="BK125" s="11">
        <f>HLOOKUP((BK$2-1)*12,$W$3:$CE$132,ROW()-2,0)*(1+(HLOOKUP(BK$2,'UW Model'!$M$103:$Q$104,2,0)/12)*(BK$3-((BK$2-1)*12)))</f>
        <v>0</v>
      </c>
      <c r="BL125" s="11">
        <f>HLOOKUP((BL$2-1)*12,$W$3:$CE$132,ROW()-2,0)*(1+(HLOOKUP(BL$2,'UW Model'!$M$103:$Q$104,2,0)/12)*(BL$3-((BL$2-1)*12)))</f>
        <v>0</v>
      </c>
      <c r="BM125" s="11">
        <f>HLOOKUP((BM$2-1)*12,$W$3:$CE$132,ROW()-2,0)*(1+(HLOOKUP(BM$2,'UW Model'!$M$103:$Q$104,2,0)/12)*(BM$3-((BM$2-1)*12)))</f>
        <v>0</v>
      </c>
      <c r="BN125" s="11">
        <f>HLOOKUP((BN$2-1)*12,$W$3:$CE$132,ROW()-2,0)*(1+(HLOOKUP(BN$2,'UW Model'!$M$103:$Q$104,2,0)/12)*(BN$3-((BN$2-1)*12)))</f>
        <v>0</v>
      </c>
      <c r="BO125" s="11">
        <f>HLOOKUP((BO$2-1)*12,$W$3:$CE$132,ROW()-2,0)*(1+(HLOOKUP(BO$2,'UW Model'!$M$103:$Q$104,2,0)/12)*(BO$3-((BO$2-1)*12)))</f>
        <v>0</v>
      </c>
      <c r="BP125" s="11">
        <f>HLOOKUP((BP$2-1)*12,$W$3:$CE$132,ROW()-2,0)*(1+(HLOOKUP(BP$2,'UW Model'!$M$103:$Q$104,2,0)/12)*(BP$3-((BP$2-1)*12)))</f>
        <v>0</v>
      </c>
      <c r="BQ125" s="11">
        <f>HLOOKUP((BQ$2-1)*12,$W$3:$CE$132,ROW()-2,0)*(1+(HLOOKUP(BQ$2,'UW Model'!$M$103:$Q$104,2,0)/12)*(BQ$3-((BQ$2-1)*12)))</f>
        <v>0</v>
      </c>
      <c r="BR125" s="11">
        <f>HLOOKUP((BR$2-1)*12,$W$3:$CE$132,ROW()-2,0)*(1+(HLOOKUP(BR$2,'UW Model'!$M$103:$Q$104,2,0)/12)*(BR$3-((BR$2-1)*12)))</f>
        <v>0</v>
      </c>
      <c r="BS125" s="71">
        <f>HLOOKUP((BS$2-1)*12,$W$3:$CE$132,ROW()-2,0)*(1+(HLOOKUP(BS$2,'UW Model'!$M$103:$Q$104,2,0)/12)*(BS$3-((BS$2-1)*12)))</f>
        <v>0</v>
      </c>
      <c r="BT125" s="11">
        <f>HLOOKUP((BT$2-1)*12,$W$3:$CE$132,ROW()-2,0)*(1+(HLOOKUP(BT$2,'UW Model'!$M$103:$Q$104,2,0)/12)*(BT$3-((BT$2-1)*12)))</f>
        <v>0</v>
      </c>
      <c r="BU125" s="11">
        <f>HLOOKUP((BU$2-1)*12,$W$3:$CE$132,ROW()-2,0)*(1+(HLOOKUP(BU$2,'UW Model'!$M$103:$Q$104,2,0)/12)*(BU$3-((BU$2-1)*12)))</f>
        <v>0</v>
      </c>
      <c r="BV125" s="11">
        <f>HLOOKUP((BV$2-1)*12,$W$3:$CE$132,ROW()-2,0)*(1+(HLOOKUP(BV$2,'UW Model'!$M$103:$Q$104,2,0)/12)*(BV$3-((BV$2-1)*12)))</f>
        <v>0</v>
      </c>
      <c r="BW125" s="11">
        <f>HLOOKUP((BW$2-1)*12,$W$3:$CE$132,ROW()-2,0)*(1+(HLOOKUP(BW$2,'UW Model'!$M$103:$Q$104,2,0)/12)*(BW$3-((BW$2-1)*12)))</f>
        <v>0</v>
      </c>
      <c r="BX125" s="11">
        <f>HLOOKUP((BX$2-1)*12,$W$3:$CE$132,ROW()-2,0)*(1+(HLOOKUP(BX$2,'UW Model'!$M$103:$Q$104,2,0)/12)*(BX$3-((BX$2-1)*12)))</f>
        <v>0</v>
      </c>
      <c r="BY125" s="11">
        <f>HLOOKUP((BY$2-1)*12,$W$3:$CE$132,ROW()-2,0)*(1+(HLOOKUP(BY$2,'UW Model'!$M$103:$Q$104,2,0)/12)*(BY$3-((BY$2-1)*12)))</f>
        <v>0</v>
      </c>
      <c r="BZ125" s="11">
        <f>HLOOKUP((BZ$2-1)*12,$W$3:$CE$132,ROW()-2,0)*(1+(HLOOKUP(BZ$2,'UW Model'!$M$103:$Q$104,2,0)/12)*(BZ$3-((BZ$2-1)*12)))</f>
        <v>0</v>
      </c>
      <c r="CA125" s="11">
        <f>HLOOKUP((CA$2-1)*12,$W$3:$CE$132,ROW()-2,0)*(1+(HLOOKUP(CA$2,'UW Model'!$M$103:$Q$104,2,0)/12)*(CA$3-((CA$2-1)*12)))</f>
        <v>0</v>
      </c>
      <c r="CB125" s="11">
        <f>HLOOKUP((CB$2-1)*12,$W$3:$CE$132,ROW()-2,0)*(1+(HLOOKUP(CB$2,'UW Model'!$M$103:$Q$104,2,0)/12)*(CB$3-((CB$2-1)*12)))</f>
        <v>0</v>
      </c>
      <c r="CC125" s="11">
        <f>HLOOKUP((CC$2-1)*12,$W$3:$CE$132,ROW()-2,0)*(1+(HLOOKUP(CC$2,'UW Model'!$M$103:$Q$104,2,0)/12)*(CC$3-((CC$2-1)*12)))</f>
        <v>0</v>
      </c>
      <c r="CD125" s="11">
        <f>HLOOKUP((CD$2-1)*12,$W$3:$CE$132,ROW()-2,0)*(1+(HLOOKUP(CD$2,'UW Model'!$M$103:$Q$104,2,0)/12)*(CD$3-((CD$2-1)*12)))</f>
        <v>0</v>
      </c>
      <c r="CE125" s="88">
        <f>HLOOKUP((CE$2-1)*12,$W$3:$CE$132,ROW()-2,0)*(1+(HLOOKUP(CE$2,'UW Model'!$M$103:$Q$104,2,0)/12)*(CE$3-((CE$2-1)*12)))</f>
        <v>0</v>
      </c>
    </row>
    <row r="126" spans="16:83" x14ac:dyDescent="0.35">
      <c r="P126" s="936"/>
      <c r="Q126" s="196" t="str">
        <f>$Q$14</f>
        <v/>
      </c>
      <c r="R126" s="199">
        <f t="shared" si="271"/>
        <v>0</v>
      </c>
      <c r="S126" s="121">
        <f t="shared" si="271"/>
        <v>0</v>
      </c>
      <c r="T126" s="121">
        <f t="shared" si="271"/>
        <v>0</v>
      </c>
      <c r="U126" s="121">
        <f t="shared" si="271"/>
        <v>0</v>
      </c>
      <c r="V126" s="200">
        <f t="shared" si="271"/>
        <v>0</v>
      </c>
      <c r="W126" s="201">
        <f>'UW Model'!L36</f>
        <v>0</v>
      </c>
      <c r="X126" s="201">
        <f>HLOOKUP((X$2-1)*12,$W$3:$CE$132,ROW()-2,0)*(1+(HLOOKUP(X$2,'UW Model'!$M$103:$Q$104,2,0)/12)*(X$3-((X$2-1)*12)))</f>
        <v>0</v>
      </c>
      <c r="Y126" s="11">
        <f>HLOOKUP((Y$2-1)*12,$W$3:$CE$132,ROW()-2,0)*(1+(HLOOKUP(Y$2,'UW Model'!$M$103:$Q$104,2,0)/12)*(Y$3-((Y$2-1)*12)))</f>
        <v>0</v>
      </c>
      <c r="Z126" s="11">
        <f>HLOOKUP((Z$2-1)*12,$W$3:$CE$132,ROW()-2,0)*(1+(HLOOKUP(Z$2,'UW Model'!$M$103:$Q$104,2,0)/12)*(Z$3-((Z$2-1)*12)))</f>
        <v>0</v>
      </c>
      <c r="AA126" s="11">
        <f>HLOOKUP((AA$2-1)*12,$W$3:$CE$132,ROW()-2,0)*(1+(HLOOKUP(AA$2,'UW Model'!$M$103:$Q$104,2,0)/12)*(AA$3-((AA$2-1)*12)))</f>
        <v>0</v>
      </c>
      <c r="AB126" s="11">
        <f>HLOOKUP((AB$2-1)*12,$W$3:$CE$132,ROW()-2,0)*(1+(HLOOKUP(AB$2,'UW Model'!$M$103:$Q$104,2,0)/12)*(AB$3-((AB$2-1)*12)))</f>
        <v>0</v>
      </c>
      <c r="AC126" s="11">
        <f>HLOOKUP((AC$2-1)*12,$W$3:$CE$132,ROW()-2,0)*(1+(HLOOKUP(AC$2,'UW Model'!$M$103:$Q$104,2,0)/12)*(AC$3-((AC$2-1)*12)))</f>
        <v>0</v>
      </c>
      <c r="AD126" s="11">
        <f>HLOOKUP((AD$2-1)*12,$W$3:$CE$132,ROW()-2,0)*(1+(HLOOKUP(AD$2,'UW Model'!$M$103:$Q$104,2,0)/12)*(AD$3-((AD$2-1)*12)))</f>
        <v>0</v>
      </c>
      <c r="AE126" s="11">
        <f>HLOOKUP((AE$2-1)*12,$W$3:$CE$132,ROW()-2,0)*(1+(HLOOKUP(AE$2,'UW Model'!$M$103:$Q$104,2,0)/12)*(AE$3-((AE$2-1)*12)))</f>
        <v>0</v>
      </c>
      <c r="AF126" s="11">
        <f>HLOOKUP((AF$2-1)*12,$W$3:$CE$132,ROW()-2,0)*(1+(HLOOKUP(AF$2,'UW Model'!$M$103:$Q$104,2,0)/12)*(AF$3-((AF$2-1)*12)))</f>
        <v>0</v>
      </c>
      <c r="AG126" s="11">
        <f>HLOOKUP((AG$2-1)*12,$W$3:$CE$132,ROW()-2,0)*(1+(HLOOKUP(AG$2,'UW Model'!$M$103:$Q$104,2,0)/12)*(AG$3-((AG$2-1)*12)))</f>
        <v>0</v>
      </c>
      <c r="AH126" s="11">
        <f>HLOOKUP((AH$2-1)*12,$W$3:$CE$132,ROW()-2,0)*(1+(HLOOKUP(AH$2,'UW Model'!$M$103:$Q$104,2,0)/12)*(AH$3-((AH$2-1)*12)))</f>
        <v>0</v>
      </c>
      <c r="AI126" s="71">
        <f>HLOOKUP((AI$2-1)*12,$W$3:$CE$132,ROW()-2,0)*(1+(HLOOKUP(AI$2,'UW Model'!$M$103:$Q$104,2,0)/12)*(AI$3-((AI$2-1)*12)))</f>
        <v>0</v>
      </c>
      <c r="AJ126" s="201">
        <f>HLOOKUP((AJ$2-1)*12,$W$3:$CE$132,ROW()-2,0)*(1+(HLOOKUP(AJ$2,'UW Model'!$M$103:$Q$104,2,0)/12)*(AJ$3-((AJ$2-1)*12)))</f>
        <v>0</v>
      </c>
      <c r="AK126" s="11">
        <f>HLOOKUP((AK$2-1)*12,$W$3:$CE$132,ROW()-2,0)*(1+(HLOOKUP(AK$2,'UW Model'!$M$103:$Q$104,2,0)/12)*(AK$3-((AK$2-1)*12)))</f>
        <v>0</v>
      </c>
      <c r="AL126" s="11">
        <f>HLOOKUP((AL$2-1)*12,$W$3:$CE$132,ROW()-2,0)*(1+(HLOOKUP(AL$2,'UW Model'!$M$103:$Q$104,2,0)/12)*(AL$3-((AL$2-1)*12)))</f>
        <v>0</v>
      </c>
      <c r="AM126" s="11">
        <f>HLOOKUP((AM$2-1)*12,$W$3:$CE$132,ROW()-2,0)*(1+(HLOOKUP(AM$2,'UW Model'!$M$103:$Q$104,2,0)/12)*(AM$3-((AM$2-1)*12)))</f>
        <v>0</v>
      </c>
      <c r="AN126" s="11">
        <f>HLOOKUP((AN$2-1)*12,$W$3:$CE$132,ROW()-2,0)*(1+(HLOOKUP(AN$2,'UW Model'!$M$103:$Q$104,2,0)/12)*(AN$3-((AN$2-1)*12)))</f>
        <v>0</v>
      </c>
      <c r="AO126" s="11">
        <f>HLOOKUP((AO$2-1)*12,$W$3:$CE$132,ROW()-2,0)*(1+(HLOOKUP(AO$2,'UW Model'!$M$103:$Q$104,2,0)/12)*(AO$3-((AO$2-1)*12)))</f>
        <v>0</v>
      </c>
      <c r="AP126" s="11">
        <f>HLOOKUP((AP$2-1)*12,$W$3:$CE$132,ROW()-2,0)*(1+(HLOOKUP(AP$2,'UW Model'!$M$103:$Q$104,2,0)/12)*(AP$3-((AP$2-1)*12)))</f>
        <v>0</v>
      </c>
      <c r="AQ126" s="11">
        <f>HLOOKUP((AQ$2-1)*12,$W$3:$CE$132,ROW()-2,0)*(1+(HLOOKUP(AQ$2,'UW Model'!$M$103:$Q$104,2,0)/12)*(AQ$3-((AQ$2-1)*12)))</f>
        <v>0</v>
      </c>
      <c r="AR126" s="11">
        <f>HLOOKUP((AR$2-1)*12,$W$3:$CE$132,ROW()-2,0)*(1+(HLOOKUP(AR$2,'UW Model'!$M$103:$Q$104,2,0)/12)*(AR$3-((AR$2-1)*12)))</f>
        <v>0</v>
      </c>
      <c r="AS126" s="11">
        <f>HLOOKUP((AS$2-1)*12,$W$3:$CE$132,ROW()-2,0)*(1+(HLOOKUP(AS$2,'UW Model'!$M$103:$Q$104,2,0)/12)*(AS$3-((AS$2-1)*12)))</f>
        <v>0</v>
      </c>
      <c r="AT126" s="11">
        <f>HLOOKUP((AT$2-1)*12,$W$3:$CE$132,ROW()-2,0)*(1+(HLOOKUP(AT$2,'UW Model'!$M$103:$Q$104,2,0)/12)*(AT$3-((AT$2-1)*12)))</f>
        <v>0</v>
      </c>
      <c r="AU126" s="71">
        <f>HLOOKUP((AU$2-1)*12,$W$3:$CE$132,ROW()-2,0)*(1+(HLOOKUP(AU$2,'UW Model'!$M$103:$Q$104,2,0)/12)*(AU$3-((AU$2-1)*12)))</f>
        <v>0</v>
      </c>
      <c r="AV126" s="11">
        <f>HLOOKUP((AV$2-1)*12,$W$3:$CE$132,ROW()-2,0)*(1+(HLOOKUP(AV$2,'UW Model'!$M$103:$Q$104,2,0)/12)*(AV$3-((AV$2-1)*12)))</f>
        <v>0</v>
      </c>
      <c r="AW126" s="11">
        <f>HLOOKUP((AW$2-1)*12,$W$3:$CE$132,ROW()-2,0)*(1+(HLOOKUP(AW$2,'UW Model'!$M$103:$Q$104,2,0)/12)*(AW$3-((AW$2-1)*12)))</f>
        <v>0</v>
      </c>
      <c r="AX126" s="11">
        <f>HLOOKUP((AX$2-1)*12,$W$3:$CE$132,ROW()-2,0)*(1+(HLOOKUP(AX$2,'UW Model'!$M$103:$Q$104,2,0)/12)*(AX$3-((AX$2-1)*12)))</f>
        <v>0</v>
      </c>
      <c r="AY126" s="11">
        <f>HLOOKUP((AY$2-1)*12,$W$3:$CE$132,ROW()-2,0)*(1+(HLOOKUP(AY$2,'UW Model'!$M$103:$Q$104,2,0)/12)*(AY$3-((AY$2-1)*12)))</f>
        <v>0</v>
      </c>
      <c r="AZ126" s="11">
        <f>HLOOKUP((AZ$2-1)*12,$W$3:$CE$132,ROW()-2,0)*(1+(HLOOKUP(AZ$2,'UW Model'!$M$103:$Q$104,2,0)/12)*(AZ$3-((AZ$2-1)*12)))</f>
        <v>0</v>
      </c>
      <c r="BA126" s="11">
        <f>HLOOKUP((BA$2-1)*12,$W$3:$CE$132,ROW()-2,0)*(1+(HLOOKUP(BA$2,'UW Model'!$M$103:$Q$104,2,0)/12)*(BA$3-((BA$2-1)*12)))</f>
        <v>0</v>
      </c>
      <c r="BB126" s="11">
        <f>HLOOKUP((BB$2-1)*12,$W$3:$CE$132,ROW()-2,0)*(1+(HLOOKUP(BB$2,'UW Model'!$M$103:$Q$104,2,0)/12)*(BB$3-((BB$2-1)*12)))</f>
        <v>0</v>
      </c>
      <c r="BC126" s="11">
        <f>HLOOKUP((BC$2-1)*12,$W$3:$CE$132,ROW()-2,0)*(1+(HLOOKUP(BC$2,'UW Model'!$M$103:$Q$104,2,0)/12)*(BC$3-((BC$2-1)*12)))</f>
        <v>0</v>
      </c>
      <c r="BD126" s="11">
        <f>HLOOKUP((BD$2-1)*12,$W$3:$CE$132,ROW()-2,0)*(1+(HLOOKUP(BD$2,'UW Model'!$M$103:$Q$104,2,0)/12)*(BD$3-((BD$2-1)*12)))</f>
        <v>0</v>
      </c>
      <c r="BE126" s="11">
        <f>HLOOKUP((BE$2-1)*12,$W$3:$CE$132,ROW()-2,0)*(1+(HLOOKUP(BE$2,'UW Model'!$M$103:$Q$104,2,0)/12)*(BE$3-((BE$2-1)*12)))</f>
        <v>0</v>
      </c>
      <c r="BF126" s="11">
        <f>HLOOKUP((BF$2-1)*12,$W$3:$CE$132,ROW()-2,0)*(1+(HLOOKUP(BF$2,'UW Model'!$M$103:$Q$104,2,0)/12)*(BF$3-((BF$2-1)*12)))</f>
        <v>0</v>
      </c>
      <c r="BG126" s="71">
        <f>HLOOKUP((BG$2-1)*12,$W$3:$CE$132,ROW()-2,0)*(1+(HLOOKUP(BG$2,'UW Model'!$M$103:$Q$104,2,0)/12)*(BG$3-((BG$2-1)*12)))</f>
        <v>0</v>
      </c>
      <c r="BH126" s="11">
        <f>HLOOKUP((BH$2-1)*12,$W$3:$CE$132,ROW()-2,0)*(1+(HLOOKUP(BH$2,'UW Model'!$M$103:$Q$104,2,0)/12)*(BH$3-((BH$2-1)*12)))</f>
        <v>0</v>
      </c>
      <c r="BI126" s="11">
        <f>HLOOKUP((BI$2-1)*12,$W$3:$CE$132,ROW()-2,0)*(1+(HLOOKUP(BI$2,'UW Model'!$M$103:$Q$104,2,0)/12)*(BI$3-((BI$2-1)*12)))</f>
        <v>0</v>
      </c>
      <c r="BJ126" s="11">
        <f>HLOOKUP((BJ$2-1)*12,$W$3:$CE$132,ROW()-2,0)*(1+(HLOOKUP(BJ$2,'UW Model'!$M$103:$Q$104,2,0)/12)*(BJ$3-((BJ$2-1)*12)))</f>
        <v>0</v>
      </c>
      <c r="BK126" s="11">
        <f>HLOOKUP((BK$2-1)*12,$W$3:$CE$132,ROW()-2,0)*(1+(HLOOKUP(BK$2,'UW Model'!$M$103:$Q$104,2,0)/12)*(BK$3-((BK$2-1)*12)))</f>
        <v>0</v>
      </c>
      <c r="BL126" s="11">
        <f>HLOOKUP((BL$2-1)*12,$W$3:$CE$132,ROW()-2,0)*(1+(HLOOKUP(BL$2,'UW Model'!$M$103:$Q$104,2,0)/12)*(BL$3-((BL$2-1)*12)))</f>
        <v>0</v>
      </c>
      <c r="BM126" s="11">
        <f>HLOOKUP((BM$2-1)*12,$W$3:$CE$132,ROW()-2,0)*(1+(HLOOKUP(BM$2,'UW Model'!$M$103:$Q$104,2,0)/12)*(BM$3-((BM$2-1)*12)))</f>
        <v>0</v>
      </c>
      <c r="BN126" s="11">
        <f>HLOOKUP((BN$2-1)*12,$W$3:$CE$132,ROW()-2,0)*(1+(HLOOKUP(BN$2,'UW Model'!$M$103:$Q$104,2,0)/12)*(BN$3-((BN$2-1)*12)))</f>
        <v>0</v>
      </c>
      <c r="BO126" s="11">
        <f>HLOOKUP((BO$2-1)*12,$W$3:$CE$132,ROW()-2,0)*(1+(HLOOKUP(BO$2,'UW Model'!$M$103:$Q$104,2,0)/12)*(BO$3-((BO$2-1)*12)))</f>
        <v>0</v>
      </c>
      <c r="BP126" s="11">
        <f>HLOOKUP((BP$2-1)*12,$W$3:$CE$132,ROW()-2,0)*(1+(HLOOKUP(BP$2,'UW Model'!$M$103:$Q$104,2,0)/12)*(BP$3-((BP$2-1)*12)))</f>
        <v>0</v>
      </c>
      <c r="BQ126" s="11">
        <f>HLOOKUP((BQ$2-1)*12,$W$3:$CE$132,ROW()-2,0)*(1+(HLOOKUP(BQ$2,'UW Model'!$M$103:$Q$104,2,0)/12)*(BQ$3-((BQ$2-1)*12)))</f>
        <v>0</v>
      </c>
      <c r="BR126" s="11">
        <f>HLOOKUP((BR$2-1)*12,$W$3:$CE$132,ROW()-2,0)*(1+(HLOOKUP(BR$2,'UW Model'!$M$103:$Q$104,2,0)/12)*(BR$3-((BR$2-1)*12)))</f>
        <v>0</v>
      </c>
      <c r="BS126" s="71">
        <f>HLOOKUP((BS$2-1)*12,$W$3:$CE$132,ROW()-2,0)*(1+(HLOOKUP(BS$2,'UW Model'!$M$103:$Q$104,2,0)/12)*(BS$3-((BS$2-1)*12)))</f>
        <v>0</v>
      </c>
      <c r="BT126" s="11">
        <f>HLOOKUP((BT$2-1)*12,$W$3:$CE$132,ROW()-2,0)*(1+(HLOOKUP(BT$2,'UW Model'!$M$103:$Q$104,2,0)/12)*(BT$3-((BT$2-1)*12)))</f>
        <v>0</v>
      </c>
      <c r="BU126" s="11">
        <f>HLOOKUP((BU$2-1)*12,$W$3:$CE$132,ROW()-2,0)*(1+(HLOOKUP(BU$2,'UW Model'!$M$103:$Q$104,2,0)/12)*(BU$3-((BU$2-1)*12)))</f>
        <v>0</v>
      </c>
      <c r="BV126" s="11">
        <f>HLOOKUP((BV$2-1)*12,$W$3:$CE$132,ROW()-2,0)*(1+(HLOOKUP(BV$2,'UW Model'!$M$103:$Q$104,2,0)/12)*(BV$3-((BV$2-1)*12)))</f>
        <v>0</v>
      </c>
      <c r="BW126" s="11">
        <f>HLOOKUP((BW$2-1)*12,$W$3:$CE$132,ROW()-2,0)*(1+(HLOOKUP(BW$2,'UW Model'!$M$103:$Q$104,2,0)/12)*(BW$3-((BW$2-1)*12)))</f>
        <v>0</v>
      </c>
      <c r="BX126" s="11">
        <f>HLOOKUP((BX$2-1)*12,$W$3:$CE$132,ROW()-2,0)*(1+(HLOOKUP(BX$2,'UW Model'!$M$103:$Q$104,2,0)/12)*(BX$3-((BX$2-1)*12)))</f>
        <v>0</v>
      </c>
      <c r="BY126" s="11">
        <f>HLOOKUP((BY$2-1)*12,$W$3:$CE$132,ROW()-2,0)*(1+(HLOOKUP(BY$2,'UW Model'!$M$103:$Q$104,2,0)/12)*(BY$3-((BY$2-1)*12)))</f>
        <v>0</v>
      </c>
      <c r="BZ126" s="11">
        <f>HLOOKUP((BZ$2-1)*12,$W$3:$CE$132,ROW()-2,0)*(1+(HLOOKUP(BZ$2,'UW Model'!$M$103:$Q$104,2,0)/12)*(BZ$3-((BZ$2-1)*12)))</f>
        <v>0</v>
      </c>
      <c r="CA126" s="11">
        <f>HLOOKUP((CA$2-1)*12,$W$3:$CE$132,ROW()-2,0)*(1+(HLOOKUP(CA$2,'UW Model'!$M$103:$Q$104,2,0)/12)*(CA$3-((CA$2-1)*12)))</f>
        <v>0</v>
      </c>
      <c r="CB126" s="11">
        <f>HLOOKUP((CB$2-1)*12,$W$3:$CE$132,ROW()-2,0)*(1+(HLOOKUP(CB$2,'UW Model'!$M$103:$Q$104,2,0)/12)*(CB$3-((CB$2-1)*12)))</f>
        <v>0</v>
      </c>
      <c r="CC126" s="11">
        <f>HLOOKUP((CC$2-1)*12,$W$3:$CE$132,ROW()-2,0)*(1+(HLOOKUP(CC$2,'UW Model'!$M$103:$Q$104,2,0)/12)*(CC$3-((CC$2-1)*12)))</f>
        <v>0</v>
      </c>
      <c r="CD126" s="11">
        <f>HLOOKUP((CD$2-1)*12,$W$3:$CE$132,ROW()-2,0)*(1+(HLOOKUP(CD$2,'UW Model'!$M$103:$Q$104,2,0)/12)*(CD$3-((CD$2-1)*12)))</f>
        <v>0</v>
      </c>
      <c r="CE126" s="88">
        <f>HLOOKUP((CE$2-1)*12,$W$3:$CE$132,ROW()-2,0)*(1+(HLOOKUP(CE$2,'UW Model'!$M$103:$Q$104,2,0)/12)*(CE$3-((CE$2-1)*12)))</f>
        <v>0</v>
      </c>
    </row>
    <row r="127" spans="16:83" x14ac:dyDescent="0.35">
      <c r="P127" s="936"/>
      <c r="Q127" s="194" t="str">
        <f>$Q$15</f>
        <v/>
      </c>
      <c r="R127" s="199">
        <f t="shared" ref="R127:V132" si="274">IFERROR(SUMIF($X$2:$CE$2,R$2,$X111:$CE111)/SUMIF($X$2:$CE$2,R$2,$X95:$CE95),0)</f>
        <v>0</v>
      </c>
      <c r="S127" s="121">
        <f t="shared" si="274"/>
        <v>0</v>
      </c>
      <c r="T127" s="121">
        <f t="shared" si="274"/>
        <v>0</v>
      </c>
      <c r="U127" s="121">
        <f t="shared" si="274"/>
        <v>0</v>
      </c>
      <c r="V127" s="200">
        <f t="shared" si="274"/>
        <v>0</v>
      </c>
      <c r="W127" s="201">
        <f>'UW Model'!L37</f>
        <v>0</v>
      </c>
      <c r="X127" s="201">
        <f>HLOOKUP((X$2-1)*12,$W$3:$CE$132,ROW()-2,0)*(1+(HLOOKUP(X$2,'UW Model'!$M$103:$Q$104,2,0)/12)*(X$3-((X$2-1)*12)))</f>
        <v>0</v>
      </c>
      <c r="Y127" s="11">
        <f>HLOOKUP((Y$2-1)*12,$W$3:$CE$132,ROW()-2,0)*(1+(HLOOKUP(Y$2,'UW Model'!$M$103:$Q$104,2,0)/12)*(Y$3-((Y$2-1)*12)))</f>
        <v>0</v>
      </c>
      <c r="Z127" s="11">
        <f>HLOOKUP((Z$2-1)*12,$W$3:$CE$132,ROW()-2,0)*(1+(HLOOKUP(Z$2,'UW Model'!$M$103:$Q$104,2,0)/12)*(Z$3-((Z$2-1)*12)))</f>
        <v>0</v>
      </c>
      <c r="AA127" s="11">
        <f>HLOOKUP((AA$2-1)*12,$W$3:$CE$132,ROW()-2,0)*(1+(HLOOKUP(AA$2,'UW Model'!$M$103:$Q$104,2,0)/12)*(AA$3-((AA$2-1)*12)))</f>
        <v>0</v>
      </c>
      <c r="AB127" s="11">
        <f>HLOOKUP((AB$2-1)*12,$W$3:$CE$132,ROW()-2,0)*(1+(HLOOKUP(AB$2,'UW Model'!$M$103:$Q$104,2,0)/12)*(AB$3-((AB$2-1)*12)))</f>
        <v>0</v>
      </c>
      <c r="AC127" s="11">
        <f>HLOOKUP((AC$2-1)*12,$W$3:$CE$132,ROW()-2,0)*(1+(HLOOKUP(AC$2,'UW Model'!$M$103:$Q$104,2,0)/12)*(AC$3-((AC$2-1)*12)))</f>
        <v>0</v>
      </c>
      <c r="AD127" s="11">
        <f>HLOOKUP((AD$2-1)*12,$W$3:$CE$132,ROW()-2,0)*(1+(HLOOKUP(AD$2,'UW Model'!$M$103:$Q$104,2,0)/12)*(AD$3-((AD$2-1)*12)))</f>
        <v>0</v>
      </c>
      <c r="AE127" s="11">
        <f>HLOOKUP((AE$2-1)*12,$W$3:$CE$132,ROW()-2,0)*(1+(HLOOKUP(AE$2,'UW Model'!$M$103:$Q$104,2,0)/12)*(AE$3-((AE$2-1)*12)))</f>
        <v>0</v>
      </c>
      <c r="AF127" s="11">
        <f>HLOOKUP((AF$2-1)*12,$W$3:$CE$132,ROW()-2,0)*(1+(HLOOKUP(AF$2,'UW Model'!$M$103:$Q$104,2,0)/12)*(AF$3-((AF$2-1)*12)))</f>
        <v>0</v>
      </c>
      <c r="AG127" s="11">
        <f>HLOOKUP((AG$2-1)*12,$W$3:$CE$132,ROW()-2,0)*(1+(HLOOKUP(AG$2,'UW Model'!$M$103:$Q$104,2,0)/12)*(AG$3-((AG$2-1)*12)))</f>
        <v>0</v>
      </c>
      <c r="AH127" s="11">
        <f>HLOOKUP((AH$2-1)*12,$W$3:$CE$132,ROW()-2,0)*(1+(HLOOKUP(AH$2,'UW Model'!$M$103:$Q$104,2,0)/12)*(AH$3-((AH$2-1)*12)))</f>
        <v>0</v>
      </c>
      <c r="AI127" s="71">
        <f>HLOOKUP((AI$2-1)*12,$W$3:$CE$132,ROW()-2,0)*(1+(HLOOKUP(AI$2,'UW Model'!$M$103:$Q$104,2,0)/12)*(AI$3-((AI$2-1)*12)))</f>
        <v>0</v>
      </c>
      <c r="AJ127" s="201">
        <f>HLOOKUP((AJ$2-1)*12,$W$3:$CE$132,ROW()-2,0)*(1+(HLOOKUP(AJ$2,'UW Model'!$M$103:$Q$104,2,0)/12)*(AJ$3-((AJ$2-1)*12)))</f>
        <v>0</v>
      </c>
      <c r="AK127" s="11">
        <f>HLOOKUP((AK$2-1)*12,$W$3:$CE$132,ROW()-2,0)*(1+(HLOOKUP(AK$2,'UW Model'!$M$103:$Q$104,2,0)/12)*(AK$3-((AK$2-1)*12)))</f>
        <v>0</v>
      </c>
      <c r="AL127" s="11">
        <f>HLOOKUP((AL$2-1)*12,$W$3:$CE$132,ROW()-2,0)*(1+(HLOOKUP(AL$2,'UW Model'!$M$103:$Q$104,2,0)/12)*(AL$3-((AL$2-1)*12)))</f>
        <v>0</v>
      </c>
      <c r="AM127" s="11">
        <f>HLOOKUP((AM$2-1)*12,$W$3:$CE$132,ROW()-2,0)*(1+(HLOOKUP(AM$2,'UW Model'!$M$103:$Q$104,2,0)/12)*(AM$3-((AM$2-1)*12)))</f>
        <v>0</v>
      </c>
      <c r="AN127" s="11">
        <f>HLOOKUP((AN$2-1)*12,$W$3:$CE$132,ROW()-2,0)*(1+(HLOOKUP(AN$2,'UW Model'!$M$103:$Q$104,2,0)/12)*(AN$3-((AN$2-1)*12)))</f>
        <v>0</v>
      </c>
      <c r="AO127" s="11">
        <f>HLOOKUP((AO$2-1)*12,$W$3:$CE$132,ROW()-2,0)*(1+(HLOOKUP(AO$2,'UW Model'!$M$103:$Q$104,2,0)/12)*(AO$3-((AO$2-1)*12)))</f>
        <v>0</v>
      </c>
      <c r="AP127" s="11">
        <f>HLOOKUP((AP$2-1)*12,$W$3:$CE$132,ROW()-2,0)*(1+(HLOOKUP(AP$2,'UW Model'!$M$103:$Q$104,2,0)/12)*(AP$3-((AP$2-1)*12)))</f>
        <v>0</v>
      </c>
      <c r="AQ127" s="11">
        <f>HLOOKUP((AQ$2-1)*12,$W$3:$CE$132,ROW()-2,0)*(1+(HLOOKUP(AQ$2,'UW Model'!$M$103:$Q$104,2,0)/12)*(AQ$3-((AQ$2-1)*12)))</f>
        <v>0</v>
      </c>
      <c r="AR127" s="11">
        <f>HLOOKUP((AR$2-1)*12,$W$3:$CE$132,ROW()-2,0)*(1+(HLOOKUP(AR$2,'UW Model'!$M$103:$Q$104,2,0)/12)*(AR$3-((AR$2-1)*12)))</f>
        <v>0</v>
      </c>
      <c r="AS127" s="11">
        <f>HLOOKUP((AS$2-1)*12,$W$3:$CE$132,ROW()-2,0)*(1+(HLOOKUP(AS$2,'UW Model'!$M$103:$Q$104,2,0)/12)*(AS$3-((AS$2-1)*12)))</f>
        <v>0</v>
      </c>
      <c r="AT127" s="11">
        <f>HLOOKUP((AT$2-1)*12,$W$3:$CE$132,ROW()-2,0)*(1+(HLOOKUP(AT$2,'UW Model'!$M$103:$Q$104,2,0)/12)*(AT$3-((AT$2-1)*12)))</f>
        <v>0</v>
      </c>
      <c r="AU127" s="71">
        <f>HLOOKUP((AU$2-1)*12,$W$3:$CE$132,ROW()-2,0)*(1+(HLOOKUP(AU$2,'UW Model'!$M$103:$Q$104,2,0)/12)*(AU$3-((AU$2-1)*12)))</f>
        <v>0</v>
      </c>
      <c r="AV127" s="11">
        <f>HLOOKUP((AV$2-1)*12,$W$3:$CE$132,ROW()-2,0)*(1+(HLOOKUP(AV$2,'UW Model'!$M$103:$Q$104,2,0)/12)*(AV$3-((AV$2-1)*12)))</f>
        <v>0</v>
      </c>
      <c r="AW127" s="11">
        <f>HLOOKUP((AW$2-1)*12,$W$3:$CE$132,ROW()-2,0)*(1+(HLOOKUP(AW$2,'UW Model'!$M$103:$Q$104,2,0)/12)*(AW$3-((AW$2-1)*12)))</f>
        <v>0</v>
      </c>
      <c r="AX127" s="11">
        <f>HLOOKUP((AX$2-1)*12,$W$3:$CE$132,ROW()-2,0)*(1+(HLOOKUP(AX$2,'UW Model'!$M$103:$Q$104,2,0)/12)*(AX$3-((AX$2-1)*12)))</f>
        <v>0</v>
      </c>
      <c r="AY127" s="11">
        <f>HLOOKUP((AY$2-1)*12,$W$3:$CE$132,ROW()-2,0)*(1+(HLOOKUP(AY$2,'UW Model'!$M$103:$Q$104,2,0)/12)*(AY$3-((AY$2-1)*12)))</f>
        <v>0</v>
      </c>
      <c r="AZ127" s="11">
        <f>HLOOKUP((AZ$2-1)*12,$W$3:$CE$132,ROW()-2,0)*(1+(HLOOKUP(AZ$2,'UW Model'!$M$103:$Q$104,2,0)/12)*(AZ$3-((AZ$2-1)*12)))</f>
        <v>0</v>
      </c>
      <c r="BA127" s="11">
        <f>HLOOKUP((BA$2-1)*12,$W$3:$CE$132,ROW()-2,0)*(1+(HLOOKUP(BA$2,'UW Model'!$M$103:$Q$104,2,0)/12)*(BA$3-((BA$2-1)*12)))</f>
        <v>0</v>
      </c>
      <c r="BB127" s="11">
        <f>HLOOKUP((BB$2-1)*12,$W$3:$CE$132,ROW()-2,0)*(1+(HLOOKUP(BB$2,'UW Model'!$M$103:$Q$104,2,0)/12)*(BB$3-((BB$2-1)*12)))</f>
        <v>0</v>
      </c>
      <c r="BC127" s="11">
        <f>HLOOKUP((BC$2-1)*12,$W$3:$CE$132,ROW()-2,0)*(1+(HLOOKUP(BC$2,'UW Model'!$M$103:$Q$104,2,0)/12)*(BC$3-((BC$2-1)*12)))</f>
        <v>0</v>
      </c>
      <c r="BD127" s="11">
        <f>HLOOKUP((BD$2-1)*12,$W$3:$CE$132,ROW()-2,0)*(1+(HLOOKUP(BD$2,'UW Model'!$M$103:$Q$104,2,0)/12)*(BD$3-((BD$2-1)*12)))</f>
        <v>0</v>
      </c>
      <c r="BE127" s="11">
        <f>HLOOKUP((BE$2-1)*12,$W$3:$CE$132,ROW()-2,0)*(1+(HLOOKUP(BE$2,'UW Model'!$M$103:$Q$104,2,0)/12)*(BE$3-((BE$2-1)*12)))</f>
        <v>0</v>
      </c>
      <c r="BF127" s="11">
        <f>HLOOKUP((BF$2-1)*12,$W$3:$CE$132,ROW()-2,0)*(1+(HLOOKUP(BF$2,'UW Model'!$M$103:$Q$104,2,0)/12)*(BF$3-((BF$2-1)*12)))</f>
        <v>0</v>
      </c>
      <c r="BG127" s="71">
        <f>HLOOKUP((BG$2-1)*12,$W$3:$CE$132,ROW()-2,0)*(1+(HLOOKUP(BG$2,'UW Model'!$M$103:$Q$104,2,0)/12)*(BG$3-((BG$2-1)*12)))</f>
        <v>0</v>
      </c>
      <c r="BH127" s="11">
        <f>HLOOKUP((BH$2-1)*12,$W$3:$CE$132,ROW()-2,0)*(1+(HLOOKUP(BH$2,'UW Model'!$M$103:$Q$104,2,0)/12)*(BH$3-((BH$2-1)*12)))</f>
        <v>0</v>
      </c>
      <c r="BI127" s="11">
        <f>HLOOKUP((BI$2-1)*12,$W$3:$CE$132,ROW()-2,0)*(1+(HLOOKUP(BI$2,'UW Model'!$M$103:$Q$104,2,0)/12)*(BI$3-((BI$2-1)*12)))</f>
        <v>0</v>
      </c>
      <c r="BJ127" s="11">
        <f>HLOOKUP((BJ$2-1)*12,$W$3:$CE$132,ROW()-2,0)*(1+(HLOOKUP(BJ$2,'UW Model'!$M$103:$Q$104,2,0)/12)*(BJ$3-((BJ$2-1)*12)))</f>
        <v>0</v>
      </c>
      <c r="BK127" s="11">
        <f>HLOOKUP((BK$2-1)*12,$W$3:$CE$132,ROW()-2,0)*(1+(HLOOKUP(BK$2,'UW Model'!$M$103:$Q$104,2,0)/12)*(BK$3-((BK$2-1)*12)))</f>
        <v>0</v>
      </c>
      <c r="BL127" s="11">
        <f>HLOOKUP((BL$2-1)*12,$W$3:$CE$132,ROW()-2,0)*(1+(HLOOKUP(BL$2,'UW Model'!$M$103:$Q$104,2,0)/12)*(BL$3-((BL$2-1)*12)))</f>
        <v>0</v>
      </c>
      <c r="BM127" s="11">
        <f>HLOOKUP((BM$2-1)*12,$W$3:$CE$132,ROW()-2,0)*(1+(HLOOKUP(BM$2,'UW Model'!$M$103:$Q$104,2,0)/12)*(BM$3-((BM$2-1)*12)))</f>
        <v>0</v>
      </c>
      <c r="BN127" s="11">
        <f>HLOOKUP((BN$2-1)*12,$W$3:$CE$132,ROW()-2,0)*(1+(HLOOKUP(BN$2,'UW Model'!$M$103:$Q$104,2,0)/12)*(BN$3-((BN$2-1)*12)))</f>
        <v>0</v>
      </c>
      <c r="BO127" s="11">
        <f>HLOOKUP((BO$2-1)*12,$W$3:$CE$132,ROW()-2,0)*(1+(HLOOKUP(BO$2,'UW Model'!$M$103:$Q$104,2,0)/12)*(BO$3-((BO$2-1)*12)))</f>
        <v>0</v>
      </c>
      <c r="BP127" s="11">
        <f>HLOOKUP((BP$2-1)*12,$W$3:$CE$132,ROW()-2,0)*(1+(HLOOKUP(BP$2,'UW Model'!$M$103:$Q$104,2,0)/12)*(BP$3-((BP$2-1)*12)))</f>
        <v>0</v>
      </c>
      <c r="BQ127" s="11">
        <f>HLOOKUP((BQ$2-1)*12,$W$3:$CE$132,ROW()-2,0)*(1+(HLOOKUP(BQ$2,'UW Model'!$M$103:$Q$104,2,0)/12)*(BQ$3-((BQ$2-1)*12)))</f>
        <v>0</v>
      </c>
      <c r="BR127" s="11">
        <f>HLOOKUP((BR$2-1)*12,$W$3:$CE$132,ROW()-2,0)*(1+(HLOOKUP(BR$2,'UW Model'!$M$103:$Q$104,2,0)/12)*(BR$3-((BR$2-1)*12)))</f>
        <v>0</v>
      </c>
      <c r="BS127" s="71">
        <f>HLOOKUP((BS$2-1)*12,$W$3:$CE$132,ROW()-2,0)*(1+(HLOOKUP(BS$2,'UW Model'!$M$103:$Q$104,2,0)/12)*(BS$3-((BS$2-1)*12)))</f>
        <v>0</v>
      </c>
      <c r="BT127" s="11">
        <f>HLOOKUP((BT$2-1)*12,$W$3:$CE$132,ROW()-2,0)*(1+(HLOOKUP(BT$2,'UW Model'!$M$103:$Q$104,2,0)/12)*(BT$3-((BT$2-1)*12)))</f>
        <v>0</v>
      </c>
      <c r="BU127" s="11">
        <f>HLOOKUP((BU$2-1)*12,$W$3:$CE$132,ROW()-2,0)*(1+(HLOOKUP(BU$2,'UW Model'!$M$103:$Q$104,2,0)/12)*(BU$3-((BU$2-1)*12)))</f>
        <v>0</v>
      </c>
      <c r="BV127" s="11">
        <f>HLOOKUP((BV$2-1)*12,$W$3:$CE$132,ROW()-2,0)*(1+(HLOOKUP(BV$2,'UW Model'!$M$103:$Q$104,2,0)/12)*(BV$3-((BV$2-1)*12)))</f>
        <v>0</v>
      </c>
      <c r="BW127" s="11">
        <f>HLOOKUP((BW$2-1)*12,$W$3:$CE$132,ROW()-2,0)*(1+(HLOOKUP(BW$2,'UW Model'!$M$103:$Q$104,2,0)/12)*(BW$3-((BW$2-1)*12)))</f>
        <v>0</v>
      </c>
      <c r="BX127" s="11">
        <f>HLOOKUP((BX$2-1)*12,$W$3:$CE$132,ROW()-2,0)*(1+(HLOOKUP(BX$2,'UW Model'!$M$103:$Q$104,2,0)/12)*(BX$3-((BX$2-1)*12)))</f>
        <v>0</v>
      </c>
      <c r="BY127" s="11">
        <f>HLOOKUP((BY$2-1)*12,$W$3:$CE$132,ROW()-2,0)*(1+(HLOOKUP(BY$2,'UW Model'!$M$103:$Q$104,2,0)/12)*(BY$3-((BY$2-1)*12)))</f>
        <v>0</v>
      </c>
      <c r="BZ127" s="11">
        <f>HLOOKUP((BZ$2-1)*12,$W$3:$CE$132,ROW()-2,0)*(1+(HLOOKUP(BZ$2,'UW Model'!$M$103:$Q$104,2,0)/12)*(BZ$3-((BZ$2-1)*12)))</f>
        <v>0</v>
      </c>
      <c r="CA127" s="11">
        <f>HLOOKUP((CA$2-1)*12,$W$3:$CE$132,ROW()-2,0)*(1+(HLOOKUP(CA$2,'UW Model'!$M$103:$Q$104,2,0)/12)*(CA$3-((CA$2-1)*12)))</f>
        <v>0</v>
      </c>
      <c r="CB127" s="11">
        <f>HLOOKUP((CB$2-1)*12,$W$3:$CE$132,ROW()-2,0)*(1+(HLOOKUP(CB$2,'UW Model'!$M$103:$Q$104,2,0)/12)*(CB$3-((CB$2-1)*12)))</f>
        <v>0</v>
      </c>
      <c r="CC127" s="11">
        <f>HLOOKUP((CC$2-1)*12,$W$3:$CE$132,ROW()-2,0)*(1+(HLOOKUP(CC$2,'UW Model'!$M$103:$Q$104,2,0)/12)*(CC$3-((CC$2-1)*12)))</f>
        <v>0</v>
      </c>
      <c r="CD127" s="11">
        <f>HLOOKUP((CD$2-1)*12,$W$3:$CE$132,ROW()-2,0)*(1+(HLOOKUP(CD$2,'UW Model'!$M$103:$Q$104,2,0)/12)*(CD$3-((CD$2-1)*12)))</f>
        <v>0</v>
      </c>
      <c r="CE127" s="88">
        <f>HLOOKUP((CE$2-1)*12,$W$3:$CE$132,ROW()-2,0)*(1+(HLOOKUP(CE$2,'UW Model'!$M$103:$Q$104,2,0)/12)*(CE$3-((CE$2-1)*12)))</f>
        <v>0</v>
      </c>
    </row>
    <row r="128" spans="16:83" x14ac:dyDescent="0.35">
      <c r="P128" s="936"/>
      <c r="Q128" s="194" t="str">
        <f>$Q$16</f>
        <v/>
      </c>
      <c r="R128" s="199">
        <f t="shared" si="274"/>
        <v>0</v>
      </c>
      <c r="S128" s="121">
        <f t="shared" si="274"/>
        <v>0</v>
      </c>
      <c r="T128" s="121">
        <f t="shared" si="274"/>
        <v>0</v>
      </c>
      <c r="U128" s="121">
        <f t="shared" si="274"/>
        <v>0</v>
      </c>
      <c r="V128" s="200">
        <f t="shared" si="274"/>
        <v>0</v>
      </c>
      <c r="W128" s="201">
        <f>'UW Model'!L38</f>
        <v>0</v>
      </c>
      <c r="X128" s="201">
        <f>HLOOKUP((X$2-1)*12,$W$3:$CE$132,ROW()-2,0)*(1+(HLOOKUP(X$2,'UW Model'!$M$103:$Q$104,2,0)/12)*(X$3-((X$2-1)*12)))</f>
        <v>0</v>
      </c>
      <c r="Y128" s="11">
        <f>HLOOKUP((Y$2-1)*12,$W$3:$CE$132,ROW()-2,0)*(1+(HLOOKUP(Y$2,'UW Model'!$M$103:$Q$104,2,0)/12)*(Y$3-((Y$2-1)*12)))</f>
        <v>0</v>
      </c>
      <c r="Z128" s="11">
        <f>HLOOKUP((Z$2-1)*12,$W$3:$CE$132,ROW()-2,0)*(1+(HLOOKUP(Z$2,'UW Model'!$M$103:$Q$104,2,0)/12)*(Z$3-((Z$2-1)*12)))</f>
        <v>0</v>
      </c>
      <c r="AA128" s="11">
        <f>HLOOKUP((AA$2-1)*12,$W$3:$CE$132,ROW()-2,0)*(1+(HLOOKUP(AA$2,'UW Model'!$M$103:$Q$104,2,0)/12)*(AA$3-((AA$2-1)*12)))</f>
        <v>0</v>
      </c>
      <c r="AB128" s="11">
        <f>HLOOKUP((AB$2-1)*12,$W$3:$CE$132,ROW()-2,0)*(1+(HLOOKUP(AB$2,'UW Model'!$M$103:$Q$104,2,0)/12)*(AB$3-((AB$2-1)*12)))</f>
        <v>0</v>
      </c>
      <c r="AC128" s="11">
        <f>HLOOKUP((AC$2-1)*12,$W$3:$CE$132,ROW()-2,0)*(1+(HLOOKUP(AC$2,'UW Model'!$M$103:$Q$104,2,0)/12)*(AC$3-((AC$2-1)*12)))</f>
        <v>0</v>
      </c>
      <c r="AD128" s="11">
        <f>HLOOKUP((AD$2-1)*12,$W$3:$CE$132,ROW()-2,0)*(1+(HLOOKUP(AD$2,'UW Model'!$M$103:$Q$104,2,0)/12)*(AD$3-((AD$2-1)*12)))</f>
        <v>0</v>
      </c>
      <c r="AE128" s="11">
        <f>HLOOKUP((AE$2-1)*12,$W$3:$CE$132,ROW()-2,0)*(1+(HLOOKUP(AE$2,'UW Model'!$M$103:$Q$104,2,0)/12)*(AE$3-((AE$2-1)*12)))</f>
        <v>0</v>
      </c>
      <c r="AF128" s="11">
        <f>HLOOKUP((AF$2-1)*12,$W$3:$CE$132,ROW()-2,0)*(1+(HLOOKUP(AF$2,'UW Model'!$M$103:$Q$104,2,0)/12)*(AF$3-((AF$2-1)*12)))</f>
        <v>0</v>
      </c>
      <c r="AG128" s="11">
        <f>HLOOKUP((AG$2-1)*12,$W$3:$CE$132,ROW()-2,0)*(1+(HLOOKUP(AG$2,'UW Model'!$M$103:$Q$104,2,0)/12)*(AG$3-((AG$2-1)*12)))</f>
        <v>0</v>
      </c>
      <c r="AH128" s="11">
        <f>HLOOKUP((AH$2-1)*12,$W$3:$CE$132,ROW()-2,0)*(1+(HLOOKUP(AH$2,'UW Model'!$M$103:$Q$104,2,0)/12)*(AH$3-((AH$2-1)*12)))</f>
        <v>0</v>
      </c>
      <c r="AI128" s="71">
        <f>HLOOKUP((AI$2-1)*12,$W$3:$CE$132,ROW()-2,0)*(1+(HLOOKUP(AI$2,'UW Model'!$M$103:$Q$104,2,0)/12)*(AI$3-((AI$2-1)*12)))</f>
        <v>0</v>
      </c>
      <c r="AJ128" s="201">
        <f>HLOOKUP((AJ$2-1)*12,$W$3:$CE$132,ROW()-2,0)*(1+(HLOOKUP(AJ$2,'UW Model'!$M$103:$Q$104,2,0)/12)*(AJ$3-((AJ$2-1)*12)))</f>
        <v>0</v>
      </c>
      <c r="AK128" s="11">
        <f>HLOOKUP((AK$2-1)*12,$W$3:$CE$132,ROW()-2,0)*(1+(HLOOKUP(AK$2,'UW Model'!$M$103:$Q$104,2,0)/12)*(AK$3-((AK$2-1)*12)))</f>
        <v>0</v>
      </c>
      <c r="AL128" s="11">
        <f>HLOOKUP((AL$2-1)*12,$W$3:$CE$132,ROW()-2,0)*(1+(HLOOKUP(AL$2,'UW Model'!$M$103:$Q$104,2,0)/12)*(AL$3-((AL$2-1)*12)))</f>
        <v>0</v>
      </c>
      <c r="AM128" s="11">
        <f>HLOOKUP((AM$2-1)*12,$W$3:$CE$132,ROW()-2,0)*(1+(HLOOKUP(AM$2,'UW Model'!$M$103:$Q$104,2,0)/12)*(AM$3-((AM$2-1)*12)))</f>
        <v>0</v>
      </c>
      <c r="AN128" s="11">
        <f>HLOOKUP((AN$2-1)*12,$W$3:$CE$132,ROW()-2,0)*(1+(HLOOKUP(AN$2,'UW Model'!$M$103:$Q$104,2,0)/12)*(AN$3-((AN$2-1)*12)))</f>
        <v>0</v>
      </c>
      <c r="AO128" s="11">
        <f>HLOOKUP((AO$2-1)*12,$W$3:$CE$132,ROW()-2,0)*(1+(HLOOKUP(AO$2,'UW Model'!$M$103:$Q$104,2,0)/12)*(AO$3-((AO$2-1)*12)))</f>
        <v>0</v>
      </c>
      <c r="AP128" s="11">
        <f>HLOOKUP((AP$2-1)*12,$W$3:$CE$132,ROW()-2,0)*(1+(HLOOKUP(AP$2,'UW Model'!$M$103:$Q$104,2,0)/12)*(AP$3-((AP$2-1)*12)))</f>
        <v>0</v>
      </c>
      <c r="AQ128" s="11">
        <f>HLOOKUP((AQ$2-1)*12,$W$3:$CE$132,ROW()-2,0)*(1+(HLOOKUP(AQ$2,'UW Model'!$M$103:$Q$104,2,0)/12)*(AQ$3-((AQ$2-1)*12)))</f>
        <v>0</v>
      </c>
      <c r="AR128" s="11">
        <f>HLOOKUP((AR$2-1)*12,$W$3:$CE$132,ROW()-2,0)*(1+(HLOOKUP(AR$2,'UW Model'!$M$103:$Q$104,2,0)/12)*(AR$3-((AR$2-1)*12)))</f>
        <v>0</v>
      </c>
      <c r="AS128" s="11">
        <f>HLOOKUP((AS$2-1)*12,$W$3:$CE$132,ROW()-2,0)*(1+(HLOOKUP(AS$2,'UW Model'!$M$103:$Q$104,2,0)/12)*(AS$3-((AS$2-1)*12)))</f>
        <v>0</v>
      </c>
      <c r="AT128" s="11">
        <f>HLOOKUP((AT$2-1)*12,$W$3:$CE$132,ROW()-2,0)*(1+(HLOOKUP(AT$2,'UW Model'!$M$103:$Q$104,2,0)/12)*(AT$3-((AT$2-1)*12)))</f>
        <v>0</v>
      </c>
      <c r="AU128" s="71">
        <f>HLOOKUP((AU$2-1)*12,$W$3:$CE$132,ROW()-2,0)*(1+(HLOOKUP(AU$2,'UW Model'!$M$103:$Q$104,2,0)/12)*(AU$3-((AU$2-1)*12)))</f>
        <v>0</v>
      </c>
      <c r="AV128" s="11">
        <f>HLOOKUP((AV$2-1)*12,$W$3:$CE$132,ROW()-2,0)*(1+(HLOOKUP(AV$2,'UW Model'!$M$103:$Q$104,2,0)/12)*(AV$3-((AV$2-1)*12)))</f>
        <v>0</v>
      </c>
      <c r="AW128" s="11">
        <f>HLOOKUP((AW$2-1)*12,$W$3:$CE$132,ROW()-2,0)*(1+(HLOOKUP(AW$2,'UW Model'!$M$103:$Q$104,2,0)/12)*(AW$3-((AW$2-1)*12)))</f>
        <v>0</v>
      </c>
      <c r="AX128" s="11">
        <f>HLOOKUP((AX$2-1)*12,$W$3:$CE$132,ROW()-2,0)*(1+(HLOOKUP(AX$2,'UW Model'!$M$103:$Q$104,2,0)/12)*(AX$3-((AX$2-1)*12)))</f>
        <v>0</v>
      </c>
      <c r="AY128" s="11">
        <f>HLOOKUP((AY$2-1)*12,$W$3:$CE$132,ROW()-2,0)*(1+(HLOOKUP(AY$2,'UW Model'!$M$103:$Q$104,2,0)/12)*(AY$3-((AY$2-1)*12)))</f>
        <v>0</v>
      </c>
      <c r="AZ128" s="11">
        <f>HLOOKUP((AZ$2-1)*12,$W$3:$CE$132,ROW()-2,0)*(1+(HLOOKUP(AZ$2,'UW Model'!$M$103:$Q$104,2,0)/12)*(AZ$3-((AZ$2-1)*12)))</f>
        <v>0</v>
      </c>
      <c r="BA128" s="11">
        <f>HLOOKUP((BA$2-1)*12,$W$3:$CE$132,ROW()-2,0)*(1+(HLOOKUP(BA$2,'UW Model'!$M$103:$Q$104,2,0)/12)*(BA$3-((BA$2-1)*12)))</f>
        <v>0</v>
      </c>
      <c r="BB128" s="11">
        <f>HLOOKUP((BB$2-1)*12,$W$3:$CE$132,ROW()-2,0)*(1+(HLOOKUP(BB$2,'UW Model'!$M$103:$Q$104,2,0)/12)*(BB$3-((BB$2-1)*12)))</f>
        <v>0</v>
      </c>
      <c r="BC128" s="11">
        <f>HLOOKUP((BC$2-1)*12,$W$3:$CE$132,ROW()-2,0)*(1+(HLOOKUP(BC$2,'UW Model'!$M$103:$Q$104,2,0)/12)*(BC$3-((BC$2-1)*12)))</f>
        <v>0</v>
      </c>
      <c r="BD128" s="11">
        <f>HLOOKUP((BD$2-1)*12,$W$3:$CE$132,ROW()-2,0)*(1+(HLOOKUP(BD$2,'UW Model'!$M$103:$Q$104,2,0)/12)*(BD$3-((BD$2-1)*12)))</f>
        <v>0</v>
      </c>
      <c r="BE128" s="11">
        <f>HLOOKUP((BE$2-1)*12,$W$3:$CE$132,ROW()-2,0)*(1+(HLOOKUP(BE$2,'UW Model'!$M$103:$Q$104,2,0)/12)*(BE$3-((BE$2-1)*12)))</f>
        <v>0</v>
      </c>
      <c r="BF128" s="11">
        <f>HLOOKUP((BF$2-1)*12,$W$3:$CE$132,ROW()-2,0)*(1+(HLOOKUP(BF$2,'UW Model'!$M$103:$Q$104,2,0)/12)*(BF$3-((BF$2-1)*12)))</f>
        <v>0</v>
      </c>
      <c r="BG128" s="71">
        <f>HLOOKUP((BG$2-1)*12,$W$3:$CE$132,ROW()-2,0)*(1+(HLOOKUP(BG$2,'UW Model'!$M$103:$Q$104,2,0)/12)*(BG$3-((BG$2-1)*12)))</f>
        <v>0</v>
      </c>
      <c r="BH128" s="11">
        <f>HLOOKUP((BH$2-1)*12,$W$3:$CE$132,ROW()-2,0)*(1+(HLOOKUP(BH$2,'UW Model'!$M$103:$Q$104,2,0)/12)*(BH$3-((BH$2-1)*12)))</f>
        <v>0</v>
      </c>
      <c r="BI128" s="11">
        <f>HLOOKUP((BI$2-1)*12,$W$3:$CE$132,ROW()-2,0)*(1+(HLOOKUP(BI$2,'UW Model'!$M$103:$Q$104,2,0)/12)*(BI$3-((BI$2-1)*12)))</f>
        <v>0</v>
      </c>
      <c r="BJ128" s="11">
        <f>HLOOKUP((BJ$2-1)*12,$W$3:$CE$132,ROW()-2,0)*(1+(HLOOKUP(BJ$2,'UW Model'!$M$103:$Q$104,2,0)/12)*(BJ$3-((BJ$2-1)*12)))</f>
        <v>0</v>
      </c>
      <c r="BK128" s="11">
        <f>HLOOKUP((BK$2-1)*12,$W$3:$CE$132,ROW()-2,0)*(1+(HLOOKUP(BK$2,'UW Model'!$M$103:$Q$104,2,0)/12)*(BK$3-((BK$2-1)*12)))</f>
        <v>0</v>
      </c>
      <c r="BL128" s="11">
        <f>HLOOKUP((BL$2-1)*12,$W$3:$CE$132,ROW()-2,0)*(1+(HLOOKUP(BL$2,'UW Model'!$M$103:$Q$104,2,0)/12)*(BL$3-((BL$2-1)*12)))</f>
        <v>0</v>
      </c>
      <c r="BM128" s="11">
        <f>HLOOKUP((BM$2-1)*12,$W$3:$CE$132,ROW()-2,0)*(1+(HLOOKUP(BM$2,'UW Model'!$M$103:$Q$104,2,0)/12)*(BM$3-((BM$2-1)*12)))</f>
        <v>0</v>
      </c>
      <c r="BN128" s="11">
        <f>HLOOKUP((BN$2-1)*12,$W$3:$CE$132,ROW()-2,0)*(1+(HLOOKUP(BN$2,'UW Model'!$M$103:$Q$104,2,0)/12)*(BN$3-((BN$2-1)*12)))</f>
        <v>0</v>
      </c>
      <c r="BO128" s="11">
        <f>HLOOKUP((BO$2-1)*12,$W$3:$CE$132,ROW()-2,0)*(1+(HLOOKUP(BO$2,'UW Model'!$M$103:$Q$104,2,0)/12)*(BO$3-((BO$2-1)*12)))</f>
        <v>0</v>
      </c>
      <c r="BP128" s="11">
        <f>HLOOKUP((BP$2-1)*12,$W$3:$CE$132,ROW()-2,0)*(1+(HLOOKUP(BP$2,'UW Model'!$M$103:$Q$104,2,0)/12)*(BP$3-((BP$2-1)*12)))</f>
        <v>0</v>
      </c>
      <c r="BQ128" s="11">
        <f>HLOOKUP((BQ$2-1)*12,$W$3:$CE$132,ROW()-2,0)*(1+(HLOOKUP(BQ$2,'UW Model'!$M$103:$Q$104,2,0)/12)*(BQ$3-((BQ$2-1)*12)))</f>
        <v>0</v>
      </c>
      <c r="BR128" s="11">
        <f>HLOOKUP((BR$2-1)*12,$W$3:$CE$132,ROW()-2,0)*(1+(HLOOKUP(BR$2,'UW Model'!$M$103:$Q$104,2,0)/12)*(BR$3-((BR$2-1)*12)))</f>
        <v>0</v>
      </c>
      <c r="BS128" s="71">
        <f>HLOOKUP((BS$2-1)*12,$W$3:$CE$132,ROW()-2,0)*(1+(HLOOKUP(BS$2,'UW Model'!$M$103:$Q$104,2,0)/12)*(BS$3-((BS$2-1)*12)))</f>
        <v>0</v>
      </c>
      <c r="BT128" s="11">
        <f>HLOOKUP((BT$2-1)*12,$W$3:$CE$132,ROW()-2,0)*(1+(HLOOKUP(BT$2,'UW Model'!$M$103:$Q$104,2,0)/12)*(BT$3-((BT$2-1)*12)))</f>
        <v>0</v>
      </c>
      <c r="BU128" s="11">
        <f>HLOOKUP((BU$2-1)*12,$W$3:$CE$132,ROW()-2,0)*(1+(HLOOKUP(BU$2,'UW Model'!$M$103:$Q$104,2,0)/12)*(BU$3-((BU$2-1)*12)))</f>
        <v>0</v>
      </c>
      <c r="BV128" s="11">
        <f>HLOOKUP((BV$2-1)*12,$W$3:$CE$132,ROW()-2,0)*(1+(HLOOKUP(BV$2,'UW Model'!$M$103:$Q$104,2,0)/12)*(BV$3-((BV$2-1)*12)))</f>
        <v>0</v>
      </c>
      <c r="BW128" s="11">
        <f>HLOOKUP((BW$2-1)*12,$W$3:$CE$132,ROW()-2,0)*(1+(HLOOKUP(BW$2,'UW Model'!$M$103:$Q$104,2,0)/12)*(BW$3-((BW$2-1)*12)))</f>
        <v>0</v>
      </c>
      <c r="BX128" s="11">
        <f>HLOOKUP((BX$2-1)*12,$W$3:$CE$132,ROW()-2,0)*(1+(HLOOKUP(BX$2,'UW Model'!$M$103:$Q$104,2,0)/12)*(BX$3-((BX$2-1)*12)))</f>
        <v>0</v>
      </c>
      <c r="BY128" s="11">
        <f>HLOOKUP((BY$2-1)*12,$W$3:$CE$132,ROW()-2,0)*(1+(HLOOKUP(BY$2,'UW Model'!$M$103:$Q$104,2,0)/12)*(BY$3-((BY$2-1)*12)))</f>
        <v>0</v>
      </c>
      <c r="BZ128" s="11">
        <f>HLOOKUP((BZ$2-1)*12,$W$3:$CE$132,ROW()-2,0)*(1+(HLOOKUP(BZ$2,'UW Model'!$M$103:$Q$104,2,0)/12)*(BZ$3-((BZ$2-1)*12)))</f>
        <v>0</v>
      </c>
      <c r="CA128" s="11">
        <f>HLOOKUP((CA$2-1)*12,$W$3:$CE$132,ROW()-2,0)*(1+(HLOOKUP(CA$2,'UW Model'!$M$103:$Q$104,2,0)/12)*(CA$3-((CA$2-1)*12)))</f>
        <v>0</v>
      </c>
      <c r="CB128" s="11">
        <f>HLOOKUP((CB$2-1)*12,$W$3:$CE$132,ROW()-2,0)*(1+(HLOOKUP(CB$2,'UW Model'!$M$103:$Q$104,2,0)/12)*(CB$3-((CB$2-1)*12)))</f>
        <v>0</v>
      </c>
      <c r="CC128" s="11">
        <f>HLOOKUP((CC$2-1)*12,$W$3:$CE$132,ROW()-2,0)*(1+(HLOOKUP(CC$2,'UW Model'!$M$103:$Q$104,2,0)/12)*(CC$3-((CC$2-1)*12)))</f>
        <v>0</v>
      </c>
      <c r="CD128" s="11">
        <f>HLOOKUP((CD$2-1)*12,$W$3:$CE$132,ROW()-2,0)*(1+(HLOOKUP(CD$2,'UW Model'!$M$103:$Q$104,2,0)/12)*(CD$3-((CD$2-1)*12)))</f>
        <v>0</v>
      </c>
      <c r="CE128" s="88">
        <f>HLOOKUP((CE$2-1)*12,$W$3:$CE$132,ROW()-2,0)*(1+(HLOOKUP(CE$2,'UW Model'!$M$103:$Q$104,2,0)/12)*(CE$3-((CE$2-1)*12)))</f>
        <v>0</v>
      </c>
    </row>
    <row r="129" spans="16:83" x14ac:dyDescent="0.35">
      <c r="P129" s="936"/>
      <c r="Q129" s="196" t="str">
        <f>$Q$17</f>
        <v/>
      </c>
      <c r="R129" s="199">
        <f t="shared" si="274"/>
        <v>0</v>
      </c>
      <c r="S129" s="121">
        <f t="shared" si="274"/>
        <v>0</v>
      </c>
      <c r="T129" s="121">
        <f t="shared" si="274"/>
        <v>0</v>
      </c>
      <c r="U129" s="121">
        <f t="shared" si="274"/>
        <v>0</v>
      </c>
      <c r="V129" s="200">
        <f t="shared" si="274"/>
        <v>0</v>
      </c>
      <c r="W129" s="201">
        <f>'UW Model'!L39</f>
        <v>0</v>
      </c>
      <c r="X129" s="201">
        <f>HLOOKUP((X$2-1)*12,$W$3:$CE$132,ROW()-2,0)*(1+(HLOOKUP(X$2,'UW Model'!$M$103:$Q$104,2,0)/12)*(X$3-((X$2-1)*12)))</f>
        <v>0</v>
      </c>
      <c r="Y129" s="11">
        <f>HLOOKUP((Y$2-1)*12,$W$3:$CE$132,ROW()-2,0)*(1+(HLOOKUP(Y$2,'UW Model'!$M$103:$Q$104,2,0)/12)*(Y$3-((Y$2-1)*12)))</f>
        <v>0</v>
      </c>
      <c r="Z129" s="11">
        <f>HLOOKUP((Z$2-1)*12,$W$3:$CE$132,ROW()-2,0)*(1+(HLOOKUP(Z$2,'UW Model'!$M$103:$Q$104,2,0)/12)*(Z$3-((Z$2-1)*12)))</f>
        <v>0</v>
      </c>
      <c r="AA129" s="11">
        <f>HLOOKUP((AA$2-1)*12,$W$3:$CE$132,ROW()-2,0)*(1+(HLOOKUP(AA$2,'UW Model'!$M$103:$Q$104,2,0)/12)*(AA$3-((AA$2-1)*12)))</f>
        <v>0</v>
      </c>
      <c r="AB129" s="11">
        <f>HLOOKUP((AB$2-1)*12,$W$3:$CE$132,ROW()-2,0)*(1+(HLOOKUP(AB$2,'UW Model'!$M$103:$Q$104,2,0)/12)*(AB$3-((AB$2-1)*12)))</f>
        <v>0</v>
      </c>
      <c r="AC129" s="11">
        <f>HLOOKUP((AC$2-1)*12,$W$3:$CE$132,ROW()-2,0)*(1+(HLOOKUP(AC$2,'UW Model'!$M$103:$Q$104,2,0)/12)*(AC$3-((AC$2-1)*12)))</f>
        <v>0</v>
      </c>
      <c r="AD129" s="11">
        <f>HLOOKUP((AD$2-1)*12,$W$3:$CE$132,ROW()-2,0)*(1+(HLOOKUP(AD$2,'UW Model'!$M$103:$Q$104,2,0)/12)*(AD$3-((AD$2-1)*12)))</f>
        <v>0</v>
      </c>
      <c r="AE129" s="11">
        <f>HLOOKUP((AE$2-1)*12,$W$3:$CE$132,ROW()-2,0)*(1+(HLOOKUP(AE$2,'UW Model'!$M$103:$Q$104,2,0)/12)*(AE$3-((AE$2-1)*12)))</f>
        <v>0</v>
      </c>
      <c r="AF129" s="11">
        <f>HLOOKUP((AF$2-1)*12,$W$3:$CE$132,ROW()-2,0)*(1+(HLOOKUP(AF$2,'UW Model'!$M$103:$Q$104,2,0)/12)*(AF$3-((AF$2-1)*12)))</f>
        <v>0</v>
      </c>
      <c r="AG129" s="11">
        <f>HLOOKUP((AG$2-1)*12,$W$3:$CE$132,ROW()-2,0)*(1+(HLOOKUP(AG$2,'UW Model'!$M$103:$Q$104,2,0)/12)*(AG$3-((AG$2-1)*12)))</f>
        <v>0</v>
      </c>
      <c r="AH129" s="11">
        <f>HLOOKUP((AH$2-1)*12,$W$3:$CE$132,ROW()-2,0)*(1+(HLOOKUP(AH$2,'UW Model'!$M$103:$Q$104,2,0)/12)*(AH$3-((AH$2-1)*12)))</f>
        <v>0</v>
      </c>
      <c r="AI129" s="71">
        <f>HLOOKUP((AI$2-1)*12,$W$3:$CE$132,ROW()-2,0)*(1+(HLOOKUP(AI$2,'UW Model'!$M$103:$Q$104,2,0)/12)*(AI$3-((AI$2-1)*12)))</f>
        <v>0</v>
      </c>
      <c r="AJ129" s="201">
        <f>HLOOKUP((AJ$2-1)*12,$W$3:$CE$132,ROW()-2,0)*(1+(HLOOKUP(AJ$2,'UW Model'!$M$103:$Q$104,2,0)/12)*(AJ$3-((AJ$2-1)*12)))</f>
        <v>0</v>
      </c>
      <c r="AK129" s="11">
        <f>HLOOKUP((AK$2-1)*12,$W$3:$CE$132,ROW()-2,0)*(1+(HLOOKUP(AK$2,'UW Model'!$M$103:$Q$104,2,0)/12)*(AK$3-((AK$2-1)*12)))</f>
        <v>0</v>
      </c>
      <c r="AL129" s="11">
        <f>HLOOKUP((AL$2-1)*12,$W$3:$CE$132,ROW()-2,0)*(1+(HLOOKUP(AL$2,'UW Model'!$M$103:$Q$104,2,0)/12)*(AL$3-((AL$2-1)*12)))</f>
        <v>0</v>
      </c>
      <c r="AM129" s="11">
        <f>HLOOKUP((AM$2-1)*12,$W$3:$CE$132,ROW()-2,0)*(1+(HLOOKUP(AM$2,'UW Model'!$M$103:$Q$104,2,0)/12)*(AM$3-((AM$2-1)*12)))</f>
        <v>0</v>
      </c>
      <c r="AN129" s="11">
        <f>HLOOKUP((AN$2-1)*12,$W$3:$CE$132,ROW()-2,0)*(1+(HLOOKUP(AN$2,'UW Model'!$M$103:$Q$104,2,0)/12)*(AN$3-((AN$2-1)*12)))</f>
        <v>0</v>
      </c>
      <c r="AO129" s="11">
        <f>HLOOKUP((AO$2-1)*12,$W$3:$CE$132,ROW()-2,0)*(1+(HLOOKUP(AO$2,'UW Model'!$M$103:$Q$104,2,0)/12)*(AO$3-((AO$2-1)*12)))</f>
        <v>0</v>
      </c>
      <c r="AP129" s="11">
        <f>HLOOKUP((AP$2-1)*12,$W$3:$CE$132,ROW()-2,0)*(1+(HLOOKUP(AP$2,'UW Model'!$M$103:$Q$104,2,0)/12)*(AP$3-((AP$2-1)*12)))</f>
        <v>0</v>
      </c>
      <c r="AQ129" s="11">
        <f>HLOOKUP((AQ$2-1)*12,$W$3:$CE$132,ROW()-2,0)*(1+(HLOOKUP(AQ$2,'UW Model'!$M$103:$Q$104,2,0)/12)*(AQ$3-((AQ$2-1)*12)))</f>
        <v>0</v>
      </c>
      <c r="AR129" s="11">
        <f>HLOOKUP((AR$2-1)*12,$W$3:$CE$132,ROW()-2,0)*(1+(HLOOKUP(AR$2,'UW Model'!$M$103:$Q$104,2,0)/12)*(AR$3-((AR$2-1)*12)))</f>
        <v>0</v>
      </c>
      <c r="AS129" s="11">
        <f>HLOOKUP((AS$2-1)*12,$W$3:$CE$132,ROW()-2,0)*(1+(HLOOKUP(AS$2,'UW Model'!$M$103:$Q$104,2,0)/12)*(AS$3-((AS$2-1)*12)))</f>
        <v>0</v>
      </c>
      <c r="AT129" s="11">
        <f>HLOOKUP((AT$2-1)*12,$W$3:$CE$132,ROW()-2,0)*(1+(HLOOKUP(AT$2,'UW Model'!$M$103:$Q$104,2,0)/12)*(AT$3-((AT$2-1)*12)))</f>
        <v>0</v>
      </c>
      <c r="AU129" s="71">
        <f>HLOOKUP((AU$2-1)*12,$W$3:$CE$132,ROW()-2,0)*(1+(HLOOKUP(AU$2,'UW Model'!$M$103:$Q$104,2,0)/12)*(AU$3-((AU$2-1)*12)))</f>
        <v>0</v>
      </c>
      <c r="AV129" s="11">
        <f>HLOOKUP((AV$2-1)*12,$W$3:$CE$132,ROW()-2,0)*(1+(HLOOKUP(AV$2,'UW Model'!$M$103:$Q$104,2,0)/12)*(AV$3-((AV$2-1)*12)))</f>
        <v>0</v>
      </c>
      <c r="AW129" s="11">
        <f>HLOOKUP((AW$2-1)*12,$W$3:$CE$132,ROW()-2,0)*(1+(HLOOKUP(AW$2,'UW Model'!$M$103:$Q$104,2,0)/12)*(AW$3-((AW$2-1)*12)))</f>
        <v>0</v>
      </c>
      <c r="AX129" s="11">
        <f>HLOOKUP((AX$2-1)*12,$W$3:$CE$132,ROW()-2,0)*(1+(HLOOKUP(AX$2,'UW Model'!$M$103:$Q$104,2,0)/12)*(AX$3-((AX$2-1)*12)))</f>
        <v>0</v>
      </c>
      <c r="AY129" s="11">
        <f>HLOOKUP((AY$2-1)*12,$W$3:$CE$132,ROW()-2,0)*(1+(HLOOKUP(AY$2,'UW Model'!$M$103:$Q$104,2,0)/12)*(AY$3-((AY$2-1)*12)))</f>
        <v>0</v>
      </c>
      <c r="AZ129" s="11">
        <f>HLOOKUP((AZ$2-1)*12,$W$3:$CE$132,ROW()-2,0)*(1+(HLOOKUP(AZ$2,'UW Model'!$M$103:$Q$104,2,0)/12)*(AZ$3-((AZ$2-1)*12)))</f>
        <v>0</v>
      </c>
      <c r="BA129" s="11">
        <f>HLOOKUP((BA$2-1)*12,$W$3:$CE$132,ROW()-2,0)*(1+(HLOOKUP(BA$2,'UW Model'!$M$103:$Q$104,2,0)/12)*(BA$3-((BA$2-1)*12)))</f>
        <v>0</v>
      </c>
      <c r="BB129" s="11">
        <f>HLOOKUP((BB$2-1)*12,$W$3:$CE$132,ROW()-2,0)*(1+(HLOOKUP(BB$2,'UW Model'!$M$103:$Q$104,2,0)/12)*(BB$3-((BB$2-1)*12)))</f>
        <v>0</v>
      </c>
      <c r="BC129" s="11">
        <f>HLOOKUP((BC$2-1)*12,$W$3:$CE$132,ROW()-2,0)*(1+(HLOOKUP(BC$2,'UW Model'!$M$103:$Q$104,2,0)/12)*(BC$3-((BC$2-1)*12)))</f>
        <v>0</v>
      </c>
      <c r="BD129" s="11">
        <f>HLOOKUP((BD$2-1)*12,$W$3:$CE$132,ROW()-2,0)*(1+(HLOOKUP(BD$2,'UW Model'!$M$103:$Q$104,2,0)/12)*(BD$3-((BD$2-1)*12)))</f>
        <v>0</v>
      </c>
      <c r="BE129" s="11">
        <f>HLOOKUP((BE$2-1)*12,$W$3:$CE$132,ROW()-2,0)*(1+(HLOOKUP(BE$2,'UW Model'!$M$103:$Q$104,2,0)/12)*(BE$3-((BE$2-1)*12)))</f>
        <v>0</v>
      </c>
      <c r="BF129" s="11">
        <f>HLOOKUP((BF$2-1)*12,$W$3:$CE$132,ROW()-2,0)*(1+(HLOOKUP(BF$2,'UW Model'!$M$103:$Q$104,2,0)/12)*(BF$3-((BF$2-1)*12)))</f>
        <v>0</v>
      </c>
      <c r="BG129" s="71">
        <f>HLOOKUP((BG$2-1)*12,$W$3:$CE$132,ROW()-2,0)*(1+(HLOOKUP(BG$2,'UW Model'!$M$103:$Q$104,2,0)/12)*(BG$3-((BG$2-1)*12)))</f>
        <v>0</v>
      </c>
      <c r="BH129" s="11">
        <f>HLOOKUP((BH$2-1)*12,$W$3:$CE$132,ROW()-2,0)*(1+(HLOOKUP(BH$2,'UW Model'!$M$103:$Q$104,2,0)/12)*(BH$3-((BH$2-1)*12)))</f>
        <v>0</v>
      </c>
      <c r="BI129" s="11">
        <f>HLOOKUP((BI$2-1)*12,$W$3:$CE$132,ROW()-2,0)*(1+(HLOOKUP(BI$2,'UW Model'!$M$103:$Q$104,2,0)/12)*(BI$3-((BI$2-1)*12)))</f>
        <v>0</v>
      </c>
      <c r="BJ129" s="11">
        <f>HLOOKUP((BJ$2-1)*12,$W$3:$CE$132,ROW()-2,0)*(1+(HLOOKUP(BJ$2,'UW Model'!$M$103:$Q$104,2,0)/12)*(BJ$3-((BJ$2-1)*12)))</f>
        <v>0</v>
      </c>
      <c r="BK129" s="11">
        <f>HLOOKUP((BK$2-1)*12,$W$3:$CE$132,ROW()-2,0)*(1+(HLOOKUP(BK$2,'UW Model'!$M$103:$Q$104,2,0)/12)*(BK$3-((BK$2-1)*12)))</f>
        <v>0</v>
      </c>
      <c r="BL129" s="11">
        <f>HLOOKUP((BL$2-1)*12,$W$3:$CE$132,ROW()-2,0)*(1+(HLOOKUP(BL$2,'UW Model'!$M$103:$Q$104,2,0)/12)*(BL$3-((BL$2-1)*12)))</f>
        <v>0</v>
      </c>
      <c r="BM129" s="11">
        <f>HLOOKUP((BM$2-1)*12,$W$3:$CE$132,ROW()-2,0)*(1+(HLOOKUP(BM$2,'UW Model'!$M$103:$Q$104,2,0)/12)*(BM$3-((BM$2-1)*12)))</f>
        <v>0</v>
      </c>
      <c r="BN129" s="11">
        <f>HLOOKUP((BN$2-1)*12,$W$3:$CE$132,ROW()-2,0)*(1+(HLOOKUP(BN$2,'UW Model'!$M$103:$Q$104,2,0)/12)*(BN$3-((BN$2-1)*12)))</f>
        <v>0</v>
      </c>
      <c r="BO129" s="11">
        <f>HLOOKUP((BO$2-1)*12,$W$3:$CE$132,ROW()-2,0)*(1+(HLOOKUP(BO$2,'UW Model'!$M$103:$Q$104,2,0)/12)*(BO$3-((BO$2-1)*12)))</f>
        <v>0</v>
      </c>
      <c r="BP129" s="11">
        <f>HLOOKUP((BP$2-1)*12,$W$3:$CE$132,ROW()-2,0)*(1+(HLOOKUP(BP$2,'UW Model'!$M$103:$Q$104,2,0)/12)*(BP$3-((BP$2-1)*12)))</f>
        <v>0</v>
      </c>
      <c r="BQ129" s="11">
        <f>HLOOKUP((BQ$2-1)*12,$W$3:$CE$132,ROW()-2,0)*(1+(HLOOKUP(BQ$2,'UW Model'!$M$103:$Q$104,2,0)/12)*(BQ$3-((BQ$2-1)*12)))</f>
        <v>0</v>
      </c>
      <c r="BR129" s="11">
        <f>HLOOKUP((BR$2-1)*12,$W$3:$CE$132,ROW()-2,0)*(1+(HLOOKUP(BR$2,'UW Model'!$M$103:$Q$104,2,0)/12)*(BR$3-((BR$2-1)*12)))</f>
        <v>0</v>
      </c>
      <c r="BS129" s="71">
        <f>HLOOKUP((BS$2-1)*12,$W$3:$CE$132,ROW()-2,0)*(1+(HLOOKUP(BS$2,'UW Model'!$M$103:$Q$104,2,0)/12)*(BS$3-((BS$2-1)*12)))</f>
        <v>0</v>
      </c>
      <c r="BT129" s="11">
        <f>HLOOKUP((BT$2-1)*12,$W$3:$CE$132,ROW()-2,0)*(1+(HLOOKUP(BT$2,'UW Model'!$M$103:$Q$104,2,0)/12)*(BT$3-((BT$2-1)*12)))</f>
        <v>0</v>
      </c>
      <c r="BU129" s="11">
        <f>HLOOKUP((BU$2-1)*12,$W$3:$CE$132,ROW()-2,0)*(1+(HLOOKUP(BU$2,'UW Model'!$M$103:$Q$104,2,0)/12)*(BU$3-((BU$2-1)*12)))</f>
        <v>0</v>
      </c>
      <c r="BV129" s="11">
        <f>HLOOKUP((BV$2-1)*12,$W$3:$CE$132,ROW()-2,0)*(1+(HLOOKUP(BV$2,'UW Model'!$M$103:$Q$104,2,0)/12)*(BV$3-((BV$2-1)*12)))</f>
        <v>0</v>
      </c>
      <c r="BW129" s="11">
        <f>HLOOKUP((BW$2-1)*12,$W$3:$CE$132,ROW()-2,0)*(1+(HLOOKUP(BW$2,'UW Model'!$M$103:$Q$104,2,0)/12)*(BW$3-((BW$2-1)*12)))</f>
        <v>0</v>
      </c>
      <c r="BX129" s="11">
        <f>HLOOKUP((BX$2-1)*12,$W$3:$CE$132,ROW()-2,0)*(1+(HLOOKUP(BX$2,'UW Model'!$M$103:$Q$104,2,0)/12)*(BX$3-((BX$2-1)*12)))</f>
        <v>0</v>
      </c>
      <c r="BY129" s="11">
        <f>HLOOKUP((BY$2-1)*12,$W$3:$CE$132,ROW()-2,0)*(1+(HLOOKUP(BY$2,'UW Model'!$M$103:$Q$104,2,0)/12)*(BY$3-((BY$2-1)*12)))</f>
        <v>0</v>
      </c>
      <c r="BZ129" s="11">
        <f>HLOOKUP((BZ$2-1)*12,$W$3:$CE$132,ROW()-2,0)*(1+(HLOOKUP(BZ$2,'UW Model'!$M$103:$Q$104,2,0)/12)*(BZ$3-((BZ$2-1)*12)))</f>
        <v>0</v>
      </c>
      <c r="CA129" s="11">
        <f>HLOOKUP((CA$2-1)*12,$W$3:$CE$132,ROW()-2,0)*(1+(HLOOKUP(CA$2,'UW Model'!$M$103:$Q$104,2,0)/12)*(CA$3-((CA$2-1)*12)))</f>
        <v>0</v>
      </c>
      <c r="CB129" s="11">
        <f>HLOOKUP((CB$2-1)*12,$W$3:$CE$132,ROW()-2,0)*(1+(HLOOKUP(CB$2,'UW Model'!$M$103:$Q$104,2,0)/12)*(CB$3-((CB$2-1)*12)))</f>
        <v>0</v>
      </c>
      <c r="CC129" s="11">
        <f>HLOOKUP((CC$2-1)*12,$W$3:$CE$132,ROW()-2,0)*(1+(HLOOKUP(CC$2,'UW Model'!$M$103:$Q$104,2,0)/12)*(CC$3-((CC$2-1)*12)))</f>
        <v>0</v>
      </c>
      <c r="CD129" s="11">
        <f>HLOOKUP((CD$2-1)*12,$W$3:$CE$132,ROW()-2,0)*(1+(HLOOKUP(CD$2,'UW Model'!$M$103:$Q$104,2,0)/12)*(CD$3-((CD$2-1)*12)))</f>
        <v>0</v>
      </c>
      <c r="CE129" s="88">
        <f>HLOOKUP((CE$2-1)*12,$W$3:$CE$132,ROW()-2,0)*(1+(HLOOKUP(CE$2,'UW Model'!$M$103:$Q$104,2,0)/12)*(CE$3-((CE$2-1)*12)))</f>
        <v>0</v>
      </c>
    </row>
    <row r="130" spans="16:83" x14ac:dyDescent="0.35">
      <c r="P130" s="936"/>
      <c r="Q130" s="196" t="str">
        <f>$Q$18</f>
        <v/>
      </c>
      <c r="R130" s="199">
        <f t="shared" si="274"/>
        <v>0</v>
      </c>
      <c r="S130" s="121">
        <f t="shared" si="274"/>
        <v>0</v>
      </c>
      <c r="T130" s="121">
        <f t="shared" si="274"/>
        <v>0</v>
      </c>
      <c r="U130" s="121">
        <f t="shared" si="274"/>
        <v>0</v>
      </c>
      <c r="V130" s="200">
        <f t="shared" si="274"/>
        <v>0</v>
      </c>
      <c r="W130" s="201">
        <f>'UW Model'!L40</f>
        <v>0</v>
      </c>
      <c r="X130" s="201">
        <f>HLOOKUP((X$2-1)*12,$W$3:$CE$132,ROW()-2,0)*(1+(HLOOKUP(X$2,'UW Model'!$M$103:$Q$104,2,0)/12)*(X$3-((X$2-1)*12)))</f>
        <v>0</v>
      </c>
      <c r="Y130" s="11">
        <f>HLOOKUP((Y$2-1)*12,$W$3:$CE$132,ROW()-2,0)*(1+(HLOOKUP(Y$2,'UW Model'!$M$103:$Q$104,2,0)/12)*(Y$3-((Y$2-1)*12)))</f>
        <v>0</v>
      </c>
      <c r="Z130" s="11">
        <f>HLOOKUP((Z$2-1)*12,$W$3:$CE$132,ROW()-2,0)*(1+(HLOOKUP(Z$2,'UW Model'!$M$103:$Q$104,2,0)/12)*(Z$3-((Z$2-1)*12)))</f>
        <v>0</v>
      </c>
      <c r="AA130" s="11">
        <f>HLOOKUP((AA$2-1)*12,$W$3:$CE$132,ROW()-2,0)*(1+(HLOOKUP(AA$2,'UW Model'!$M$103:$Q$104,2,0)/12)*(AA$3-((AA$2-1)*12)))</f>
        <v>0</v>
      </c>
      <c r="AB130" s="11">
        <f>HLOOKUP((AB$2-1)*12,$W$3:$CE$132,ROW()-2,0)*(1+(HLOOKUP(AB$2,'UW Model'!$M$103:$Q$104,2,0)/12)*(AB$3-((AB$2-1)*12)))</f>
        <v>0</v>
      </c>
      <c r="AC130" s="11">
        <f>HLOOKUP((AC$2-1)*12,$W$3:$CE$132,ROW()-2,0)*(1+(HLOOKUP(AC$2,'UW Model'!$M$103:$Q$104,2,0)/12)*(AC$3-((AC$2-1)*12)))</f>
        <v>0</v>
      </c>
      <c r="AD130" s="11">
        <f>HLOOKUP((AD$2-1)*12,$W$3:$CE$132,ROW()-2,0)*(1+(HLOOKUP(AD$2,'UW Model'!$M$103:$Q$104,2,0)/12)*(AD$3-((AD$2-1)*12)))</f>
        <v>0</v>
      </c>
      <c r="AE130" s="11">
        <f>HLOOKUP((AE$2-1)*12,$W$3:$CE$132,ROW()-2,0)*(1+(HLOOKUP(AE$2,'UW Model'!$M$103:$Q$104,2,0)/12)*(AE$3-((AE$2-1)*12)))</f>
        <v>0</v>
      </c>
      <c r="AF130" s="11">
        <f>HLOOKUP((AF$2-1)*12,$W$3:$CE$132,ROW()-2,0)*(1+(HLOOKUP(AF$2,'UW Model'!$M$103:$Q$104,2,0)/12)*(AF$3-((AF$2-1)*12)))</f>
        <v>0</v>
      </c>
      <c r="AG130" s="11">
        <f>HLOOKUP((AG$2-1)*12,$W$3:$CE$132,ROW()-2,0)*(1+(HLOOKUP(AG$2,'UW Model'!$M$103:$Q$104,2,0)/12)*(AG$3-((AG$2-1)*12)))</f>
        <v>0</v>
      </c>
      <c r="AH130" s="11">
        <f>HLOOKUP((AH$2-1)*12,$W$3:$CE$132,ROW()-2,0)*(1+(HLOOKUP(AH$2,'UW Model'!$M$103:$Q$104,2,0)/12)*(AH$3-((AH$2-1)*12)))</f>
        <v>0</v>
      </c>
      <c r="AI130" s="71">
        <f>HLOOKUP((AI$2-1)*12,$W$3:$CE$132,ROW()-2,0)*(1+(HLOOKUP(AI$2,'UW Model'!$M$103:$Q$104,2,0)/12)*(AI$3-((AI$2-1)*12)))</f>
        <v>0</v>
      </c>
      <c r="AJ130" s="201">
        <f>HLOOKUP((AJ$2-1)*12,$W$3:$CE$132,ROW()-2,0)*(1+(HLOOKUP(AJ$2,'UW Model'!$M$103:$Q$104,2,0)/12)*(AJ$3-((AJ$2-1)*12)))</f>
        <v>0</v>
      </c>
      <c r="AK130" s="11">
        <f>HLOOKUP((AK$2-1)*12,$W$3:$CE$132,ROW()-2,0)*(1+(HLOOKUP(AK$2,'UW Model'!$M$103:$Q$104,2,0)/12)*(AK$3-((AK$2-1)*12)))</f>
        <v>0</v>
      </c>
      <c r="AL130" s="11">
        <f>HLOOKUP((AL$2-1)*12,$W$3:$CE$132,ROW()-2,0)*(1+(HLOOKUP(AL$2,'UW Model'!$M$103:$Q$104,2,0)/12)*(AL$3-((AL$2-1)*12)))</f>
        <v>0</v>
      </c>
      <c r="AM130" s="11">
        <f>HLOOKUP((AM$2-1)*12,$W$3:$CE$132,ROW()-2,0)*(1+(HLOOKUP(AM$2,'UW Model'!$M$103:$Q$104,2,0)/12)*(AM$3-((AM$2-1)*12)))</f>
        <v>0</v>
      </c>
      <c r="AN130" s="11">
        <f>HLOOKUP((AN$2-1)*12,$W$3:$CE$132,ROW()-2,0)*(1+(HLOOKUP(AN$2,'UW Model'!$M$103:$Q$104,2,0)/12)*(AN$3-((AN$2-1)*12)))</f>
        <v>0</v>
      </c>
      <c r="AO130" s="11">
        <f>HLOOKUP((AO$2-1)*12,$W$3:$CE$132,ROW()-2,0)*(1+(HLOOKUP(AO$2,'UW Model'!$M$103:$Q$104,2,0)/12)*(AO$3-((AO$2-1)*12)))</f>
        <v>0</v>
      </c>
      <c r="AP130" s="11">
        <f>HLOOKUP((AP$2-1)*12,$W$3:$CE$132,ROW()-2,0)*(1+(HLOOKUP(AP$2,'UW Model'!$M$103:$Q$104,2,0)/12)*(AP$3-((AP$2-1)*12)))</f>
        <v>0</v>
      </c>
      <c r="AQ130" s="11">
        <f>HLOOKUP((AQ$2-1)*12,$W$3:$CE$132,ROW()-2,0)*(1+(HLOOKUP(AQ$2,'UW Model'!$M$103:$Q$104,2,0)/12)*(AQ$3-((AQ$2-1)*12)))</f>
        <v>0</v>
      </c>
      <c r="AR130" s="11">
        <f>HLOOKUP((AR$2-1)*12,$W$3:$CE$132,ROW()-2,0)*(1+(HLOOKUP(AR$2,'UW Model'!$M$103:$Q$104,2,0)/12)*(AR$3-((AR$2-1)*12)))</f>
        <v>0</v>
      </c>
      <c r="AS130" s="11">
        <f>HLOOKUP((AS$2-1)*12,$W$3:$CE$132,ROW()-2,0)*(1+(HLOOKUP(AS$2,'UW Model'!$M$103:$Q$104,2,0)/12)*(AS$3-((AS$2-1)*12)))</f>
        <v>0</v>
      </c>
      <c r="AT130" s="11">
        <f>HLOOKUP((AT$2-1)*12,$W$3:$CE$132,ROW()-2,0)*(1+(HLOOKUP(AT$2,'UW Model'!$M$103:$Q$104,2,0)/12)*(AT$3-((AT$2-1)*12)))</f>
        <v>0</v>
      </c>
      <c r="AU130" s="71">
        <f>HLOOKUP((AU$2-1)*12,$W$3:$CE$132,ROW()-2,0)*(1+(HLOOKUP(AU$2,'UW Model'!$M$103:$Q$104,2,0)/12)*(AU$3-((AU$2-1)*12)))</f>
        <v>0</v>
      </c>
      <c r="AV130" s="11">
        <f>HLOOKUP((AV$2-1)*12,$W$3:$CE$132,ROW()-2,0)*(1+(HLOOKUP(AV$2,'UW Model'!$M$103:$Q$104,2,0)/12)*(AV$3-((AV$2-1)*12)))</f>
        <v>0</v>
      </c>
      <c r="AW130" s="11">
        <f>HLOOKUP((AW$2-1)*12,$W$3:$CE$132,ROW()-2,0)*(1+(HLOOKUP(AW$2,'UW Model'!$M$103:$Q$104,2,0)/12)*(AW$3-((AW$2-1)*12)))</f>
        <v>0</v>
      </c>
      <c r="AX130" s="11">
        <f>HLOOKUP((AX$2-1)*12,$W$3:$CE$132,ROW()-2,0)*(1+(HLOOKUP(AX$2,'UW Model'!$M$103:$Q$104,2,0)/12)*(AX$3-((AX$2-1)*12)))</f>
        <v>0</v>
      </c>
      <c r="AY130" s="11">
        <f>HLOOKUP((AY$2-1)*12,$W$3:$CE$132,ROW()-2,0)*(1+(HLOOKUP(AY$2,'UW Model'!$M$103:$Q$104,2,0)/12)*(AY$3-((AY$2-1)*12)))</f>
        <v>0</v>
      </c>
      <c r="AZ130" s="11">
        <f>HLOOKUP((AZ$2-1)*12,$W$3:$CE$132,ROW()-2,0)*(1+(HLOOKUP(AZ$2,'UW Model'!$M$103:$Q$104,2,0)/12)*(AZ$3-((AZ$2-1)*12)))</f>
        <v>0</v>
      </c>
      <c r="BA130" s="11">
        <f>HLOOKUP((BA$2-1)*12,$W$3:$CE$132,ROW()-2,0)*(1+(HLOOKUP(BA$2,'UW Model'!$M$103:$Q$104,2,0)/12)*(BA$3-((BA$2-1)*12)))</f>
        <v>0</v>
      </c>
      <c r="BB130" s="11">
        <f>HLOOKUP((BB$2-1)*12,$W$3:$CE$132,ROW()-2,0)*(1+(HLOOKUP(BB$2,'UW Model'!$M$103:$Q$104,2,0)/12)*(BB$3-((BB$2-1)*12)))</f>
        <v>0</v>
      </c>
      <c r="BC130" s="11">
        <f>HLOOKUP((BC$2-1)*12,$W$3:$CE$132,ROW()-2,0)*(1+(HLOOKUP(BC$2,'UW Model'!$M$103:$Q$104,2,0)/12)*(BC$3-((BC$2-1)*12)))</f>
        <v>0</v>
      </c>
      <c r="BD130" s="11">
        <f>HLOOKUP((BD$2-1)*12,$W$3:$CE$132,ROW()-2,0)*(1+(HLOOKUP(BD$2,'UW Model'!$M$103:$Q$104,2,0)/12)*(BD$3-((BD$2-1)*12)))</f>
        <v>0</v>
      </c>
      <c r="BE130" s="11">
        <f>HLOOKUP((BE$2-1)*12,$W$3:$CE$132,ROW()-2,0)*(1+(HLOOKUP(BE$2,'UW Model'!$M$103:$Q$104,2,0)/12)*(BE$3-((BE$2-1)*12)))</f>
        <v>0</v>
      </c>
      <c r="BF130" s="11">
        <f>HLOOKUP((BF$2-1)*12,$W$3:$CE$132,ROW()-2,0)*(1+(HLOOKUP(BF$2,'UW Model'!$M$103:$Q$104,2,0)/12)*(BF$3-((BF$2-1)*12)))</f>
        <v>0</v>
      </c>
      <c r="BG130" s="71">
        <f>HLOOKUP((BG$2-1)*12,$W$3:$CE$132,ROW()-2,0)*(1+(HLOOKUP(BG$2,'UW Model'!$M$103:$Q$104,2,0)/12)*(BG$3-((BG$2-1)*12)))</f>
        <v>0</v>
      </c>
      <c r="BH130" s="11">
        <f>HLOOKUP((BH$2-1)*12,$W$3:$CE$132,ROW()-2,0)*(1+(HLOOKUP(BH$2,'UW Model'!$M$103:$Q$104,2,0)/12)*(BH$3-((BH$2-1)*12)))</f>
        <v>0</v>
      </c>
      <c r="BI130" s="11">
        <f>HLOOKUP((BI$2-1)*12,$W$3:$CE$132,ROW()-2,0)*(1+(HLOOKUP(BI$2,'UW Model'!$M$103:$Q$104,2,0)/12)*(BI$3-((BI$2-1)*12)))</f>
        <v>0</v>
      </c>
      <c r="BJ130" s="11">
        <f>HLOOKUP((BJ$2-1)*12,$W$3:$CE$132,ROW()-2,0)*(1+(HLOOKUP(BJ$2,'UW Model'!$M$103:$Q$104,2,0)/12)*(BJ$3-((BJ$2-1)*12)))</f>
        <v>0</v>
      </c>
      <c r="BK130" s="11">
        <f>HLOOKUP((BK$2-1)*12,$W$3:$CE$132,ROW()-2,0)*(1+(HLOOKUP(BK$2,'UW Model'!$M$103:$Q$104,2,0)/12)*(BK$3-((BK$2-1)*12)))</f>
        <v>0</v>
      </c>
      <c r="BL130" s="11">
        <f>HLOOKUP((BL$2-1)*12,$W$3:$CE$132,ROW()-2,0)*(1+(HLOOKUP(BL$2,'UW Model'!$M$103:$Q$104,2,0)/12)*(BL$3-((BL$2-1)*12)))</f>
        <v>0</v>
      </c>
      <c r="BM130" s="11">
        <f>HLOOKUP((BM$2-1)*12,$W$3:$CE$132,ROW()-2,0)*(1+(HLOOKUP(BM$2,'UW Model'!$M$103:$Q$104,2,0)/12)*(BM$3-((BM$2-1)*12)))</f>
        <v>0</v>
      </c>
      <c r="BN130" s="11">
        <f>HLOOKUP((BN$2-1)*12,$W$3:$CE$132,ROW()-2,0)*(1+(HLOOKUP(BN$2,'UW Model'!$M$103:$Q$104,2,0)/12)*(BN$3-((BN$2-1)*12)))</f>
        <v>0</v>
      </c>
      <c r="BO130" s="11">
        <f>HLOOKUP((BO$2-1)*12,$W$3:$CE$132,ROW()-2,0)*(1+(HLOOKUP(BO$2,'UW Model'!$M$103:$Q$104,2,0)/12)*(BO$3-((BO$2-1)*12)))</f>
        <v>0</v>
      </c>
      <c r="BP130" s="11">
        <f>HLOOKUP((BP$2-1)*12,$W$3:$CE$132,ROW()-2,0)*(1+(HLOOKUP(BP$2,'UW Model'!$M$103:$Q$104,2,0)/12)*(BP$3-((BP$2-1)*12)))</f>
        <v>0</v>
      </c>
      <c r="BQ130" s="11">
        <f>HLOOKUP((BQ$2-1)*12,$W$3:$CE$132,ROW()-2,0)*(1+(HLOOKUP(BQ$2,'UW Model'!$M$103:$Q$104,2,0)/12)*(BQ$3-((BQ$2-1)*12)))</f>
        <v>0</v>
      </c>
      <c r="BR130" s="11">
        <f>HLOOKUP((BR$2-1)*12,$W$3:$CE$132,ROW()-2,0)*(1+(HLOOKUP(BR$2,'UW Model'!$M$103:$Q$104,2,0)/12)*(BR$3-((BR$2-1)*12)))</f>
        <v>0</v>
      </c>
      <c r="BS130" s="71">
        <f>HLOOKUP((BS$2-1)*12,$W$3:$CE$132,ROW()-2,0)*(1+(HLOOKUP(BS$2,'UW Model'!$M$103:$Q$104,2,0)/12)*(BS$3-((BS$2-1)*12)))</f>
        <v>0</v>
      </c>
      <c r="BT130" s="11">
        <f>HLOOKUP((BT$2-1)*12,$W$3:$CE$132,ROW()-2,0)*(1+(HLOOKUP(BT$2,'UW Model'!$M$103:$Q$104,2,0)/12)*(BT$3-((BT$2-1)*12)))</f>
        <v>0</v>
      </c>
      <c r="BU130" s="11">
        <f>HLOOKUP((BU$2-1)*12,$W$3:$CE$132,ROW()-2,0)*(1+(HLOOKUP(BU$2,'UW Model'!$M$103:$Q$104,2,0)/12)*(BU$3-((BU$2-1)*12)))</f>
        <v>0</v>
      </c>
      <c r="BV130" s="11">
        <f>HLOOKUP((BV$2-1)*12,$W$3:$CE$132,ROW()-2,0)*(1+(HLOOKUP(BV$2,'UW Model'!$M$103:$Q$104,2,0)/12)*(BV$3-((BV$2-1)*12)))</f>
        <v>0</v>
      </c>
      <c r="BW130" s="11">
        <f>HLOOKUP((BW$2-1)*12,$W$3:$CE$132,ROW()-2,0)*(1+(HLOOKUP(BW$2,'UW Model'!$M$103:$Q$104,2,0)/12)*(BW$3-((BW$2-1)*12)))</f>
        <v>0</v>
      </c>
      <c r="BX130" s="11">
        <f>HLOOKUP((BX$2-1)*12,$W$3:$CE$132,ROW()-2,0)*(1+(HLOOKUP(BX$2,'UW Model'!$M$103:$Q$104,2,0)/12)*(BX$3-((BX$2-1)*12)))</f>
        <v>0</v>
      </c>
      <c r="BY130" s="11">
        <f>HLOOKUP((BY$2-1)*12,$W$3:$CE$132,ROW()-2,0)*(1+(HLOOKUP(BY$2,'UW Model'!$M$103:$Q$104,2,0)/12)*(BY$3-((BY$2-1)*12)))</f>
        <v>0</v>
      </c>
      <c r="BZ130" s="11">
        <f>HLOOKUP((BZ$2-1)*12,$W$3:$CE$132,ROW()-2,0)*(1+(HLOOKUP(BZ$2,'UW Model'!$M$103:$Q$104,2,0)/12)*(BZ$3-((BZ$2-1)*12)))</f>
        <v>0</v>
      </c>
      <c r="CA130" s="11">
        <f>HLOOKUP((CA$2-1)*12,$W$3:$CE$132,ROW()-2,0)*(1+(HLOOKUP(CA$2,'UW Model'!$M$103:$Q$104,2,0)/12)*(CA$3-((CA$2-1)*12)))</f>
        <v>0</v>
      </c>
      <c r="CB130" s="11">
        <f>HLOOKUP((CB$2-1)*12,$W$3:$CE$132,ROW()-2,0)*(1+(HLOOKUP(CB$2,'UW Model'!$M$103:$Q$104,2,0)/12)*(CB$3-((CB$2-1)*12)))</f>
        <v>0</v>
      </c>
      <c r="CC130" s="11">
        <f>HLOOKUP((CC$2-1)*12,$W$3:$CE$132,ROW()-2,0)*(1+(HLOOKUP(CC$2,'UW Model'!$M$103:$Q$104,2,0)/12)*(CC$3-((CC$2-1)*12)))</f>
        <v>0</v>
      </c>
      <c r="CD130" s="11">
        <f>HLOOKUP((CD$2-1)*12,$W$3:$CE$132,ROW()-2,0)*(1+(HLOOKUP(CD$2,'UW Model'!$M$103:$Q$104,2,0)/12)*(CD$3-((CD$2-1)*12)))</f>
        <v>0</v>
      </c>
      <c r="CE130" s="88">
        <f>HLOOKUP((CE$2-1)*12,$W$3:$CE$132,ROW()-2,0)*(1+(HLOOKUP(CE$2,'UW Model'!$M$103:$Q$104,2,0)/12)*(CE$3-((CE$2-1)*12)))</f>
        <v>0</v>
      </c>
    </row>
    <row r="131" spans="16:83" x14ac:dyDescent="0.35">
      <c r="P131" s="936"/>
      <c r="Q131" s="196" t="str">
        <f>$Q$19</f>
        <v/>
      </c>
      <c r="R131" s="199">
        <f t="shared" si="274"/>
        <v>0</v>
      </c>
      <c r="S131" s="121">
        <f t="shared" si="274"/>
        <v>0</v>
      </c>
      <c r="T131" s="121">
        <f t="shared" si="274"/>
        <v>0</v>
      </c>
      <c r="U131" s="121">
        <f t="shared" si="274"/>
        <v>0</v>
      </c>
      <c r="V131" s="200">
        <f t="shared" si="274"/>
        <v>0</v>
      </c>
      <c r="W131" s="201">
        <f>'UW Model'!L41</f>
        <v>0</v>
      </c>
      <c r="X131" s="201">
        <f>HLOOKUP((X$2-1)*12,$W$3:$CE$132,ROW()-2,0)*(1+(HLOOKUP(X$2,'UW Model'!$M$103:$Q$104,2,0)/12)*(X$3-((X$2-1)*12)))</f>
        <v>0</v>
      </c>
      <c r="Y131" s="11">
        <f>HLOOKUP((Y$2-1)*12,$W$3:$CE$132,ROW()-2,0)*(1+(HLOOKUP(Y$2,'UW Model'!$M$103:$Q$104,2,0)/12)*(Y$3-((Y$2-1)*12)))</f>
        <v>0</v>
      </c>
      <c r="Z131" s="11">
        <f>HLOOKUP((Z$2-1)*12,$W$3:$CE$132,ROW()-2,0)*(1+(HLOOKUP(Z$2,'UW Model'!$M$103:$Q$104,2,0)/12)*(Z$3-((Z$2-1)*12)))</f>
        <v>0</v>
      </c>
      <c r="AA131" s="11">
        <f>HLOOKUP((AA$2-1)*12,$W$3:$CE$132,ROW()-2,0)*(1+(HLOOKUP(AA$2,'UW Model'!$M$103:$Q$104,2,0)/12)*(AA$3-((AA$2-1)*12)))</f>
        <v>0</v>
      </c>
      <c r="AB131" s="11">
        <f>HLOOKUP((AB$2-1)*12,$W$3:$CE$132,ROW()-2,0)*(1+(HLOOKUP(AB$2,'UW Model'!$M$103:$Q$104,2,0)/12)*(AB$3-((AB$2-1)*12)))</f>
        <v>0</v>
      </c>
      <c r="AC131" s="11">
        <f>HLOOKUP((AC$2-1)*12,$W$3:$CE$132,ROW()-2,0)*(1+(HLOOKUP(AC$2,'UW Model'!$M$103:$Q$104,2,0)/12)*(AC$3-((AC$2-1)*12)))</f>
        <v>0</v>
      </c>
      <c r="AD131" s="11">
        <f>HLOOKUP((AD$2-1)*12,$W$3:$CE$132,ROW()-2,0)*(1+(HLOOKUP(AD$2,'UW Model'!$M$103:$Q$104,2,0)/12)*(AD$3-((AD$2-1)*12)))</f>
        <v>0</v>
      </c>
      <c r="AE131" s="11">
        <f>HLOOKUP((AE$2-1)*12,$W$3:$CE$132,ROW()-2,0)*(1+(HLOOKUP(AE$2,'UW Model'!$M$103:$Q$104,2,0)/12)*(AE$3-((AE$2-1)*12)))</f>
        <v>0</v>
      </c>
      <c r="AF131" s="11">
        <f>HLOOKUP((AF$2-1)*12,$W$3:$CE$132,ROW()-2,0)*(1+(HLOOKUP(AF$2,'UW Model'!$M$103:$Q$104,2,0)/12)*(AF$3-((AF$2-1)*12)))</f>
        <v>0</v>
      </c>
      <c r="AG131" s="11">
        <f>HLOOKUP((AG$2-1)*12,$W$3:$CE$132,ROW()-2,0)*(1+(HLOOKUP(AG$2,'UW Model'!$M$103:$Q$104,2,0)/12)*(AG$3-((AG$2-1)*12)))</f>
        <v>0</v>
      </c>
      <c r="AH131" s="11">
        <f>HLOOKUP((AH$2-1)*12,$W$3:$CE$132,ROW()-2,0)*(1+(HLOOKUP(AH$2,'UW Model'!$M$103:$Q$104,2,0)/12)*(AH$3-((AH$2-1)*12)))</f>
        <v>0</v>
      </c>
      <c r="AI131" s="71">
        <f>HLOOKUP((AI$2-1)*12,$W$3:$CE$132,ROW()-2,0)*(1+(HLOOKUP(AI$2,'UW Model'!$M$103:$Q$104,2,0)/12)*(AI$3-((AI$2-1)*12)))</f>
        <v>0</v>
      </c>
      <c r="AJ131" s="201">
        <f>HLOOKUP((AJ$2-1)*12,$W$3:$CE$132,ROW()-2,0)*(1+(HLOOKUP(AJ$2,'UW Model'!$M$103:$Q$104,2,0)/12)*(AJ$3-((AJ$2-1)*12)))</f>
        <v>0</v>
      </c>
      <c r="AK131" s="11">
        <f>HLOOKUP((AK$2-1)*12,$W$3:$CE$132,ROW()-2,0)*(1+(HLOOKUP(AK$2,'UW Model'!$M$103:$Q$104,2,0)/12)*(AK$3-((AK$2-1)*12)))</f>
        <v>0</v>
      </c>
      <c r="AL131" s="11">
        <f>HLOOKUP((AL$2-1)*12,$W$3:$CE$132,ROW()-2,0)*(1+(HLOOKUP(AL$2,'UW Model'!$M$103:$Q$104,2,0)/12)*(AL$3-((AL$2-1)*12)))</f>
        <v>0</v>
      </c>
      <c r="AM131" s="11">
        <f>HLOOKUP((AM$2-1)*12,$W$3:$CE$132,ROW()-2,0)*(1+(HLOOKUP(AM$2,'UW Model'!$M$103:$Q$104,2,0)/12)*(AM$3-((AM$2-1)*12)))</f>
        <v>0</v>
      </c>
      <c r="AN131" s="11">
        <f>HLOOKUP((AN$2-1)*12,$W$3:$CE$132,ROW()-2,0)*(1+(HLOOKUP(AN$2,'UW Model'!$M$103:$Q$104,2,0)/12)*(AN$3-((AN$2-1)*12)))</f>
        <v>0</v>
      </c>
      <c r="AO131" s="11">
        <f>HLOOKUP((AO$2-1)*12,$W$3:$CE$132,ROW()-2,0)*(1+(HLOOKUP(AO$2,'UW Model'!$M$103:$Q$104,2,0)/12)*(AO$3-((AO$2-1)*12)))</f>
        <v>0</v>
      </c>
      <c r="AP131" s="11">
        <f>HLOOKUP((AP$2-1)*12,$W$3:$CE$132,ROW()-2,0)*(1+(HLOOKUP(AP$2,'UW Model'!$M$103:$Q$104,2,0)/12)*(AP$3-((AP$2-1)*12)))</f>
        <v>0</v>
      </c>
      <c r="AQ131" s="11">
        <f>HLOOKUP((AQ$2-1)*12,$W$3:$CE$132,ROW()-2,0)*(1+(HLOOKUP(AQ$2,'UW Model'!$M$103:$Q$104,2,0)/12)*(AQ$3-((AQ$2-1)*12)))</f>
        <v>0</v>
      </c>
      <c r="AR131" s="11">
        <f>HLOOKUP((AR$2-1)*12,$W$3:$CE$132,ROW()-2,0)*(1+(HLOOKUP(AR$2,'UW Model'!$M$103:$Q$104,2,0)/12)*(AR$3-((AR$2-1)*12)))</f>
        <v>0</v>
      </c>
      <c r="AS131" s="11">
        <f>HLOOKUP((AS$2-1)*12,$W$3:$CE$132,ROW()-2,0)*(1+(HLOOKUP(AS$2,'UW Model'!$M$103:$Q$104,2,0)/12)*(AS$3-((AS$2-1)*12)))</f>
        <v>0</v>
      </c>
      <c r="AT131" s="11">
        <f>HLOOKUP((AT$2-1)*12,$W$3:$CE$132,ROW()-2,0)*(1+(HLOOKUP(AT$2,'UW Model'!$M$103:$Q$104,2,0)/12)*(AT$3-((AT$2-1)*12)))</f>
        <v>0</v>
      </c>
      <c r="AU131" s="71">
        <f>HLOOKUP((AU$2-1)*12,$W$3:$CE$132,ROW()-2,0)*(1+(HLOOKUP(AU$2,'UW Model'!$M$103:$Q$104,2,0)/12)*(AU$3-((AU$2-1)*12)))</f>
        <v>0</v>
      </c>
      <c r="AV131" s="11">
        <f>HLOOKUP((AV$2-1)*12,$W$3:$CE$132,ROW()-2,0)*(1+(HLOOKUP(AV$2,'UW Model'!$M$103:$Q$104,2,0)/12)*(AV$3-((AV$2-1)*12)))</f>
        <v>0</v>
      </c>
      <c r="AW131" s="11">
        <f>HLOOKUP((AW$2-1)*12,$W$3:$CE$132,ROW()-2,0)*(1+(HLOOKUP(AW$2,'UW Model'!$M$103:$Q$104,2,0)/12)*(AW$3-((AW$2-1)*12)))</f>
        <v>0</v>
      </c>
      <c r="AX131" s="11">
        <f>HLOOKUP((AX$2-1)*12,$W$3:$CE$132,ROW()-2,0)*(1+(HLOOKUP(AX$2,'UW Model'!$M$103:$Q$104,2,0)/12)*(AX$3-((AX$2-1)*12)))</f>
        <v>0</v>
      </c>
      <c r="AY131" s="11">
        <f>HLOOKUP((AY$2-1)*12,$W$3:$CE$132,ROW()-2,0)*(1+(HLOOKUP(AY$2,'UW Model'!$M$103:$Q$104,2,0)/12)*(AY$3-((AY$2-1)*12)))</f>
        <v>0</v>
      </c>
      <c r="AZ131" s="11">
        <f>HLOOKUP((AZ$2-1)*12,$W$3:$CE$132,ROW()-2,0)*(1+(HLOOKUP(AZ$2,'UW Model'!$M$103:$Q$104,2,0)/12)*(AZ$3-((AZ$2-1)*12)))</f>
        <v>0</v>
      </c>
      <c r="BA131" s="11">
        <f>HLOOKUP((BA$2-1)*12,$W$3:$CE$132,ROW()-2,0)*(1+(HLOOKUP(BA$2,'UW Model'!$M$103:$Q$104,2,0)/12)*(BA$3-((BA$2-1)*12)))</f>
        <v>0</v>
      </c>
      <c r="BB131" s="11">
        <f>HLOOKUP((BB$2-1)*12,$W$3:$CE$132,ROW()-2,0)*(1+(HLOOKUP(BB$2,'UW Model'!$M$103:$Q$104,2,0)/12)*(BB$3-((BB$2-1)*12)))</f>
        <v>0</v>
      </c>
      <c r="BC131" s="11">
        <f>HLOOKUP((BC$2-1)*12,$W$3:$CE$132,ROW()-2,0)*(1+(HLOOKUP(BC$2,'UW Model'!$M$103:$Q$104,2,0)/12)*(BC$3-((BC$2-1)*12)))</f>
        <v>0</v>
      </c>
      <c r="BD131" s="11">
        <f>HLOOKUP((BD$2-1)*12,$W$3:$CE$132,ROW()-2,0)*(1+(HLOOKUP(BD$2,'UW Model'!$M$103:$Q$104,2,0)/12)*(BD$3-((BD$2-1)*12)))</f>
        <v>0</v>
      </c>
      <c r="BE131" s="11">
        <f>HLOOKUP((BE$2-1)*12,$W$3:$CE$132,ROW()-2,0)*(1+(HLOOKUP(BE$2,'UW Model'!$M$103:$Q$104,2,0)/12)*(BE$3-((BE$2-1)*12)))</f>
        <v>0</v>
      </c>
      <c r="BF131" s="11">
        <f>HLOOKUP((BF$2-1)*12,$W$3:$CE$132,ROW()-2,0)*(1+(HLOOKUP(BF$2,'UW Model'!$M$103:$Q$104,2,0)/12)*(BF$3-((BF$2-1)*12)))</f>
        <v>0</v>
      </c>
      <c r="BG131" s="71">
        <f>HLOOKUP((BG$2-1)*12,$W$3:$CE$132,ROW()-2,0)*(1+(HLOOKUP(BG$2,'UW Model'!$M$103:$Q$104,2,0)/12)*(BG$3-((BG$2-1)*12)))</f>
        <v>0</v>
      </c>
      <c r="BH131" s="11">
        <f>HLOOKUP((BH$2-1)*12,$W$3:$CE$132,ROW()-2,0)*(1+(HLOOKUP(BH$2,'UW Model'!$M$103:$Q$104,2,0)/12)*(BH$3-((BH$2-1)*12)))</f>
        <v>0</v>
      </c>
      <c r="BI131" s="11">
        <f>HLOOKUP((BI$2-1)*12,$W$3:$CE$132,ROW()-2,0)*(1+(HLOOKUP(BI$2,'UW Model'!$M$103:$Q$104,2,0)/12)*(BI$3-((BI$2-1)*12)))</f>
        <v>0</v>
      </c>
      <c r="BJ131" s="11">
        <f>HLOOKUP((BJ$2-1)*12,$W$3:$CE$132,ROW()-2,0)*(1+(HLOOKUP(BJ$2,'UW Model'!$M$103:$Q$104,2,0)/12)*(BJ$3-((BJ$2-1)*12)))</f>
        <v>0</v>
      </c>
      <c r="BK131" s="11">
        <f>HLOOKUP((BK$2-1)*12,$W$3:$CE$132,ROW()-2,0)*(1+(HLOOKUP(BK$2,'UW Model'!$M$103:$Q$104,2,0)/12)*(BK$3-((BK$2-1)*12)))</f>
        <v>0</v>
      </c>
      <c r="BL131" s="11">
        <f>HLOOKUP((BL$2-1)*12,$W$3:$CE$132,ROW()-2,0)*(1+(HLOOKUP(BL$2,'UW Model'!$M$103:$Q$104,2,0)/12)*(BL$3-((BL$2-1)*12)))</f>
        <v>0</v>
      </c>
      <c r="BM131" s="11">
        <f>HLOOKUP((BM$2-1)*12,$W$3:$CE$132,ROW()-2,0)*(1+(HLOOKUP(BM$2,'UW Model'!$M$103:$Q$104,2,0)/12)*(BM$3-((BM$2-1)*12)))</f>
        <v>0</v>
      </c>
      <c r="BN131" s="11">
        <f>HLOOKUP((BN$2-1)*12,$W$3:$CE$132,ROW()-2,0)*(1+(HLOOKUP(BN$2,'UW Model'!$M$103:$Q$104,2,0)/12)*(BN$3-((BN$2-1)*12)))</f>
        <v>0</v>
      </c>
      <c r="BO131" s="11">
        <f>HLOOKUP((BO$2-1)*12,$W$3:$CE$132,ROW()-2,0)*(1+(HLOOKUP(BO$2,'UW Model'!$M$103:$Q$104,2,0)/12)*(BO$3-((BO$2-1)*12)))</f>
        <v>0</v>
      </c>
      <c r="BP131" s="11">
        <f>HLOOKUP((BP$2-1)*12,$W$3:$CE$132,ROW()-2,0)*(1+(HLOOKUP(BP$2,'UW Model'!$M$103:$Q$104,2,0)/12)*(BP$3-((BP$2-1)*12)))</f>
        <v>0</v>
      </c>
      <c r="BQ131" s="11">
        <f>HLOOKUP((BQ$2-1)*12,$W$3:$CE$132,ROW()-2,0)*(1+(HLOOKUP(BQ$2,'UW Model'!$M$103:$Q$104,2,0)/12)*(BQ$3-((BQ$2-1)*12)))</f>
        <v>0</v>
      </c>
      <c r="BR131" s="11">
        <f>HLOOKUP((BR$2-1)*12,$W$3:$CE$132,ROW()-2,0)*(1+(HLOOKUP(BR$2,'UW Model'!$M$103:$Q$104,2,0)/12)*(BR$3-((BR$2-1)*12)))</f>
        <v>0</v>
      </c>
      <c r="BS131" s="71">
        <f>HLOOKUP((BS$2-1)*12,$W$3:$CE$132,ROW()-2,0)*(1+(HLOOKUP(BS$2,'UW Model'!$M$103:$Q$104,2,0)/12)*(BS$3-((BS$2-1)*12)))</f>
        <v>0</v>
      </c>
      <c r="BT131" s="11">
        <f>HLOOKUP((BT$2-1)*12,$W$3:$CE$132,ROW()-2,0)*(1+(HLOOKUP(BT$2,'UW Model'!$M$103:$Q$104,2,0)/12)*(BT$3-((BT$2-1)*12)))</f>
        <v>0</v>
      </c>
      <c r="BU131" s="11">
        <f>HLOOKUP((BU$2-1)*12,$W$3:$CE$132,ROW()-2,0)*(1+(HLOOKUP(BU$2,'UW Model'!$M$103:$Q$104,2,0)/12)*(BU$3-((BU$2-1)*12)))</f>
        <v>0</v>
      </c>
      <c r="BV131" s="11">
        <f>HLOOKUP((BV$2-1)*12,$W$3:$CE$132,ROW()-2,0)*(1+(HLOOKUP(BV$2,'UW Model'!$M$103:$Q$104,2,0)/12)*(BV$3-((BV$2-1)*12)))</f>
        <v>0</v>
      </c>
      <c r="BW131" s="11">
        <f>HLOOKUP((BW$2-1)*12,$W$3:$CE$132,ROW()-2,0)*(1+(HLOOKUP(BW$2,'UW Model'!$M$103:$Q$104,2,0)/12)*(BW$3-((BW$2-1)*12)))</f>
        <v>0</v>
      </c>
      <c r="BX131" s="11">
        <f>HLOOKUP((BX$2-1)*12,$W$3:$CE$132,ROW()-2,0)*(1+(HLOOKUP(BX$2,'UW Model'!$M$103:$Q$104,2,0)/12)*(BX$3-((BX$2-1)*12)))</f>
        <v>0</v>
      </c>
      <c r="BY131" s="11">
        <f>HLOOKUP((BY$2-1)*12,$W$3:$CE$132,ROW()-2,0)*(1+(HLOOKUP(BY$2,'UW Model'!$M$103:$Q$104,2,0)/12)*(BY$3-((BY$2-1)*12)))</f>
        <v>0</v>
      </c>
      <c r="BZ131" s="11">
        <f>HLOOKUP((BZ$2-1)*12,$W$3:$CE$132,ROW()-2,0)*(1+(HLOOKUP(BZ$2,'UW Model'!$M$103:$Q$104,2,0)/12)*(BZ$3-((BZ$2-1)*12)))</f>
        <v>0</v>
      </c>
      <c r="CA131" s="11">
        <f>HLOOKUP((CA$2-1)*12,$W$3:$CE$132,ROW()-2,0)*(1+(HLOOKUP(CA$2,'UW Model'!$M$103:$Q$104,2,0)/12)*(CA$3-((CA$2-1)*12)))</f>
        <v>0</v>
      </c>
      <c r="CB131" s="11">
        <f>HLOOKUP((CB$2-1)*12,$W$3:$CE$132,ROW()-2,0)*(1+(HLOOKUP(CB$2,'UW Model'!$M$103:$Q$104,2,0)/12)*(CB$3-((CB$2-1)*12)))</f>
        <v>0</v>
      </c>
      <c r="CC131" s="11">
        <f>HLOOKUP((CC$2-1)*12,$W$3:$CE$132,ROW()-2,0)*(1+(HLOOKUP(CC$2,'UW Model'!$M$103:$Q$104,2,0)/12)*(CC$3-((CC$2-1)*12)))</f>
        <v>0</v>
      </c>
      <c r="CD131" s="11">
        <f>HLOOKUP((CD$2-1)*12,$W$3:$CE$132,ROW()-2,0)*(1+(HLOOKUP(CD$2,'UW Model'!$M$103:$Q$104,2,0)/12)*(CD$3-((CD$2-1)*12)))</f>
        <v>0</v>
      </c>
      <c r="CE131" s="88">
        <f>HLOOKUP((CE$2-1)*12,$W$3:$CE$132,ROW()-2,0)*(1+(HLOOKUP(CE$2,'UW Model'!$M$103:$Q$104,2,0)/12)*(CE$3-((CE$2-1)*12)))</f>
        <v>0</v>
      </c>
    </row>
    <row r="132" spans="16:83" ht="15" thickBot="1" x14ac:dyDescent="0.4">
      <c r="P132" s="936"/>
      <c r="Q132" s="196" t="str">
        <f>$Q$20</f>
        <v/>
      </c>
      <c r="R132" s="212">
        <f t="shared" si="274"/>
        <v>0</v>
      </c>
      <c r="S132" s="213">
        <f t="shared" si="274"/>
        <v>0</v>
      </c>
      <c r="T132" s="213">
        <f t="shared" si="274"/>
        <v>0</v>
      </c>
      <c r="U132" s="213">
        <f t="shared" si="274"/>
        <v>0</v>
      </c>
      <c r="V132" s="214">
        <f t="shared" si="274"/>
        <v>0</v>
      </c>
      <c r="W132" s="215">
        <f>'UW Model'!L42</f>
        <v>0</v>
      </c>
      <c r="X132" s="215">
        <f>HLOOKUP((X$2-1)*12,$W$3:$CE$132,ROW()-2,0)*(1+(HLOOKUP(X$2,'UW Model'!$M$103:$Q$104,2,0)/12)*(X$3-((X$2-1)*12)))</f>
        <v>0</v>
      </c>
      <c r="Y132" s="216">
        <f>HLOOKUP((Y$2-1)*12,$W$3:$CE$132,ROW()-2,0)*(1+(HLOOKUP(Y$2,'UW Model'!$M$103:$Q$104,2,0)/12)*(Y$3-((Y$2-1)*12)))</f>
        <v>0</v>
      </c>
      <c r="Z132" s="216">
        <f>HLOOKUP((Z$2-1)*12,$W$3:$CE$132,ROW()-2,0)*(1+(HLOOKUP(Z$2,'UW Model'!$M$103:$Q$104,2,0)/12)*(Z$3-((Z$2-1)*12)))</f>
        <v>0</v>
      </c>
      <c r="AA132" s="216">
        <f>HLOOKUP((AA$2-1)*12,$W$3:$CE$132,ROW()-2,0)*(1+(HLOOKUP(AA$2,'UW Model'!$M$103:$Q$104,2,0)/12)*(AA$3-((AA$2-1)*12)))</f>
        <v>0</v>
      </c>
      <c r="AB132" s="216">
        <f>HLOOKUP((AB$2-1)*12,$W$3:$CE$132,ROW()-2,0)*(1+(HLOOKUP(AB$2,'UW Model'!$M$103:$Q$104,2,0)/12)*(AB$3-((AB$2-1)*12)))</f>
        <v>0</v>
      </c>
      <c r="AC132" s="216">
        <f>HLOOKUP((AC$2-1)*12,$W$3:$CE$132,ROW()-2,0)*(1+(HLOOKUP(AC$2,'UW Model'!$M$103:$Q$104,2,0)/12)*(AC$3-((AC$2-1)*12)))</f>
        <v>0</v>
      </c>
      <c r="AD132" s="216">
        <f>HLOOKUP((AD$2-1)*12,$W$3:$CE$132,ROW()-2,0)*(1+(HLOOKUP(AD$2,'UW Model'!$M$103:$Q$104,2,0)/12)*(AD$3-((AD$2-1)*12)))</f>
        <v>0</v>
      </c>
      <c r="AE132" s="216">
        <f>HLOOKUP((AE$2-1)*12,$W$3:$CE$132,ROW()-2,0)*(1+(HLOOKUP(AE$2,'UW Model'!$M$103:$Q$104,2,0)/12)*(AE$3-((AE$2-1)*12)))</f>
        <v>0</v>
      </c>
      <c r="AF132" s="216">
        <f>HLOOKUP((AF$2-1)*12,$W$3:$CE$132,ROW()-2,0)*(1+(HLOOKUP(AF$2,'UW Model'!$M$103:$Q$104,2,0)/12)*(AF$3-((AF$2-1)*12)))</f>
        <v>0</v>
      </c>
      <c r="AG132" s="216">
        <f>HLOOKUP((AG$2-1)*12,$W$3:$CE$132,ROW()-2,0)*(1+(HLOOKUP(AG$2,'UW Model'!$M$103:$Q$104,2,0)/12)*(AG$3-((AG$2-1)*12)))</f>
        <v>0</v>
      </c>
      <c r="AH132" s="216">
        <f>HLOOKUP((AH$2-1)*12,$W$3:$CE$132,ROW()-2,0)*(1+(HLOOKUP(AH$2,'UW Model'!$M$103:$Q$104,2,0)/12)*(AH$3-((AH$2-1)*12)))</f>
        <v>0</v>
      </c>
      <c r="AI132" s="217">
        <f>HLOOKUP((AI$2-1)*12,$W$3:$CE$132,ROW()-2,0)*(1+(HLOOKUP(AI$2,'UW Model'!$M$103:$Q$104,2,0)/12)*(AI$3-((AI$2-1)*12)))</f>
        <v>0</v>
      </c>
      <c r="AJ132" s="215">
        <f>HLOOKUP((AJ$2-1)*12,$W$3:$CE$132,ROW()-2,0)*(1+(HLOOKUP(AJ$2,'UW Model'!$M$103:$Q$104,2,0)/12)*(AJ$3-((AJ$2-1)*12)))</f>
        <v>0</v>
      </c>
      <c r="AK132" s="216">
        <f>HLOOKUP((AK$2-1)*12,$W$3:$CE$132,ROW()-2,0)*(1+(HLOOKUP(AK$2,'UW Model'!$M$103:$Q$104,2,0)/12)*(AK$3-((AK$2-1)*12)))</f>
        <v>0</v>
      </c>
      <c r="AL132" s="216">
        <f>HLOOKUP((AL$2-1)*12,$W$3:$CE$132,ROW()-2,0)*(1+(HLOOKUP(AL$2,'UW Model'!$M$103:$Q$104,2,0)/12)*(AL$3-((AL$2-1)*12)))</f>
        <v>0</v>
      </c>
      <c r="AM132" s="216">
        <f>HLOOKUP((AM$2-1)*12,$W$3:$CE$132,ROW()-2,0)*(1+(HLOOKUP(AM$2,'UW Model'!$M$103:$Q$104,2,0)/12)*(AM$3-((AM$2-1)*12)))</f>
        <v>0</v>
      </c>
      <c r="AN132" s="216">
        <f>HLOOKUP((AN$2-1)*12,$W$3:$CE$132,ROW()-2,0)*(1+(HLOOKUP(AN$2,'UW Model'!$M$103:$Q$104,2,0)/12)*(AN$3-((AN$2-1)*12)))</f>
        <v>0</v>
      </c>
      <c r="AO132" s="216">
        <f>HLOOKUP((AO$2-1)*12,$W$3:$CE$132,ROW()-2,0)*(1+(HLOOKUP(AO$2,'UW Model'!$M$103:$Q$104,2,0)/12)*(AO$3-((AO$2-1)*12)))</f>
        <v>0</v>
      </c>
      <c r="AP132" s="216">
        <f>HLOOKUP((AP$2-1)*12,$W$3:$CE$132,ROW()-2,0)*(1+(HLOOKUP(AP$2,'UW Model'!$M$103:$Q$104,2,0)/12)*(AP$3-((AP$2-1)*12)))</f>
        <v>0</v>
      </c>
      <c r="AQ132" s="216">
        <f>HLOOKUP((AQ$2-1)*12,$W$3:$CE$132,ROW()-2,0)*(1+(HLOOKUP(AQ$2,'UW Model'!$M$103:$Q$104,2,0)/12)*(AQ$3-((AQ$2-1)*12)))</f>
        <v>0</v>
      </c>
      <c r="AR132" s="216">
        <f>HLOOKUP((AR$2-1)*12,$W$3:$CE$132,ROW()-2,0)*(1+(HLOOKUP(AR$2,'UW Model'!$M$103:$Q$104,2,0)/12)*(AR$3-((AR$2-1)*12)))</f>
        <v>0</v>
      </c>
      <c r="AS132" s="216">
        <f>HLOOKUP((AS$2-1)*12,$W$3:$CE$132,ROW()-2,0)*(1+(HLOOKUP(AS$2,'UW Model'!$M$103:$Q$104,2,0)/12)*(AS$3-((AS$2-1)*12)))</f>
        <v>0</v>
      </c>
      <c r="AT132" s="216">
        <f>HLOOKUP((AT$2-1)*12,$W$3:$CE$132,ROW()-2,0)*(1+(HLOOKUP(AT$2,'UW Model'!$M$103:$Q$104,2,0)/12)*(AT$3-((AT$2-1)*12)))</f>
        <v>0</v>
      </c>
      <c r="AU132" s="217">
        <f>HLOOKUP((AU$2-1)*12,$W$3:$CE$132,ROW()-2,0)*(1+(HLOOKUP(AU$2,'UW Model'!$M$103:$Q$104,2,0)/12)*(AU$3-((AU$2-1)*12)))</f>
        <v>0</v>
      </c>
      <c r="AV132" s="216">
        <f>HLOOKUP((AV$2-1)*12,$W$3:$CE$132,ROW()-2,0)*(1+(HLOOKUP(AV$2,'UW Model'!$M$103:$Q$104,2,0)/12)*(AV$3-((AV$2-1)*12)))</f>
        <v>0</v>
      </c>
      <c r="AW132" s="216">
        <f>HLOOKUP((AW$2-1)*12,$W$3:$CE$132,ROW()-2,0)*(1+(HLOOKUP(AW$2,'UW Model'!$M$103:$Q$104,2,0)/12)*(AW$3-((AW$2-1)*12)))</f>
        <v>0</v>
      </c>
      <c r="AX132" s="216">
        <f>HLOOKUP((AX$2-1)*12,$W$3:$CE$132,ROW()-2,0)*(1+(HLOOKUP(AX$2,'UW Model'!$M$103:$Q$104,2,0)/12)*(AX$3-((AX$2-1)*12)))</f>
        <v>0</v>
      </c>
      <c r="AY132" s="216">
        <f>HLOOKUP((AY$2-1)*12,$W$3:$CE$132,ROW()-2,0)*(1+(HLOOKUP(AY$2,'UW Model'!$M$103:$Q$104,2,0)/12)*(AY$3-((AY$2-1)*12)))</f>
        <v>0</v>
      </c>
      <c r="AZ132" s="216">
        <f>HLOOKUP((AZ$2-1)*12,$W$3:$CE$132,ROW()-2,0)*(1+(HLOOKUP(AZ$2,'UW Model'!$M$103:$Q$104,2,0)/12)*(AZ$3-((AZ$2-1)*12)))</f>
        <v>0</v>
      </c>
      <c r="BA132" s="216">
        <f>HLOOKUP((BA$2-1)*12,$W$3:$CE$132,ROW()-2,0)*(1+(HLOOKUP(BA$2,'UW Model'!$M$103:$Q$104,2,0)/12)*(BA$3-((BA$2-1)*12)))</f>
        <v>0</v>
      </c>
      <c r="BB132" s="216">
        <f>HLOOKUP((BB$2-1)*12,$W$3:$CE$132,ROW()-2,0)*(1+(HLOOKUP(BB$2,'UW Model'!$M$103:$Q$104,2,0)/12)*(BB$3-((BB$2-1)*12)))</f>
        <v>0</v>
      </c>
      <c r="BC132" s="216">
        <f>HLOOKUP((BC$2-1)*12,$W$3:$CE$132,ROW()-2,0)*(1+(HLOOKUP(BC$2,'UW Model'!$M$103:$Q$104,2,0)/12)*(BC$3-((BC$2-1)*12)))</f>
        <v>0</v>
      </c>
      <c r="BD132" s="216">
        <f>HLOOKUP((BD$2-1)*12,$W$3:$CE$132,ROW()-2,0)*(1+(HLOOKUP(BD$2,'UW Model'!$M$103:$Q$104,2,0)/12)*(BD$3-((BD$2-1)*12)))</f>
        <v>0</v>
      </c>
      <c r="BE132" s="216">
        <f>HLOOKUP((BE$2-1)*12,$W$3:$CE$132,ROW()-2,0)*(1+(HLOOKUP(BE$2,'UW Model'!$M$103:$Q$104,2,0)/12)*(BE$3-((BE$2-1)*12)))</f>
        <v>0</v>
      </c>
      <c r="BF132" s="216">
        <f>HLOOKUP((BF$2-1)*12,$W$3:$CE$132,ROW()-2,0)*(1+(HLOOKUP(BF$2,'UW Model'!$M$103:$Q$104,2,0)/12)*(BF$3-((BF$2-1)*12)))</f>
        <v>0</v>
      </c>
      <c r="BG132" s="217">
        <f>HLOOKUP((BG$2-1)*12,$W$3:$CE$132,ROW()-2,0)*(1+(HLOOKUP(BG$2,'UW Model'!$M$103:$Q$104,2,0)/12)*(BG$3-((BG$2-1)*12)))</f>
        <v>0</v>
      </c>
      <c r="BH132" s="216">
        <f>HLOOKUP((BH$2-1)*12,$W$3:$CE$132,ROW()-2,0)*(1+(HLOOKUP(BH$2,'UW Model'!$M$103:$Q$104,2,0)/12)*(BH$3-((BH$2-1)*12)))</f>
        <v>0</v>
      </c>
      <c r="BI132" s="216">
        <f>HLOOKUP((BI$2-1)*12,$W$3:$CE$132,ROW()-2,0)*(1+(HLOOKUP(BI$2,'UW Model'!$M$103:$Q$104,2,0)/12)*(BI$3-((BI$2-1)*12)))</f>
        <v>0</v>
      </c>
      <c r="BJ132" s="216">
        <f>HLOOKUP((BJ$2-1)*12,$W$3:$CE$132,ROW()-2,0)*(1+(HLOOKUP(BJ$2,'UW Model'!$M$103:$Q$104,2,0)/12)*(BJ$3-((BJ$2-1)*12)))</f>
        <v>0</v>
      </c>
      <c r="BK132" s="216">
        <f>HLOOKUP((BK$2-1)*12,$W$3:$CE$132,ROW()-2,0)*(1+(HLOOKUP(BK$2,'UW Model'!$M$103:$Q$104,2,0)/12)*(BK$3-((BK$2-1)*12)))</f>
        <v>0</v>
      </c>
      <c r="BL132" s="216">
        <f>HLOOKUP((BL$2-1)*12,$W$3:$CE$132,ROW()-2,0)*(1+(HLOOKUP(BL$2,'UW Model'!$M$103:$Q$104,2,0)/12)*(BL$3-((BL$2-1)*12)))</f>
        <v>0</v>
      </c>
      <c r="BM132" s="216">
        <f>HLOOKUP((BM$2-1)*12,$W$3:$CE$132,ROW()-2,0)*(1+(HLOOKUP(BM$2,'UW Model'!$M$103:$Q$104,2,0)/12)*(BM$3-((BM$2-1)*12)))</f>
        <v>0</v>
      </c>
      <c r="BN132" s="216">
        <f>HLOOKUP((BN$2-1)*12,$W$3:$CE$132,ROW()-2,0)*(1+(HLOOKUP(BN$2,'UW Model'!$M$103:$Q$104,2,0)/12)*(BN$3-((BN$2-1)*12)))</f>
        <v>0</v>
      </c>
      <c r="BO132" s="216">
        <f>HLOOKUP((BO$2-1)*12,$W$3:$CE$132,ROW()-2,0)*(1+(HLOOKUP(BO$2,'UW Model'!$M$103:$Q$104,2,0)/12)*(BO$3-((BO$2-1)*12)))</f>
        <v>0</v>
      </c>
      <c r="BP132" s="216">
        <f>HLOOKUP((BP$2-1)*12,$W$3:$CE$132,ROW()-2,0)*(1+(HLOOKUP(BP$2,'UW Model'!$M$103:$Q$104,2,0)/12)*(BP$3-((BP$2-1)*12)))</f>
        <v>0</v>
      </c>
      <c r="BQ132" s="216">
        <f>HLOOKUP((BQ$2-1)*12,$W$3:$CE$132,ROW()-2,0)*(1+(HLOOKUP(BQ$2,'UW Model'!$M$103:$Q$104,2,0)/12)*(BQ$3-((BQ$2-1)*12)))</f>
        <v>0</v>
      </c>
      <c r="BR132" s="216">
        <f>HLOOKUP((BR$2-1)*12,$W$3:$CE$132,ROW()-2,0)*(1+(HLOOKUP(BR$2,'UW Model'!$M$103:$Q$104,2,0)/12)*(BR$3-((BR$2-1)*12)))</f>
        <v>0</v>
      </c>
      <c r="BS132" s="217">
        <f>HLOOKUP((BS$2-1)*12,$W$3:$CE$132,ROW()-2,0)*(1+(HLOOKUP(BS$2,'UW Model'!$M$103:$Q$104,2,0)/12)*(BS$3-((BS$2-1)*12)))</f>
        <v>0</v>
      </c>
      <c r="BT132" s="216">
        <f>HLOOKUP((BT$2-1)*12,$W$3:$CE$132,ROW()-2,0)*(1+(HLOOKUP(BT$2,'UW Model'!$M$103:$Q$104,2,0)/12)*(BT$3-((BT$2-1)*12)))</f>
        <v>0</v>
      </c>
      <c r="BU132" s="216">
        <f>HLOOKUP((BU$2-1)*12,$W$3:$CE$132,ROW()-2,0)*(1+(HLOOKUP(BU$2,'UW Model'!$M$103:$Q$104,2,0)/12)*(BU$3-((BU$2-1)*12)))</f>
        <v>0</v>
      </c>
      <c r="BV132" s="216">
        <f>HLOOKUP((BV$2-1)*12,$W$3:$CE$132,ROW()-2,0)*(1+(HLOOKUP(BV$2,'UW Model'!$M$103:$Q$104,2,0)/12)*(BV$3-((BV$2-1)*12)))</f>
        <v>0</v>
      </c>
      <c r="BW132" s="216">
        <f>HLOOKUP((BW$2-1)*12,$W$3:$CE$132,ROW()-2,0)*(1+(HLOOKUP(BW$2,'UW Model'!$M$103:$Q$104,2,0)/12)*(BW$3-((BW$2-1)*12)))</f>
        <v>0</v>
      </c>
      <c r="BX132" s="216">
        <f>HLOOKUP((BX$2-1)*12,$W$3:$CE$132,ROW()-2,0)*(1+(HLOOKUP(BX$2,'UW Model'!$M$103:$Q$104,2,0)/12)*(BX$3-((BX$2-1)*12)))</f>
        <v>0</v>
      </c>
      <c r="BY132" s="216">
        <f>HLOOKUP((BY$2-1)*12,$W$3:$CE$132,ROW()-2,0)*(1+(HLOOKUP(BY$2,'UW Model'!$M$103:$Q$104,2,0)/12)*(BY$3-((BY$2-1)*12)))</f>
        <v>0</v>
      </c>
      <c r="BZ132" s="216">
        <f>HLOOKUP((BZ$2-1)*12,$W$3:$CE$132,ROW()-2,0)*(1+(HLOOKUP(BZ$2,'UW Model'!$M$103:$Q$104,2,0)/12)*(BZ$3-((BZ$2-1)*12)))</f>
        <v>0</v>
      </c>
      <c r="CA132" s="216">
        <f>HLOOKUP((CA$2-1)*12,$W$3:$CE$132,ROW()-2,0)*(1+(HLOOKUP(CA$2,'UW Model'!$M$103:$Q$104,2,0)/12)*(CA$3-((CA$2-1)*12)))</f>
        <v>0</v>
      </c>
      <c r="CB132" s="216">
        <f>HLOOKUP((CB$2-1)*12,$W$3:$CE$132,ROW()-2,0)*(1+(HLOOKUP(CB$2,'UW Model'!$M$103:$Q$104,2,0)/12)*(CB$3-((CB$2-1)*12)))</f>
        <v>0</v>
      </c>
      <c r="CC132" s="216">
        <f>HLOOKUP((CC$2-1)*12,$W$3:$CE$132,ROW()-2,0)*(1+(HLOOKUP(CC$2,'UW Model'!$M$103:$Q$104,2,0)/12)*(CC$3-((CC$2-1)*12)))</f>
        <v>0</v>
      </c>
      <c r="CD132" s="216">
        <f>HLOOKUP((CD$2-1)*12,$W$3:$CE$132,ROW()-2,0)*(1+(HLOOKUP(CD$2,'UW Model'!$M$103:$Q$104,2,0)/12)*(CD$3-((CD$2-1)*12)))</f>
        <v>0</v>
      </c>
      <c r="CE132" s="218">
        <f>HLOOKUP((CE$2-1)*12,$W$3:$CE$132,ROW()-2,0)*(1+(HLOOKUP(CE$2,'UW Model'!$M$103:$Q$104,2,0)/12)*(CE$3-((CE$2-1)*12)))</f>
        <v>0</v>
      </c>
    </row>
    <row r="133" spans="16:83" x14ac:dyDescent="0.35">
      <c r="P133" s="726"/>
      <c r="Q133" s="226" t="s">
        <v>167</v>
      </c>
      <c r="R133" s="220">
        <f t="shared" ref="R133:V134" si="275">SUMIF($X$2:$CE$2,R$2,$X133:$CE133)</f>
        <v>0</v>
      </c>
      <c r="S133" s="220">
        <f t="shared" si="275"/>
        <v>0</v>
      </c>
      <c r="T133" s="220">
        <f t="shared" si="275"/>
        <v>0</v>
      </c>
      <c r="U133" s="220">
        <f t="shared" si="275"/>
        <v>0</v>
      </c>
      <c r="V133" s="224">
        <f>SUMIF($X$2:$CE$2,V$2,$X133:$CE133)</f>
        <v>0</v>
      </c>
      <c r="W133" s="702">
        <f t="shared" ref="W133:BB133" si="276">W21</f>
        <v>0</v>
      </c>
      <c r="X133" s="221">
        <f t="shared" si="276"/>
        <v>0</v>
      </c>
      <c r="Y133" s="221">
        <f t="shared" si="276"/>
        <v>0</v>
      </c>
      <c r="Z133" s="221">
        <f t="shared" si="276"/>
        <v>0</v>
      </c>
      <c r="AA133" s="221">
        <f t="shared" si="276"/>
        <v>0</v>
      </c>
      <c r="AB133" s="221">
        <f t="shared" si="276"/>
        <v>0</v>
      </c>
      <c r="AC133" s="221">
        <f t="shared" si="276"/>
        <v>0</v>
      </c>
      <c r="AD133" s="221">
        <f t="shared" si="276"/>
        <v>0</v>
      </c>
      <c r="AE133" s="221">
        <f t="shared" si="276"/>
        <v>0</v>
      </c>
      <c r="AF133" s="221">
        <f t="shared" si="276"/>
        <v>0</v>
      </c>
      <c r="AG133" s="221">
        <f t="shared" si="276"/>
        <v>0</v>
      </c>
      <c r="AH133" s="221">
        <f t="shared" si="276"/>
        <v>0</v>
      </c>
      <c r="AI133" s="223">
        <f t="shared" si="276"/>
        <v>0</v>
      </c>
      <c r="AJ133" s="221">
        <f t="shared" si="276"/>
        <v>0</v>
      </c>
      <c r="AK133" s="221">
        <f t="shared" si="276"/>
        <v>0</v>
      </c>
      <c r="AL133" s="221">
        <f t="shared" si="276"/>
        <v>0</v>
      </c>
      <c r="AM133" s="221">
        <f t="shared" si="276"/>
        <v>0</v>
      </c>
      <c r="AN133" s="221">
        <f t="shared" si="276"/>
        <v>0</v>
      </c>
      <c r="AO133" s="221">
        <f t="shared" si="276"/>
        <v>0</v>
      </c>
      <c r="AP133" s="221">
        <f t="shared" si="276"/>
        <v>0</v>
      </c>
      <c r="AQ133" s="221">
        <f t="shared" si="276"/>
        <v>0</v>
      </c>
      <c r="AR133" s="221">
        <f t="shared" si="276"/>
        <v>0</v>
      </c>
      <c r="AS133" s="221">
        <f t="shared" si="276"/>
        <v>0</v>
      </c>
      <c r="AT133" s="221">
        <f t="shared" si="276"/>
        <v>0</v>
      </c>
      <c r="AU133" s="223">
        <f t="shared" si="276"/>
        <v>0</v>
      </c>
      <c r="AV133" s="221">
        <f t="shared" si="276"/>
        <v>0</v>
      </c>
      <c r="AW133" s="221">
        <f t="shared" si="276"/>
        <v>0</v>
      </c>
      <c r="AX133" s="221">
        <f t="shared" si="276"/>
        <v>0</v>
      </c>
      <c r="AY133" s="221">
        <f t="shared" si="276"/>
        <v>0</v>
      </c>
      <c r="AZ133" s="221">
        <f t="shared" si="276"/>
        <v>0</v>
      </c>
      <c r="BA133" s="221">
        <f t="shared" si="276"/>
        <v>0</v>
      </c>
      <c r="BB133" s="221">
        <f t="shared" si="276"/>
        <v>0</v>
      </c>
      <c r="BC133" s="221">
        <f t="shared" ref="BC133:CE133" si="277">BC21</f>
        <v>0</v>
      </c>
      <c r="BD133" s="221">
        <f t="shared" si="277"/>
        <v>0</v>
      </c>
      <c r="BE133" s="221">
        <f t="shared" si="277"/>
        <v>0</v>
      </c>
      <c r="BF133" s="221">
        <f t="shared" si="277"/>
        <v>0</v>
      </c>
      <c r="BG133" s="223">
        <f t="shared" si="277"/>
        <v>0</v>
      </c>
      <c r="BH133" s="221">
        <f t="shared" si="277"/>
        <v>0</v>
      </c>
      <c r="BI133" s="221">
        <f t="shared" si="277"/>
        <v>0</v>
      </c>
      <c r="BJ133" s="221">
        <f t="shared" si="277"/>
        <v>0</v>
      </c>
      <c r="BK133" s="221">
        <f t="shared" si="277"/>
        <v>0</v>
      </c>
      <c r="BL133" s="221">
        <f t="shared" si="277"/>
        <v>0</v>
      </c>
      <c r="BM133" s="221">
        <f t="shared" si="277"/>
        <v>0</v>
      </c>
      <c r="BN133" s="221">
        <f t="shared" si="277"/>
        <v>0</v>
      </c>
      <c r="BO133" s="221">
        <f t="shared" si="277"/>
        <v>0</v>
      </c>
      <c r="BP133" s="221">
        <f t="shared" si="277"/>
        <v>0</v>
      </c>
      <c r="BQ133" s="221">
        <f t="shared" si="277"/>
        <v>0</v>
      </c>
      <c r="BR133" s="221">
        <f t="shared" si="277"/>
        <v>0</v>
      </c>
      <c r="BS133" s="223">
        <f t="shared" si="277"/>
        <v>0</v>
      </c>
      <c r="BT133" s="221">
        <f t="shared" si="277"/>
        <v>0</v>
      </c>
      <c r="BU133" s="221">
        <f t="shared" si="277"/>
        <v>0</v>
      </c>
      <c r="BV133" s="221">
        <f t="shared" si="277"/>
        <v>0</v>
      </c>
      <c r="BW133" s="221">
        <f t="shared" si="277"/>
        <v>0</v>
      </c>
      <c r="BX133" s="221">
        <f t="shared" si="277"/>
        <v>0</v>
      </c>
      <c r="BY133" s="221">
        <f t="shared" si="277"/>
        <v>0</v>
      </c>
      <c r="BZ133" s="221">
        <f t="shared" si="277"/>
        <v>0</v>
      </c>
      <c r="CA133" s="221">
        <f t="shared" si="277"/>
        <v>0</v>
      </c>
      <c r="CB133" s="221">
        <f t="shared" si="277"/>
        <v>0</v>
      </c>
      <c r="CC133" s="221">
        <f t="shared" si="277"/>
        <v>0</v>
      </c>
      <c r="CD133" s="221">
        <f t="shared" si="277"/>
        <v>0</v>
      </c>
      <c r="CE133" s="222">
        <f t="shared" si="277"/>
        <v>0</v>
      </c>
    </row>
    <row r="134" spans="16:83" x14ac:dyDescent="0.35">
      <c r="P134" s="115"/>
      <c r="Q134" s="227" t="s">
        <v>256</v>
      </c>
      <c r="R134" s="219">
        <f t="shared" si="275"/>
        <v>0</v>
      </c>
      <c r="S134" s="219">
        <f t="shared" si="275"/>
        <v>0</v>
      </c>
      <c r="T134" s="219">
        <f t="shared" si="275"/>
        <v>0</v>
      </c>
      <c r="U134" s="219">
        <f t="shared" si="275"/>
        <v>0</v>
      </c>
      <c r="V134" s="225">
        <f t="shared" si="275"/>
        <v>0</v>
      </c>
      <c r="W134" s="700">
        <f t="shared" ref="W134:BB134" si="278">W101</f>
        <v>0</v>
      </c>
      <c r="X134" s="11">
        <f t="shared" si="278"/>
        <v>0</v>
      </c>
      <c r="Y134" s="11">
        <f t="shared" si="278"/>
        <v>0</v>
      </c>
      <c r="Z134" s="11">
        <f t="shared" si="278"/>
        <v>0</v>
      </c>
      <c r="AA134" s="11">
        <f t="shared" si="278"/>
        <v>0</v>
      </c>
      <c r="AB134" s="11">
        <f t="shared" si="278"/>
        <v>0</v>
      </c>
      <c r="AC134" s="11">
        <f t="shared" si="278"/>
        <v>0</v>
      </c>
      <c r="AD134" s="11">
        <f t="shared" si="278"/>
        <v>0</v>
      </c>
      <c r="AE134" s="11">
        <f t="shared" si="278"/>
        <v>0</v>
      </c>
      <c r="AF134" s="11">
        <f t="shared" si="278"/>
        <v>0</v>
      </c>
      <c r="AG134" s="11">
        <f t="shared" si="278"/>
        <v>0</v>
      </c>
      <c r="AH134" s="11">
        <f t="shared" si="278"/>
        <v>0</v>
      </c>
      <c r="AI134" s="71">
        <f t="shared" si="278"/>
        <v>0</v>
      </c>
      <c r="AJ134" s="11">
        <f t="shared" si="278"/>
        <v>0</v>
      </c>
      <c r="AK134" s="11">
        <f t="shared" si="278"/>
        <v>0</v>
      </c>
      <c r="AL134" s="11">
        <f t="shared" si="278"/>
        <v>0</v>
      </c>
      <c r="AM134" s="11">
        <f t="shared" si="278"/>
        <v>0</v>
      </c>
      <c r="AN134" s="11">
        <f t="shared" si="278"/>
        <v>0</v>
      </c>
      <c r="AO134" s="11">
        <f t="shared" si="278"/>
        <v>0</v>
      </c>
      <c r="AP134" s="11">
        <f t="shared" si="278"/>
        <v>0</v>
      </c>
      <c r="AQ134" s="11">
        <f t="shared" si="278"/>
        <v>0</v>
      </c>
      <c r="AR134" s="11">
        <f t="shared" si="278"/>
        <v>0</v>
      </c>
      <c r="AS134" s="11">
        <f t="shared" si="278"/>
        <v>0</v>
      </c>
      <c r="AT134" s="11">
        <f t="shared" si="278"/>
        <v>0</v>
      </c>
      <c r="AU134" s="71">
        <f t="shared" si="278"/>
        <v>0</v>
      </c>
      <c r="AV134" s="11">
        <f t="shared" si="278"/>
        <v>0</v>
      </c>
      <c r="AW134" s="11">
        <f t="shared" si="278"/>
        <v>0</v>
      </c>
      <c r="AX134" s="11">
        <f t="shared" si="278"/>
        <v>0</v>
      </c>
      <c r="AY134" s="11">
        <f t="shared" si="278"/>
        <v>0</v>
      </c>
      <c r="AZ134" s="11">
        <f t="shared" si="278"/>
        <v>0</v>
      </c>
      <c r="BA134" s="11">
        <f t="shared" si="278"/>
        <v>0</v>
      </c>
      <c r="BB134" s="11">
        <f t="shared" si="278"/>
        <v>0</v>
      </c>
      <c r="BC134" s="11">
        <f t="shared" ref="BC134:CE134" si="279">BC101</f>
        <v>0</v>
      </c>
      <c r="BD134" s="11">
        <f t="shared" si="279"/>
        <v>0</v>
      </c>
      <c r="BE134" s="11">
        <f t="shared" si="279"/>
        <v>0</v>
      </c>
      <c r="BF134" s="11">
        <f t="shared" si="279"/>
        <v>0</v>
      </c>
      <c r="BG134" s="71">
        <f t="shared" si="279"/>
        <v>0</v>
      </c>
      <c r="BH134" s="11">
        <f t="shared" si="279"/>
        <v>0</v>
      </c>
      <c r="BI134" s="11">
        <f t="shared" si="279"/>
        <v>0</v>
      </c>
      <c r="BJ134" s="11">
        <f t="shared" si="279"/>
        <v>0</v>
      </c>
      <c r="BK134" s="11">
        <f t="shared" si="279"/>
        <v>0</v>
      </c>
      <c r="BL134" s="11">
        <f t="shared" si="279"/>
        <v>0</v>
      </c>
      <c r="BM134" s="11">
        <f t="shared" si="279"/>
        <v>0</v>
      </c>
      <c r="BN134" s="11">
        <f t="shared" si="279"/>
        <v>0</v>
      </c>
      <c r="BO134" s="11">
        <f t="shared" si="279"/>
        <v>0</v>
      </c>
      <c r="BP134" s="11">
        <f t="shared" si="279"/>
        <v>0</v>
      </c>
      <c r="BQ134" s="11">
        <f t="shared" si="279"/>
        <v>0</v>
      </c>
      <c r="BR134" s="11">
        <f t="shared" si="279"/>
        <v>0</v>
      </c>
      <c r="BS134" s="71">
        <f t="shared" si="279"/>
        <v>0</v>
      </c>
      <c r="BT134" s="11">
        <f t="shared" si="279"/>
        <v>0</v>
      </c>
      <c r="BU134" s="11">
        <f t="shared" si="279"/>
        <v>0</v>
      </c>
      <c r="BV134" s="11">
        <f t="shared" si="279"/>
        <v>0</v>
      </c>
      <c r="BW134" s="11">
        <f t="shared" si="279"/>
        <v>0</v>
      </c>
      <c r="BX134" s="11">
        <f t="shared" si="279"/>
        <v>0</v>
      </c>
      <c r="BY134" s="11">
        <f t="shared" si="279"/>
        <v>0</v>
      </c>
      <c r="BZ134" s="11">
        <f t="shared" si="279"/>
        <v>0</v>
      </c>
      <c r="CA134" s="11">
        <f t="shared" si="279"/>
        <v>0</v>
      </c>
      <c r="CB134" s="11">
        <f t="shared" si="279"/>
        <v>0</v>
      </c>
      <c r="CC134" s="11">
        <f t="shared" si="279"/>
        <v>0</v>
      </c>
      <c r="CD134" s="11">
        <f t="shared" si="279"/>
        <v>0</v>
      </c>
      <c r="CE134" s="88">
        <f t="shared" si="279"/>
        <v>0</v>
      </c>
    </row>
    <row r="135" spans="16:83" ht="15" thickBot="1" x14ac:dyDescent="0.4">
      <c r="P135" s="115"/>
      <c r="Q135" s="228" t="s">
        <v>268</v>
      </c>
      <c r="R135" s="673">
        <f t="shared" ref="R135:U135" si="280">SUM(R133:R134)</f>
        <v>0</v>
      </c>
      <c r="S135" s="673">
        <f t="shared" si="280"/>
        <v>0</v>
      </c>
      <c r="T135" s="673">
        <f t="shared" si="280"/>
        <v>0</v>
      </c>
      <c r="U135" s="673">
        <f t="shared" si="280"/>
        <v>0</v>
      </c>
      <c r="V135" s="674">
        <f>SUM(V133:V134)</f>
        <v>0</v>
      </c>
      <c r="W135" s="703">
        <f t="shared" ref="W135" si="281">W133+W134</f>
        <v>0</v>
      </c>
      <c r="X135" s="675">
        <f t="shared" ref="X135:BS135" si="282">X133+X134</f>
        <v>0</v>
      </c>
      <c r="Y135" s="675">
        <f t="shared" si="282"/>
        <v>0</v>
      </c>
      <c r="Z135" s="675">
        <f t="shared" si="282"/>
        <v>0</v>
      </c>
      <c r="AA135" s="675">
        <f t="shared" si="282"/>
        <v>0</v>
      </c>
      <c r="AB135" s="675">
        <f t="shared" si="282"/>
        <v>0</v>
      </c>
      <c r="AC135" s="675">
        <f t="shared" si="282"/>
        <v>0</v>
      </c>
      <c r="AD135" s="675">
        <f t="shared" si="282"/>
        <v>0</v>
      </c>
      <c r="AE135" s="675">
        <f t="shared" si="282"/>
        <v>0</v>
      </c>
      <c r="AF135" s="675">
        <f t="shared" si="282"/>
        <v>0</v>
      </c>
      <c r="AG135" s="675">
        <f t="shared" si="282"/>
        <v>0</v>
      </c>
      <c r="AH135" s="675">
        <f t="shared" si="282"/>
        <v>0</v>
      </c>
      <c r="AI135" s="676">
        <f t="shared" si="282"/>
        <v>0</v>
      </c>
      <c r="AJ135" s="675">
        <f t="shared" si="282"/>
        <v>0</v>
      </c>
      <c r="AK135" s="675">
        <f t="shared" si="282"/>
        <v>0</v>
      </c>
      <c r="AL135" s="675">
        <f t="shared" si="282"/>
        <v>0</v>
      </c>
      <c r="AM135" s="675">
        <f t="shared" si="282"/>
        <v>0</v>
      </c>
      <c r="AN135" s="675">
        <f t="shared" si="282"/>
        <v>0</v>
      </c>
      <c r="AO135" s="675">
        <f t="shared" si="282"/>
        <v>0</v>
      </c>
      <c r="AP135" s="675">
        <f t="shared" si="282"/>
        <v>0</v>
      </c>
      <c r="AQ135" s="675">
        <f t="shared" si="282"/>
        <v>0</v>
      </c>
      <c r="AR135" s="675">
        <f t="shared" si="282"/>
        <v>0</v>
      </c>
      <c r="AS135" s="675">
        <f t="shared" si="282"/>
        <v>0</v>
      </c>
      <c r="AT135" s="675">
        <f t="shared" si="282"/>
        <v>0</v>
      </c>
      <c r="AU135" s="676">
        <f t="shared" si="282"/>
        <v>0</v>
      </c>
      <c r="AV135" s="675">
        <f t="shared" si="282"/>
        <v>0</v>
      </c>
      <c r="AW135" s="675">
        <f t="shared" si="282"/>
        <v>0</v>
      </c>
      <c r="AX135" s="675">
        <f t="shared" si="282"/>
        <v>0</v>
      </c>
      <c r="AY135" s="675">
        <f t="shared" si="282"/>
        <v>0</v>
      </c>
      <c r="AZ135" s="675">
        <f t="shared" si="282"/>
        <v>0</v>
      </c>
      <c r="BA135" s="675">
        <f t="shared" si="282"/>
        <v>0</v>
      </c>
      <c r="BB135" s="675">
        <f t="shared" si="282"/>
        <v>0</v>
      </c>
      <c r="BC135" s="675">
        <f t="shared" si="282"/>
        <v>0</v>
      </c>
      <c r="BD135" s="675">
        <f t="shared" si="282"/>
        <v>0</v>
      </c>
      <c r="BE135" s="675">
        <f t="shared" si="282"/>
        <v>0</v>
      </c>
      <c r="BF135" s="675">
        <f t="shared" si="282"/>
        <v>0</v>
      </c>
      <c r="BG135" s="676">
        <f t="shared" si="282"/>
        <v>0</v>
      </c>
      <c r="BH135" s="675">
        <f t="shared" si="282"/>
        <v>0</v>
      </c>
      <c r="BI135" s="675">
        <f t="shared" si="282"/>
        <v>0</v>
      </c>
      <c r="BJ135" s="675">
        <f t="shared" si="282"/>
        <v>0</v>
      </c>
      <c r="BK135" s="675">
        <f t="shared" si="282"/>
        <v>0</v>
      </c>
      <c r="BL135" s="675">
        <f t="shared" si="282"/>
        <v>0</v>
      </c>
      <c r="BM135" s="675">
        <f t="shared" si="282"/>
        <v>0</v>
      </c>
      <c r="BN135" s="675">
        <f t="shared" si="282"/>
        <v>0</v>
      </c>
      <c r="BO135" s="675">
        <f t="shared" si="282"/>
        <v>0</v>
      </c>
      <c r="BP135" s="675">
        <f t="shared" si="282"/>
        <v>0</v>
      </c>
      <c r="BQ135" s="675">
        <f t="shared" si="282"/>
        <v>0</v>
      </c>
      <c r="BR135" s="675">
        <f t="shared" si="282"/>
        <v>0</v>
      </c>
      <c r="BS135" s="676">
        <f t="shared" si="282"/>
        <v>0</v>
      </c>
      <c r="BT135" s="675">
        <f t="shared" ref="BT135:CE135" si="283">BT133+BT134</f>
        <v>0</v>
      </c>
      <c r="BU135" s="675">
        <f t="shared" si="283"/>
        <v>0</v>
      </c>
      <c r="BV135" s="675">
        <f t="shared" si="283"/>
        <v>0</v>
      </c>
      <c r="BW135" s="675">
        <f t="shared" si="283"/>
        <v>0</v>
      </c>
      <c r="BX135" s="675">
        <f t="shared" si="283"/>
        <v>0</v>
      </c>
      <c r="BY135" s="675">
        <f t="shared" si="283"/>
        <v>0</v>
      </c>
      <c r="BZ135" s="675">
        <f t="shared" si="283"/>
        <v>0</v>
      </c>
      <c r="CA135" s="675">
        <f t="shared" si="283"/>
        <v>0</v>
      </c>
      <c r="CB135" s="675">
        <f t="shared" si="283"/>
        <v>0</v>
      </c>
      <c r="CC135" s="675">
        <f t="shared" si="283"/>
        <v>0</v>
      </c>
      <c r="CD135" s="675">
        <f t="shared" si="283"/>
        <v>0</v>
      </c>
      <c r="CE135" s="677">
        <f t="shared" si="283"/>
        <v>0</v>
      </c>
    </row>
    <row r="136" spans="16:83" x14ac:dyDescent="0.35">
      <c r="Q136" s="229" t="s">
        <v>288</v>
      </c>
      <c r="R136" s="230" t="e">
        <f>R135/'UW Model'!$H$43/12</f>
        <v>#DIV/0!</v>
      </c>
      <c r="S136" s="230" t="e">
        <f>S135/'UW Model'!$H$43/12</f>
        <v>#DIV/0!</v>
      </c>
      <c r="T136" s="231" t="e">
        <f>T135/'UW Model'!$H$43/12</f>
        <v>#DIV/0!</v>
      </c>
      <c r="U136" s="231" t="e">
        <f>U135/'UW Model'!$H$43/12</f>
        <v>#DIV/0!</v>
      </c>
      <c r="V136" s="231" t="e">
        <f>V135/'UW Model'!$H$43/12</f>
        <v>#DIV/0!</v>
      </c>
      <c r="W136" s="281"/>
      <c r="X136" s="281" t="e">
        <f>X135/'UW Model'!$H$43</f>
        <v>#DIV/0!</v>
      </c>
      <c r="Y136" s="281" t="e">
        <f>Y135/'UW Model'!$H$43</f>
        <v>#DIV/0!</v>
      </c>
      <c r="Z136" s="281" t="e">
        <f>Z135/'UW Model'!$H$43</f>
        <v>#DIV/0!</v>
      </c>
      <c r="AA136" s="281" t="e">
        <f>AA135/'UW Model'!$H$43</f>
        <v>#DIV/0!</v>
      </c>
      <c r="AB136" s="281" t="e">
        <f>AB135/'UW Model'!$H$43</f>
        <v>#DIV/0!</v>
      </c>
      <c r="AC136" s="281" t="e">
        <f>AC135/'UW Model'!$H$43</f>
        <v>#DIV/0!</v>
      </c>
      <c r="AD136" s="281" t="e">
        <f>AD135/'UW Model'!$H$43</f>
        <v>#DIV/0!</v>
      </c>
      <c r="AE136" s="281" t="e">
        <f>AE135/'UW Model'!$H$43</f>
        <v>#DIV/0!</v>
      </c>
      <c r="AF136" s="281" t="e">
        <f>AF135/'UW Model'!$H$43</f>
        <v>#DIV/0!</v>
      </c>
      <c r="AG136" s="281" t="e">
        <f>AG135/'UW Model'!$H$43</f>
        <v>#DIV/0!</v>
      </c>
      <c r="AH136" s="281" t="e">
        <f>AH135/'UW Model'!$H$43</f>
        <v>#DIV/0!</v>
      </c>
      <c r="AI136" s="281" t="e">
        <f>AI135/'UW Model'!$H$43</f>
        <v>#DIV/0!</v>
      </c>
      <c r="AJ136" s="281" t="e">
        <f>AJ135/'UW Model'!$H$43</f>
        <v>#DIV/0!</v>
      </c>
      <c r="AK136" s="281" t="e">
        <f>AK135/'UW Model'!$H$43</f>
        <v>#DIV/0!</v>
      </c>
      <c r="AL136" s="281" t="e">
        <f>AL135/'UW Model'!$H$43</f>
        <v>#DIV/0!</v>
      </c>
      <c r="AM136" s="281" t="e">
        <f>AM135/'UW Model'!$H$43</f>
        <v>#DIV/0!</v>
      </c>
      <c r="AN136" s="281" t="e">
        <f>AN135/'UW Model'!$H$43</f>
        <v>#DIV/0!</v>
      </c>
      <c r="AO136" s="281" t="e">
        <f>AO135/'UW Model'!$H$43</f>
        <v>#DIV/0!</v>
      </c>
      <c r="AP136" s="281" t="e">
        <f>AP135/'UW Model'!$H$43</f>
        <v>#DIV/0!</v>
      </c>
      <c r="AQ136" s="281" t="e">
        <f>AQ135/'UW Model'!$H$43</f>
        <v>#DIV/0!</v>
      </c>
      <c r="AR136" s="281" t="e">
        <f>AR135/'UW Model'!$H$43</f>
        <v>#DIV/0!</v>
      </c>
      <c r="AS136" s="281" t="e">
        <f>AS135/'UW Model'!$H$43</f>
        <v>#DIV/0!</v>
      </c>
      <c r="AT136" s="281" t="e">
        <f>AT135/'UW Model'!$H$43</f>
        <v>#DIV/0!</v>
      </c>
      <c r="AU136" s="281" t="e">
        <f>AU135/'UW Model'!$H$43</f>
        <v>#DIV/0!</v>
      </c>
      <c r="AV136" s="281" t="e">
        <f>AV135/'UW Model'!$H$43</f>
        <v>#DIV/0!</v>
      </c>
      <c r="AW136" s="281" t="e">
        <f>AW135/'UW Model'!$H$43</f>
        <v>#DIV/0!</v>
      </c>
      <c r="AX136" s="281" t="e">
        <f>AX135/'UW Model'!$H$43</f>
        <v>#DIV/0!</v>
      </c>
      <c r="AY136" s="281" t="e">
        <f>AY135/'UW Model'!$H$43</f>
        <v>#DIV/0!</v>
      </c>
      <c r="AZ136" s="281" t="e">
        <f>AZ135/'UW Model'!$H$43</f>
        <v>#DIV/0!</v>
      </c>
      <c r="BA136" s="281" t="e">
        <f>BA135/'UW Model'!$H$43</f>
        <v>#DIV/0!</v>
      </c>
      <c r="BB136" s="281" t="e">
        <f>BB135/'UW Model'!$H$43</f>
        <v>#DIV/0!</v>
      </c>
      <c r="BC136" s="281" t="e">
        <f>BC135/'UW Model'!$H$43</f>
        <v>#DIV/0!</v>
      </c>
      <c r="BD136" s="281" t="e">
        <f>BD135/'UW Model'!$H$43</f>
        <v>#DIV/0!</v>
      </c>
      <c r="BE136" s="281" t="e">
        <f>BE135/'UW Model'!$H$43</f>
        <v>#DIV/0!</v>
      </c>
      <c r="BF136" s="281" t="e">
        <f>BF135/'UW Model'!$H$43</f>
        <v>#DIV/0!</v>
      </c>
      <c r="BG136" s="281" t="e">
        <f>BG135/'UW Model'!$H$43</f>
        <v>#DIV/0!</v>
      </c>
      <c r="BH136" s="281" t="e">
        <f>BH135/'UW Model'!$H$43</f>
        <v>#DIV/0!</v>
      </c>
      <c r="BI136" s="281" t="e">
        <f>BI135/'UW Model'!$H$43</f>
        <v>#DIV/0!</v>
      </c>
      <c r="BJ136" s="281" t="e">
        <f>BJ135/'UW Model'!$H$43</f>
        <v>#DIV/0!</v>
      </c>
      <c r="BK136" s="281" t="e">
        <f>BK135/'UW Model'!$H$43</f>
        <v>#DIV/0!</v>
      </c>
      <c r="BL136" s="281" t="e">
        <f>BL135/'UW Model'!$H$43</f>
        <v>#DIV/0!</v>
      </c>
      <c r="BM136" s="281" t="e">
        <f>BM135/'UW Model'!$H$43</f>
        <v>#DIV/0!</v>
      </c>
      <c r="BN136" s="281" t="e">
        <f>BN135/'UW Model'!$H$43</f>
        <v>#DIV/0!</v>
      </c>
      <c r="BO136" s="281" t="e">
        <f>BO135/'UW Model'!$H$43</f>
        <v>#DIV/0!</v>
      </c>
      <c r="BP136" s="281" t="e">
        <f>BP135/'UW Model'!$H$43</f>
        <v>#DIV/0!</v>
      </c>
      <c r="BQ136" s="281" t="e">
        <f>BQ135/'UW Model'!$H$43</f>
        <v>#DIV/0!</v>
      </c>
      <c r="BR136" s="281" t="e">
        <f>BR135/'UW Model'!$H$43</f>
        <v>#DIV/0!</v>
      </c>
      <c r="BS136" s="281" t="e">
        <f>BS135/'UW Model'!$H$43</f>
        <v>#DIV/0!</v>
      </c>
      <c r="BT136" s="281" t="e">
        <f>BT135/'UW Model'!$H$43</f>
        <v>#DIV/0!</v>
      </c>
      <c r="BU136" s="281" t="e">
        <f>BU135/'UW Model'!$H$43</f>
        <v>#DIV/0!</v>
      </c>
      <c r="BV136" s="281" t="e">
        <f>BV135/'UW Model'!$H$43</f>
        <v>#DIV/0!</v>
      </c>
      <c r="BW136" s="281" t="e">
        <f>BW135/'UW Model'!$H$43</f>
        <v>#DIV/0!</v>
      </c>
      <c r="BX136" s="281" t="e">
        <f>BX135/'UW Model'!$H$43</f>
        <v>#DIV/0!</v>
      </c>
      <c r="BY136" s="281" t="e">
        <f>BY135/'UW Model'!$H$43</f>
        <v>#DIV/0!</v>
      </c>
      <c r="BZ136" s="281" t="e">
        <f>BZ135/'UW Model'!$H$43</f>
        <v>#DIV/0!</v>
      </c>
      <c r="CA136" s="281" t="e">
        <f>CA135/'UW Model'!$H$43</f>
        <v>#DIV/0!</v>
      </c>
      <c r="CB136" s="281" t="e">
        <f>CB135/'UW Model'!$H$43</f>
        <v>#DIV/0!</v>
      </c>
      <c r="CC136" s="281" t="e">
        <f>CC135/'UW Model'!$H$43</f>
        <v>#DIV/0!</v>
      </c>
      <c r="CD136" s="281" t="e">
        <f>CD135/'UW Model'!$H$43</f>
        <v>#DIV/0!</v>
      </c>
      <c r="CE136" s="281" t="e">
        <f>CE135/'UW Model'!$H$43</f>
        <v>#DIV/0!</v>
      </c>
    </row>
    <row r="137" spans="16:83" x14ac:dyDescent="0.35">
      <c r="Q137" s="660" t="s">
        <v>260</v>
      </c>
      <c r="R137" s="792" t="e">
        <f>R136/('UW Model'!$I$48/12)-1</f>
        <v>#DIV/0!</v>
      </c>
      <c r="S137" s="792" t="e">
        <f>S136/R136-1</f>
        <v>#DIV/0!</v>
      </c>
      <c r="T137" s="694" t="e">
        <f>T136/S136-1</f>
        <v>#DIV/0!</v>
      </c>
      <c r="U137" s="694" t="e">
        <f>U136/T136-1</f>
        <v>#DIV/0!</v>
      </c>
      <c r="V137" s="694" t="e">
        <f>V136/U136-1</f>
        <v>#DIV/0!</v>
      </c>
    </row>
    <row r="138" spans="16:83" x14ac:dyDescent="0.35">
      <c r="Q138" s="229" t="s">
        <v>287</v>
      </c>
      <c r="R138" s="231" t="e">
        <f t="shared" ref="R138:U138" si="284">_xlfn.MAXIFS($X136:$CE136,$X$2:$CE$2,R$2)</f>
        <v>#DIV/0!</v>
      </c>
      <c r="S138" s="231" t="e">
        <f t="shared" si="284"/>
        <v>#DIV/0!</v>
      </c>
      <c r="T138" s="231" t="e">
        <f t="shared" si="284"/>
        <v>#DIV/0!</v>
      </c>
      <c r="U138" s="231" t="e">
        <f t="shared" si="284"/>
        <v>#DIV/0!</v>
      </c>
      <c r="V138" s="231" t="e">
        <f>_xlfn.MAXIFS($X136:$CE136,$X$2:$CE$2,V$2)</f>
        <v>#DIV/0!</v>
      </c>
      <c r="W138" s="281"/>
      <c r="X138" s="281" t="e">
        <f>X137/'UW Model'!$H$43</f>
        <v>#DIV/0!</v>
      </c>
      <c r="Y138" s="281" t="e">
        <f>Y137/'UW Model'!$H$43</f>
        <v>#DIV/0!</v>
      </c>
      <c r="Z138" s="281" t="e">
        <f>Z137/'UW Model'!$H$43</f>
        <v>#DIV/0!</v>
      </c>
      <c r="AA138" s="281" t="e">
        <f>AA137/'UW Model'!$H$43</f>
        <v>#DIV/0!</v>
      </c>
      <c r="AB138" s="281" t="e">
        <f>AB137/'UW Model'!$H$43</f>
        <v>#DIV/0!</v>
      </c>
      <c r="AC138" s="281" t="e">
        <f>AC137/'UW Model'!$H$43</f>
        <v>#DIV/0!</v>
      </c>
      <c r="AD138" s="281" t="e">
        <f>AD137/'UW Model'!$H$43</f>
        <v>#DIV/0!</v>
      </c>
      <c r="AE138" s="281" t="e">
        <f>AE137/'UW Model'!$H$43</f>
        <v>#DIV/0!</v>
      </c>
      <c r="AF138" s="281" t="e">
        <f>AF137/'UW Model'!$H$43</f>
        <v>#DIV/0!</v>
      </c>
      <c r="AG138" s="281" t="e">
        <f>AG137/'UW Model'!$H$43</f>
        <v>#DIV/0!</v>
      </c>
      <c r="AH138" s="281" t="e">
        <f>AH137/'UW Model'!$H$43</f>
        <v>#DIV/0!</v>
      </c>
      <c r="AI138" s="281" t="e">
        <f>AI137/'UW Model'!$H$43</f>
        <v>#DIV/0!</v>
      </c>
      <c r="AJ138" s="281" t="e">
        <f>AJ137/'UW Model'!$H$43</f>
        <v>#DIV/0!</v>
      </c>
      <c r="AK138" s="281" t="e">
        <f>AK137/'UW Model'!$H$43</f>
        <v>#DIV/0!</v>
      </c>
      <c r="AL138" s="281" t="e">
        <f>AL137/'UW Model'!$H$43</f>
        <v>#DIV/0!</v>
      </c>
      <c r="AM138" s="281" t="e">
        <f>AM137/'UW Model'!$H$43</f>
        <v>#DIV/0!</v>
      </c>
      <c r="AN138" s="281" t="e">
        <f>AN137/'UW Model'!$H$43</f>
        <v>#DIV/0!</v>
      </c>
      <c r="AO138" s="281" t="e">
        <f>AO137/'UW Model'!$H$43</f>
        <v>#DIV/0!</v>
      </c>
      <c r="AP138" s="281" t="e">
        <f>AP137/'UW Model'!$H$43</f>
        <v>#DIV/0!</v>
      </c>
      <c r="AQ138" s="281" t="e">
        <f>AQ137/'UW Model'!$H$43</f>
        <v>#DIV/0!</v>
      </c>
      <c r="AR138" s="281" t="e">
        <f>AR137/'UW Model'!$H$43</f>
        <v>#DIV/0!</v>
      </c>
      <c r="AS138" s="281" t="e">
        <f>AS137/'UW Model'!$H$43</f>
        <v>#DIV/0!</v>
      </c>
      <c r="AT138" s="281" t="e">
        <f>AT137/'UW Model'!$H$43</f>
        <v>#DIV/0!</v>
      </c>
      <c r="AU138" s="281" t="e">
        <f>AU137/'UW Model'!$H$43</f>
        <v>#DIV/0!</v>
      </c>
      <c r="AV138" s="281" t="e">
        <f>AV137/'UW Model'!$H$43</f>
        <v>#DIV/0!</v>
      </c>
      <c r="AW138" s="281" t="e">
        <f>AW137/'UW Model'!$H$43</f>
        <v>#DIV/0!</v>
      </c>
      <c r="AX138" s="281" t="e">
        <f>AX137/'UW Model'!$H$43</f>
        <v>#DIV/0!</v>
      </c>
      <c r="AY138" s="281" t="e">
        <f>AY137/'UW Model'!$H$43</f>
        <v>#DIV/0!</v>
      </c>
      <c r="AZ138" s="281" t="e">
        <f>AZ137/'UW Model'!$H$43</f>
        <v>#DIV/0!</v>
      </c>
      <c r="BA138" s="281" t="e">
        <f>BA137/'UW Model'!$H$43</f>
        <v>#DIV/0!</v>
      </c>
      <c r="BB138" s="281" t="e">
        <f>BB137/'UW Model'!$H$43</f>
        <v>#DIV/0!</v>
      </c>
      <c r="BC138" s="281" t="e">
        <f>BC137/'UW Model'!$H$43</f>
        <v>#DIV/0!</v>
      </c>
      <c r="BD138" s="281" t="e">
        <f>BD137/'UW Model'!$H$43</f>
        <v>#DIV/0!</v>
      </c>
      <c r="BE138" s="281" t="e">
        <f>BE137/'UW Model'!$H$43</f>
        <v>#DIV/0!</v>
      </c>
      <c r="BF138" s="281" t="e">
        <f>BF137/'UW Model'!$H$43</f>
        <v>#DIV/0!</v>
      </c>
      <c r="BG138" s="281" t="e">
        <f>BG137/'UW Model'!$H$43</f>
        <v>#DIV/0!</v>
      </c>
      <c r="BH138" s="281" t="e">
        <f>BH137/'UW Model'!$H$43</f>
        <v>#DIV/0!</v>
      </c>
      <c r="BI138" s="281" t="e">
        <f>BI137/'UW Model'!$H$43</f>
        <v>#DIV/0!</v>
      </c>
      <c r="BJ138" s="281" t="e">
        <f>BJ137/'UW Model'!$H$43</f>
        <v>#DIV/0!</v>
      </c>
      <c r="BK138" s="281" t="e">
        <f>BK137/'UW Model'!$H$43</f>
        <v>#DIV/0!</v>
      </c>
      <c r="BL138" s="281" t="e">
        <f>BL137/'UW Model'!$H$43</f>
        <v>#DIV/0!</v>
      </c>
      <c r="BM138" s="281" t="e">
        <f>BM137/'UW Model'!$H$43</f>
        <v>#DIV/0!</v>
      </c>
      <c r="BN138" s="281" t="e">
        <f>BN137/'UW Model'!$H$43</f>
        <v>#DIV/0!</v>
      </c>
      <c r="BO138" s="281" t="e">
        <f>BO137/'UW Model'!$H$43</f>
        <v>#DIV/0!</v>
      </c>
      <c r="BP138" s="281" t="e">
        <f>BP137/'UW Model'!$H$43</f>
        <v>#DIV/0!</v>
      </c>
      <c r="BQ138" s="281" t="e">
        <f>BQ137/'UW Model'!$H$43</f>
        <v>#DIV/0!</v>
      </c>
      <c r="BR138" s="281" t="e">
        <f>BR137/'UW Model'!$H$43</f>
        <v>#DIV/0!</v>
      </c>
      <c r="BS138" s="281" t="e">
        <f>BS137/'UW Model'!$H$43</f>
        <v>#DIV/0!</v>
      </c>
      <c r="BT138" s="281" t="e">
        <f>BT137/'UW Model'!$H$43</f>
        <v>#DIV/0!</v>
      </c>
      <c r="BU138" s="281" t="e">
        <f>BU137/'UW Model'!$H$43</f>
        <v>#DIV/0!</v>
      </c>
      <c r="BV138" s="281" t="e">
        <f>BV137/'UW Model'!$H$43</f>
        <v>#DIV/0!</v>
      </c>
      <c r="BW138" s="281" t="e">
        <f>BW137/'UW Model'!$H$43</f>
        <v>#DIV/0!</v>
      </c>
      <c r="BX138" s="281" t="e">
        <f>BX137/'UW Model'!$H$43</f>
        <v>#DIV/0!</v>
      </c>
      <c r="BY138" s="281" t="e">
        <f>BY137/'UW Model'!$H$43</f>
        <v>#DIV/0!</v>
      </c>
      <c r="BZ138" s="281" t="e">
        <f>BZ137/'UW Model'!$H$43</f>
        <v>#DIV/0!</v>
      </c>
      <c r="CA138" s="281" t="e">
        <f>CA137/'UW Model'!$H$43</f>
        <v>#DIV/0!</v>
      </c>
      <c r="CB138" s="281" t="e">
        <f>CB137/'UW Model'!$H$43</f>
        <v>#DIV/0!</v>
      </c>
      <c r="CC138" s="281" t="e">
        <f>CC137/'UW Model'!$H$43</f>
        <v>#DIV/0!</v>
      </c>
      <c r="CD138" s="281" t="e">
        <f>CD137/'UW Model'!$H$43</f>
        <v>#DIV/0!</v>
      </c>
      <c r="CE138" s="281" t="e">
        <f>CE137/'UW Model'!$H$43</f>
        <v>#DIV/0!</v>
      </c>
    </row>
    <row r="139" spans="16:83" x14ac:dyDescent="0.35">
      <c r="Q139" s="660" t="s">
        <v>260</v>
      </c>
      <c r="R139" s="694" t="e">
        <f>R138/('UW Model'!$I$48/12)-1</f>
        <v>#DIV/0!</v>
      </c>
      <c r="S139" s="694" t="e">
        <f>S138/R138-1</f>
        <v>#DIV/0!</v>
      </c>
      <c r="T139" s="694" t="e">
        <f>T138/S138-1</f>
        <v>#DIV/0!</v>
      </c>
      <c r="U139" s="694" t="e">
        <f>U138/T138-1</f>
        <v>#DIV/0!</v>
      </c>
      <c r="V139" s="694" t="e">
        <f>V138/U138-1</f>
        <v>#DIV/0!</v>
      </c>
    </row>
    <row r="140" spans="16:83" ht="15" thickBot="1" x14ac:dyDescent="0.4">
      <c r="Q140" s="280"/>
    </row>
    <row r="141" spans="16:83" ht="15" thickBot="1" x14ac:dyDescent="0.4">
      <c r="P141" s="934" t="s">
        <v>274</v>
      </c>
      <c r="Q141" s="671"/>
      <c r="R141" s="686">
        <f>R$2</f>
        <v>1</v>
      </c>
      <c r="S141" s="687">
        <f>S$2</f>
        <v>2</v>
      </c>
      <c r="T141" s="687">
        <f>T$2</f>
        <v>3</v>
      </c>
      <c r="U141" s="687">
        <f>U$2</f>
        <v>4</v>
      </c>
      <c r="V141" s="688">
        <f>V$2</f>
        <v>5</v>
      </c>
      <c r="W141" s="704">
        <v>0</v>
      </c>
      <c r="X141" s="670">
        <v>1</v>
      </c>
      <c r="Y141" s="670">
        <v>2</v>
      </c>
      <c r="Z141" s="670">
        <v>3</v>
      </c>
      <c r="AA141" s="670">
        <v>4</v>
      </c>
      <c r="AB141" s="670">
        <v>5</v>
      </c>
      <c r="AC141" s="670">
        <v>6</v>
      </c>
      <c r="AD141" s="670">
        <v>7</v>
      </c>
      <c r="AE141" s="670">
        <v>8</v>
      </c>
      <c r="AF141" s="670">
        <v>9</v>
      </c>
      <c r="AG141" s="670">
        <v>10</v>
      </c>
      <c r="AH141" s="670">
        <v>11</v>
      </c>
      <c r="AI141" s="671">
        <v>12</v>
      </c>
      <c r="AJ141" s="669">
        <v>13</v>
      </c>
      <c r="AK141" s="670">
        <v>14</v>
      </c>
      <c r="AL141" s="670">
        <v>15</v>
      </c>
      <c r="AM141" s="670">
        <v>16</v>
      </c>
      <c r="AN141" s="670">
        <v>17</v>
      </c>
      <c r="AO141" s="670">
        <v>18</v>
      </c>
      <c r="AP141" s="670">
        <v>19</v>
      </c>
      <c r="AQ141" s="670">
        <v>20</v>
      </c>
      <c r="AR141" s="670">
        <v>21</v>
      </c>
      <c r="AS141" s="670">
        <v>22</v>
      </c>
      <c r="AT141" s="670">
        <v>23</v>
      </c>
      <c r="AU141" s="671">
        <v>24</v>
      </c>
      <c r="AV141" s="670">
        <v>25</v>
      </c>
      <c r="AW141" s="670">
        <v>26</v>
      </c>
      <c r="AX141" s="670">
        <v>27</v>
      </c>
      <c r="AY141" s="670">
        <v>28</v>
      </c>
      <c r="AZ141" s="670">
        <v>29</v>
      </c>
      <c r="BA141" s="670">
        <v>30</v>
      </c>
      <c r="BB141" s="670">
        <v>31</v>
      </c>
      <c r="BC141" s="670">
        <v>32</v>
      </c>
      <c r="BD141" s="670">
        <v>33</v>
      </c>
      <c r="BE141" s="670">
        <v>34</v>
      </c>
      <c r="BF141" s="670">
        <v>35</v>
      </c>
      <c r="BG141" s="671">
        <v>36</v>
      </c>
      <c r="BH141" s="670">
        <f t="shared" ref="BH141:BS141" si="285">BG141+1</f>
        <v>37</v>
      </c>
      <c r="BI141" s="670">
        <f t="shared" si="285"/>
        <v>38</v>
      </c>
      <c r="BJ141" s="670">
        <f t="shared" si="285"/>
        <v>39</v>
      </c>
      <c r="BK141" s="670">
        <f t="shared" si="285"/>
        <v>40</v>
      </c>
      <c r="BL141" s="670">
        <f t="shared" si="285"/>
        <v>41</v>
      </c>
      <c r="BM141" s="670">
        <f t="shared" si="285"/>
        <v>42</v>
      </c>
      <c r="BN141" s="670">
        <f t="shared" si="285"/>
        <v>43</v>
      </c>
      <c r="BO141" s="670">
        <f t="shared" si="285"/>
        <v>44</v>
      </c>
      <c r="BP141" s="670">
        <f t="shared" si="285"/>
        <v>45</v>
      </c>
      <c r="BQ141" s="670">
        <f t="shared" si="285"/>
        <v>46</v>
      </c>
      <c r="BR141" s="670">
        <f t="shared" si="285"/>
        <v>47</v>
      </c>
      <c r="BS141" s="671">
        <f t="shared" si="285"/>
        <v>48</v>
      </c>
      <c r="BT141" s="670">
        <f t="shared" ref="BT141" si="286">BS141+1</f>
        <v>49</v>
      </c>
      <c r="BU141" s="670">
        <f t="shared" ref="BU141" si="287">BT141+1</f>
        <v>50</v>
      </c>
      <c r="BV141" s="670">
        <f t="shared" ref="BV141" si="288">BU141+1</f>
        <v>51</v>
      </c>
      <c r="BW141" s="670">
        <f t="shared" ref="BW141" si="289">BV141+1</f>
        <v>52</v>
      </c>
      <c r="BX141" s="670">
        <f t="shared" ref="BX141" si="290">BW141+1</f>
        <v>53</v>
      </c>
      <c r="BY141" s="670">
        <f t="shared" ref="BY141" si="291">BX141+1</f>
        <v>54</v>
      </c>
      <c r="BZ141" s="670">
        <f t="shared" ref="BZ141" si="292">BY141+1</f>
        <v>55</v>
      </c>
      <c r="CA141" s="670">
        <f t="shared" ref="CA141" si="293">BZ141+1</f>
        <v>56</v>
      </c>
      <c r="CB141" s="670">
        <f t="shared" ref="CB141" si="294">CA141+1</f>
        <v>57</v>
      </c>
      <c r="CC141" s="670">
        <f t="shared" ref="CC141" si="295">CB141+1</f>
        <v>58</v>
      </c>
      <c r="CD141" s="670">
        <f t="shared" ref="CD141" si="296">CC141+1</f>
        <v>59</v>
      </c>
      <c r="CE141" s="672">
        <f t="shared" ref="CE141" si="297">CD141+1</f>
        <v>60</v>
      </c>
    </row>
    <row r="142" spans="16:83" x14ac:dyDescent="0.35">
      <c r="P142" s="935"/>
      <c r="Q142" s="727" t="s">
        <v>257</v>
      </c>
      <c r="R142" s="219">
        <f>'UW Model'!$V$8-R143</f>
        <v>0</v>
      </c>
      <c r="S142" s="219">
        <f>'UW Model'!$V$8-S143</f>
        <v>0</v>
      </c>
      <c r="T142" s="219">
        <f>'UW Model'!$V$8-T143</f>
        <v>0</v>
      </c>
      <c r="U142" s="219">
        <f>'UW Model'!$V$8-U143</f>
        <v>0</v>
      </c>
      <c r="V142" s="225">
        <f>'UW Model'!$V$8-V143</f>
        <v>0</v>
      </c>
      <c r="W142" s="698">
        <f>'UW Model'!U8</f>
        <v>0</v>
      </c>
      <c r="X142" s="190">
        <f>'UW Model'!V8</f>
        <v>0</v>
      </c>
      <c r="Y142" s="683">
        <f>IF(X142-(Y143-X143)&lt;0,0,X142-(Y143-X143))</f>
        <v>0</v>
      </c>
      <c r="Z142" s="683">
        <f t="shared" ref="Z142:BS142" si="298">IF(Y142-(Z143-Y143)&lt;0,0,Y142-(Z143-Y143))</f>
        <v>0</v>
      </c>
      <c r="AA142" s="683">
        <f t="shared" si="298"/>
        <v>0</v>
      </c>
      <c r="AB142" s="683">
        <f t="shared" si="298"/>
        <v>0</v>
      </c>
      <c r="AC142" s="683">
        <f t="shared" si="298"/>
        <v>0</v>
      </c>
      <c r="AD142" s="190">
        <f t="shared" si="298"/>
        <v>0</v>
      </c>
      <c r="AE142" s="190">
        <f t="shared" si="298"/>
        <v>0</v>
      </c>
      <c r="AF142" s="190">
        <f t="shared" si="298"/>
        <v>0</v>
      </c>
      <c r="AG142" s="190">
        <f t="shared" si="298"/>
        <v>0</v>
      </c>
      <c r="AH142" s="190">
        <f t="shared" si="298"/>
        <v>0</v>
      </c>
      <c r="AI142" s="192">
        <f t="shared" si="298"/>
        <v>0</v>
      </c>
      <c r="AJ142" s="193">
        <f t="shared" si="298"/>
        <v>0</v>
      </c>
      <c r="AK142" s="190">
        <f t="shared" si="298"/>
        <v>0</v>
      </c>
      <c r="AL142" s="190">
        <f t="shared" si="298"/>
        <v>0</v>
      </c>
      <c r="AM142" s="190">
        <f t="shared" si="298"/>
        <v>0</v>
      </c>
      <c r="AN142" s="190">
        <f t="shared" si="298"/>
        <v>0</v>
      </c>
      <c r="AO142" s="190">
        <f t="shared" si="298"/>
        <v>0</v>
      </c>
      <c r="AP142" s="190">
        <f t="shared" si="298"/>
        <v>0</v>
      </c>
      <c r="AQ142" s="190">
        <f t="shared" si="298"/>
        <v>0</v>
      </c>
      <c r="AR142" s="190">
        <f t="shared" si="298"/>
        <v>0</v>
      </c>
      <c r="AS142" s="190">
        <f t="shared" si="298"/>
        <v>0</v>
      </c>
      <c r="AT142" s="190">
        <f t="shared" si="298"/>
        <v>0</v>
      </c>
      <c r="AU142" s="192">
        <f t="shared" si="298"/>
        <v>0</v>
      </c>
      <c r="AV142" s="190">
        <f t="shared" si="298"/>
        <v>0</v>
      </c>
      <c r="AW142" s="190">
        <f t="shared" si="298"/>
        <v>0</v>
      </c>
      <c r="AX142" s="190">
        <f t="shared" si="298"/>
        <v>0</v>
      </c>
      <c r="AY142" s="190">
        <f t="shared" si="298"/>
        <v>0</v>
      </c>
      <c r="AZ142" s="190">
        <f t="shared" si="298"/>
        <v>0</v>
      </c>
      <c r="BA142" s="190">
        <f t="shared" si="298"/>
        <v>0</v>
      </c>
      <c r="BB142" s="190">
        <f t="shared" si="298"/>
        <v>0</v>
      </c>
      <c r="BC142" s="190">
        <f t="shared" si="298"/>
        <v>0</v>
      </c>
      <c r="BD142" s="190">
        <f t="shared" si="298"/>
        <v>0</v>
      </c>
      <c r="BE142" s="190">
        <f t="shared" si="298"/>
        <v>0</v>
      </c>
      <c r="BF142" s="190">
        <f t="shared" si="298"/>
        <v>0</v>
      </c>
      <c r="BG142" s="192">
        <f t="shared" si="298"/>
        <v>0</v>
      </c>
      <c r="BH142" s="190">
        <f t="shared" si="298"/>
        <v>0</v>
      </c>
      <c r="BI142" s="190">
        <f t="shared" si="298"/>
        <v>0</v>
      </c>
      <c r="BJ142" s="190">
        <f t="shared" si="298"/>
        <v>0</v>
      </c>
      <c r="BK142" s="190">
        <f t="shared" si="298"/>
        <v>0</v>
      </c>
      <c r="BL142" s="190">
        <f t="shared" si="298"/>
        <v>0</v>
      </c>
      <c r="BM142" s="190">
        <f t="shared" si="298"/>
        <v>0</v>
      </c>
      <c r="BN142" s="190">
        <f t="shared" si="298"/>
        <v>0</v>
      </c>
      <c r="BO142" s="190">
        <f t="shared" si="298"/>
        <v>0</v>
      </c>
      <c r="BP142" s="190">
        <f t="shared" si="298"/>
        <v>0</v>
      </c>
      <c r="BQ142" s="190">
        <f t="shared" si="298"/>
        <v>0</v>
      </c>
      <c r="BR142" s="190">
        <f t="shared" si="298"/>
        <v>0</v>
      </c>
      <c r="BS142" s="192">
        <f t="shared" si="298"/>
        <v>0</v>
      </c>
      <c r="BT142" s="190">
        <f t="shared" ref="BT142" si="299">IF(BS142-(BT143-BS143)&lt;0,0,BS142-(BT143-BS143))</f>
        <v>0</v>
      </c>
      <c r="BU142" s="190">
        <f t="shared" ref="BU142" si="300">IF(BT142-(BU143-BT143)&lt;0,0,BT142-(BU143-BT143))</f>
        <v>0</v>
      </c>
      <c r="BV142" s="190">
        <f t="shared" ref="BV142" si="301">IF(BU142-(BV143-BU143)&lt;0,0,BU142-(BV143-BU143))</f>
        <v>0</v>
      </c>
      <c r="BW142" s="190">
        <f t="shared" ref="BW142" si="302">IF(BV142-(BW143-BV143)&lt;0,0,BV142-(BW143-BV143))</f>
        <v>0</v>
      </c>
      <c r="BX142" s="190">
        <f t="shared" ref="BX142" si="303">IF(BW142-(BX143-BW143)&lt;0,0,BW142-(BX143-BW143))</f>
        <v>0</v>
      </c>
      <c r="BY142" s="190">
        <f t="shared" ref="BY142" si="304">IF(BX142-(BY143-BX143)&lt;0,0,BX142-(BY143-BX143))</f>
        <v>0</v>
      </c>
      <c r="BZ142" s="190">
        <f t="shared" ref="BZ142" si="305">IF(BY142-(BZ143-BY143)&lt;0,0,BY142-(BZ143-BY143))</f>
        <v>0</v>
      </c>
      <c r="CA142" s="190">
        <f t="shared" ref="CA142" si="306">IF(BZ142-(CA143-BZ143)&lt;0,0,BZ142-(CA143-BZ143))</f>
        <v>0</v>
      </c>
      <c r="CB142" s="190">
        <f t="shared" ref="CB142" si="307">IF(CA142-(CB143-CA143)&lt;0,0,CA142-(CB143-CA143))</f>
        <v>0</v>
      </c>
      <c r="CC142" s="190">
        <f t="shared" ref="CC142" si="308">IF(CB142-(CC143-CB143)&lt;0,0,CB142-(CC143-CB143))</f>
        <v>0</v>
      </c>
      <c r="CD142" s="190">
        <f t="shared" ref="CD142" si="309">IF(CC142-(CD143-CC143)&lt;0,0,CC142-(CD143-CC143))</f>
        <v>0</v>
      </c>
      <c r="CE142" s="195">
        <f t="shared" ref="CE142" si="310">IF(CD142-(CE143-CD143)&lt;0,0,CD142-(CE143-CD143))</f>
        <v>0</v>
      </c>
    </row>
    <row r="143" spans="16:83" x14ac:dyDescent="0.35">
      <c r="P143" s="935"/>
      <c r="Q143" s="728" t="s">
        <v>204</v>
      </c>
      <c r="R143" s="219">
        <f>MAX(X143:AI143)</f>
        <v>0</v>
      </c>
      <c r="S143" s="219">
        <f>MAX(AJ143:AU143)</f>
        <v>0</v>
      </c>
      <c r="T143" s="219">
        <f>MAX(AV143:BG143)</f>
        <v>0</v>
      </c>
      <c r="U143" s="219">
        <f>MAX(AW143:BH143)</f>
        <v>0</v>
      </c>
      <c r="V143" s="225">
        <f>MAX(AX143:BI143)</f>
        <v>0</v>
      </c>
      <c r="W143" s="698">
        <v>0</v>
      </c>
      <c r="X143" s="190">
        <v>0</v>
      </c>
      <c r="Y143" s="683">
        <v>0</v>
      </c>
      <c r="Z143" s="683">
        <f>IF(AND(Z$3&gt;'UW Model'!$O$14+1,Z$3&lt;='UW Model'!$O$15),'UW Model'!$O$43/('UW Model'!$O$15-'UW Model'!$O$14-1)+Y143,Y143)</f>
        <v>0</v>
      </c>
      <c r="AA143" s="683">
        <f>IF(AND(AA$3&gt;'UW Model'!$O$14+1,AA$3&lt;='UW Model'!$O$15),'UW Model'!$O$43/('UW Model'!$O$15-'UW Model'!$O$14-1)+Z143,Z143)</f>
        <v>0</v>
      </c>
      <c r="AB143" s="683">
        <f>IF(AND(AB$3&gt;'UW Model'!$O$14+1,AB$3&lt;='UW Model'!$O$15),'UW Model'!$O$43/('UW Model'!$O$15-'UW Model'!$O$14-1)+AA143,AA143)</f>
        <v>0</v>
      </c>
      <c r="AC143" s="683">
        <f>IF(AND(AC$3&gt;'UW Model'!$O$14+1,AC$3&lt;='UW Model'!$O$15),'UW Model'!$O$43/('UW Model'!$O$15-'UW Model'!$O$14-1)+AB143,AB143)</f>
        <v>0</v>
      </c>
      <c r="AD143" s="190">
        <f>IF(AND(AD$3&gt;'UW Model'!$O$14+1,AD$3&lt;='UW Model'!$O$15),'UW Model'!$O$43/('UW Model'!$O$15-'UW Model'!$O$14-1)+AC143,AC143)</f>
        <v>0</v>
      </c>
      <c r="AE143" s="190">
        <f>IF(AND(AE$3&gt;'UW Model'!$O$14+1,AE$3&lt;='UW Model'!$O$15),'UW Model'!$O$43/('UW Model'!$O$15-'UW Model'!$O$14-1)+AD143,AD143)</f>
        <v>0</v>
      </c>
      <c r="AF143" s="190">
        <f>IF(AND(AF$3&gt;'UW Model'!$O$14+1,AF$3&lt;='UW Model'!$O$15),'UW Model'!$O$43/('UW Model'!$O$15-'UW Model'!$O$14-1)+AE143,AE143)</f>
        <v>0</v>
      </c>
      <c r="AG143" s="190">
        <f>IF(AND(AG$3&gt;'UW Model'!$O$14+1,AG$3&lt;='UW Model'!$O$15),'UW Model'!$O$43/('UW Model'!$O$15-'UW Model'!$O$14-1)+AF143,AF143)</f>
        <v>0</v>
      </c>
      <c r="AH143" s="190">
        <f>IF(AND(AH$3&gt;'UW Model'!$O$14+1,AH$3&lt;='UW Model'!$O$15),'UW Model'!$O$43/('UW Model'!$O$15-'UW Model'!$O$14-1)+AG143,AG143)</f>
        <v>0</v>
      </c>
      <c r="AI143" s="192">
        <f>IF(AND(AI$3&gt;'UW Model'!$O$14+1,AI$3&lt;='UW Model'!$O$15),'UW Model'!$O$43/('UW Model'!$O$15-'UW Model'!$O$14-1)+AH143,AH143)</f>
        <v>0</v>
      </c>
      <c r="AJ143" s="193">
        <f>IF(AND(AJ$3&gt;'UW Model'!$O$14+1,AJ$3&lt;='UW Model'!$O$15),'UW Model'!$O$43/('UW Model'!$O$15-'UW Model'!$O$14-1)+AI143,AI143)</f>
        <v>0</v>
      </c>
      <c r="AK143" s="190">
        <f>IF(AND(AK$3&gt;'UW Model'!$O$14+1,AK$3&lt;='UW Model'!$O$15),'UW Model'!$O$43/('UW Model'!$O$15-'UW Model'!$O$14-1)+AJ143,AJ143)</f>
        <v>0</v>
      </c>
      <c r="AL143" s="190">
        <f>IF(AND(AL$3&gt;'UW Model'!$O$14+1,AL$3&lt;='UW Model'!$O$15),'UW Model'!$O$43/('UW Model'!$O$15-'UW Model'!$O$14-1)+AK143,AK143)</f>
        <v>0</v>
      </c>
      <c r="AM143" s="190">
        <f>IF(AND(AM$3&gt;'UW Model'!$O$14+1,AM$3&lt;='UW Model'!$O$15),'UW Model'!$O$43/('UW Model'!$O$15-'UW Model'!$O$14-1)+AL143,AL143)</f>
        <v>0</v>
      </c>
      <c r="AN143" s="190">
        <f>IF(AND(AN$3&gt;'UW Model'!$O$14+1,AN$3&lt;='UW Model'!$O$15),'UW Model'!$O$43/('UW Model'!$O$15-'UW Model'!$O$14-1)+AM143,AM143)</f>
        <v>0</v>
      </c>
      <c r="AO143" s="190">
        <f>IF(AND(AO$3&gt;'UW Model'!$O$14+1,AO$3&lt;='UW Model'!$O$15),'UW Model'!$O$43/('UW Model'!$O$15-'UW Model'!$O$14-1)+AN143,AN143)</f>
        <v>0</v>
      </c>
      <c r="AP143" s="190">
        <f>IF(AND(AP$3&gt;'UW Model'!$O$14+1,AP$3&lt;='UW Model'!$O$15),'UW Model'!$O$43/('UW Model'!$O$15-'UW Model'!$O$14-1)+AO143,AO143)</f>
        <v>0</v>
      </c>
      <c r="AQ143" s="190">
        <f>IF(AND(AQ$3&gt;'UW Model'!$O$14+1,AQ$3&lt;='UW Model'!$O$15),'UW Model'!$O$43/('UW Model'!$O$15-'UW Model'!$O$14-1)+AP143,AP143)</f>
        <v>0</v>
      </c>
      <c r="AR143" s="190">
        <f>IF(AND(AR$3&gt;'UW Model'!$O$14+1,AR$3&lt;='UW Model'!$O$15),'UW Model'!$O$43/('UW Model'!$O$15-'UW Model'!$O$14-1)+AQ143,AQ143)</f>
        <v>0</v>
      </c>
      <c r="AS143" s="190">
        <f>IF(AND(AS$3&gt;'UW Model'!$O$14+1,AS$3&lt;='UW Model'!$O$15),'UW Model'!$O$43/('UW Model'!$O$15-'UW Model'!$O$14-1)+AR143,AR143)</f>
        <v>0</v>
      </c>
      <c r="AT143" s="190">
        <f>IF(AND(AT$3&gt;'UW Model'!$O$14+1,AT$3&lt;='UW Model'!$O$15),'UW Model'!$O$43/('UW Model'!$O$15-'UW Model'!$O$14-1)+AS143,AS143)</f>
        <v>0</v>
      </c>
      <c r="AU143" s="192">
        <f>IF(AND(AU$3&gt;'UW Model'!$O$14+1,AU$3&lt;='UW Model'!$O$15),'UW Model'!$O$43/('UW Model'!$O$15-'UW Model'!$O$14-1)+AT143,AT143)</f>
        <v>0</v>
      </c>
      <c r="AV143" s="190">
        <f>IF(AND(AV$3&gt;'UW Model'!$O$14+1,AV$3&lt;='UW Model'!$O$15),'UW Model'!$O$43/('UW Model'!$O$15-'UW Model'!$O$14-1)+AU143,AU143)</f>
        <v>0</v>
      </c>
      <c r="AW143" s="190">
        <f>IF(AND(AW$3&gt;'UW Model'!$O$14+1,AW$3&lt;='UW Model'!$O$15),'UW Model'!$O$43/('UW Model'!$O$15-'UW Model'!$O$14-1)+AV143,AV143)</f>
        <v>0</v>
      </c>
      <c r="AX143" s="190">
        <f>IF(AND(AX$3&gt;'UW Model'!$O$14+1,AX$3&lt;='UW Model'!$O$15),'UW Model'!$O$43/('UW Model'!$O$15-'UW Model'!$O$14-1)+AW143,AW143)</f>
        <v>0</v>
      </c>
      <c r="AY143" s="190">
        <f>IF(AND(AY$3&gt;'UW Model'!$O$14+1,AY$3&lt;='UW Model'!$O$15),'UW Model'!$O$43/('UW Model'!$O$15-'UW Model'!$O$14-1)+AX143,AX143)</f>
        <v>0</v>
      </c>
      <c r="AZ143" s="190">
        <f>IF(AND(AZ$3&gt;'UW Model'!$O$14+1,AZ$3&lt;='UW Model'!$O$15),'UW Model'!$O$43/('UW Model'!$O$15-'UW Model'!$O$14-1)+AY143,AY143)</f>
        <v>0</v>
      </c>
      <c r="BA143" s="190">
        <f>IF(AND(BA$3&gt;'UW Model'!$O$14+1,BA$3&lt;='UW Model'!$O$15),'UW Model'!$O$43/('UW Model'!$O$15-'UW Model'!$O$14-1)+AZ143,AZ143)</f>
        <v>0</v>
      </c>
      <c r="BB143" s="190">
        <f>IF(AND(BB$3&gt;'UW Model'!$O$14+1,BB$3&lt;='UW Model'!$O$15),'UW Model'!$O$43/('UW Model'!$O$15-'UW Model'!$O$14-1)+BA143,BA143)</f>
        <v>0</v>
      </c>
      <c r="BC143" s="190">
        <f>IF(AND(BC$3&gt;'UW Model'!$O$14+1,BC$3&lt;='UW Model'!$O$15),'UW Model'!$O$43/('UW Model'!$O$15-'UW Model'!$O$14-1)+BB143,BB143)</f>
        <v>0</v>
      </c>
      <c r="BD143" s="190">
        <f>IF(AND(BD$3&gt;'UW Model'!$O$14+1,BD$3&lt;='UW Model'!$O$15),'UW Model'!$O$43/('UW Model'!$O$15-'UW Model'!$O$14-1)+BC143,BC143)</f>
        <v>0</v>
      </c>
      <c r="BE143" s="190">
        <f>IF(AND(BE$3&gt;'UW Model'!$O$14+1,BE$3&lt;='UW Model'!$O$15),'UW Model'!$O$43/('UW Model'!$O$15-'UW Model'!$O$14-1)+BD143,BD143)</f>
        <v>0</v>
      </c>
      <c r="BF143" s="190">
        <f>IF(AND(BF$3&gt;'UW Model'!$O$14+1,BF$3&lt;='UW Model'!$O$15),'UW Model'!$O$43/('UW Model'!$O$15-'UW Model'!$O$14-1)+BE143,BE143)</f>
        <v>0</v>
      </c>
      <c r="BG143" s="192">
        <f>IF(AND(BG$3&gt;'UW Model'!$O$14+1,BG$3&lt;='UW Model'!$O$15),'UW Model'!$O$43/('UW Model'!$O$15-'UW Model'!$O$14-1)+BF143,BF143)</f>
        <v>0</v>
      </c>
      <c r="BH143" s="190">
        <f>IF(AND(BH$3&gt;'UW Model'!$O$14+1,BH$3&lt;='UW Model'!$O$15),'UW Model'!$O$43/('UW Model'!$O$15-'UW Model'!$O$14-1)+BG143,BG143)</f>
        <v>0</v>
      </c>
      <c r="BI143" s="190">
        <f>IF(AND(BI$3&gt;'UW Model'!$O$14+1,BI$3&lt;='UW Model'!$O$15),'UW Model'!$O$43/('UW Model'!$O$15-'UW Model'!$O$14-1)+BH143,BH143)</f>
        <v>0</v>
      </c>
      <c r="BJ143" s="190">
        <f>IF(AND(BJ$3&gt;'UW Model'!$O$14+1,BJ$3&lt;='UW Model'!$O$15),'UW Model'!$O$43/('UW Model'!$O$15-'UW Model'!$O$14-1)+BI143,BI143)</f>
        <v>0</v>
      </c>
      <c r="BK143" s="190">
        <f>IF(AND(BK$3&gt;'UW Model'!$O$14+1,BK$3&lt;='UW Model'!$O$15),'UW Model'!$O$43/('UW Model'!$O$15-'UW Model'!$O$14-1)+BJ143,BJ143)</f>
        <v>0</v>
      </c>
      <c r="BL143" s="190">
        <f>IF(AND(BL$3&gt;'UW Model'!$O$14+1,BL$3&lt;='UW Model'!$O$15),'UW Model'!$O$43/('UW Model'!$O$15-'UW Model'!$O$14-1)+BK143,BK143)</f>
        <v>0</v>
      </c>
      <c r="BM143" s="190">
        <f>IF(AND(BM$3&gt;'UW Model'!$O$14+1,BM$3&lt;='UW Model'!$O$15),'UW Model'!$O$43/('UW Model'!$O$15-'UW Model'!$O$14-1)+BL143,BL143)</f>
        <v>0</v>
      </c>
      <c r="BN143" s="190">
        <f>IF(AND(BN$3&gt;'UW Model'!$O$14+1,BN$3&lt;='UW Model'!$O$15),'UW Model'!$O$43/('UW Model'!$O$15-'UW Model'!$O$14-1)+BM143,BM143)</f>
        <v>0</v>
      </c>
      <c r="BO143" s="190">
        <f>IF(AND(BO$3&gt;'UW Model'!$O$14+1,BO$3&lt;='UW Model'!$O$15),'UW Model'!$O$43/('UW Model'!$O$15-'UW Model'!$O$14-1)+BN143,BN143)</f>
        <v>0</v>
      </c>
      <c r="BP143" s="190">
        <f>IF(AND(BP$3&gt;'UW Model'!$O$14+1,BP$3&lt;='UW Model'!$O$15),'UW Model'!$O$43/('UW Model'!$O$15-'UW Model'!$O$14-1)+BO143,BO143)</f>
        <v>0</v>
      </c>
      <c r="BQ143" s="190">
        <f>IF(AND(BQ$3&gt;'UW Model'!$O$14+1,BQ$3&lt;='UW Model'!$O$15),'UW Model'!$O$43/('UW Model'!$O$15-'UW Model'!$O$14-1)+BP143,BP143)</f>
        <v>0</v>
      </c>
      <c r="BR143" s="190">
        <f>IF(AND(BR$3&gt;'UW Model'!$O$14+1,BR$3&lt;='UW Model'!$O$15),'UW Model'!$O$43/('UW Model'!$O$15-'UW Model'!$O$14-1)+BQ143,BQ143)</f>
        <v>0</v>
      </c>
      <c r="BS143" s="192">
        <f>IF(AND(BS$3&gt;'UW Model'!$O$14+1,BS$3&lt;='UW Model'!$O$15),'UW Model'!$O$43/('UW Model'!$O$15-'UW Model'!$O$14-1)+BR143,BR143)</f>
        <v>0</v>
      </c>
      <c r="BT143" s="190">
        <f>IF(AND(BT$3&gt;'UW Model'!$O$14+1,BT$3&lt;='UW Model'!$O$15),'UW Model'!$O$43/('UW Model'!$O$15-'UW Model'!$O$14-1)+BS143,BS143)</f>
        <v>0</v>
      </c>
      <c r="BU143" s="190">
        <f>IF(AND(BU$3&gt;'UW Model'!$O$14+1,BU$3&lt;='UW Model'!$O$15),'UW Model'!$O$43/('UW Model'!$O$15-'UW Model'!$O$14-1)+BT143,BT143)</f>
        <v>0</v>
      </c>
      <c r="BV143" s="190">
        <f>IF(AND(BV$3&gt;'UW Model'!$O$14+1,BV$3&lt;='UW Model'!$O$15),'UW Model'!$O$43/('UW Model'!$O$15-'UW Model'!$O$14-1)+BU143,BU143)</f>
        <v>0</v>
      </c>
      <c r="BW143" s="190">
        <f>IF(AND(BW$3&gt;'UW Model'!$O$14+1,BW$3&lt;='UW Model'!$O$15),'UW Model'!$O$43/('UW Model'!$O$15-'UW Model'!$O$14-1)+BV143,BV143)</f>
        <v>0</v>
      </c>
      <c r="BX143" s="190">
        <f>IF(AND(BX$3&gt;'UW Model'!$O$14+1,BX$3&lt;='UW Model'!$O$15),'UW Model'!$O$43/('UW Model'!$O$15-'UW Model'!$O$14-1)+BW143,BW143)</f>
        <v>0</v>
      </c>
      <c r="BY143" s="190">
        <f>IF(AND(BY$3&gt;'UW Model'!$O$14+1,BY$3&lt;='UW Model'!$O$15),'UW Model'!$O$43/('UW Model'!$O$15-'UW Model'!$O$14-1)+BX143,BX143)</f>
        <v>0</v>
      </c>
      <c r="BZ143" s="190">
        <f>IF(AND(BZ$3&gt;'UW Model'!$O$14+1,BZ$3&lt;='UW Model'!$O$15),'UW Model'!$O$43/('UW Model'!$O$15-'UW Model'!$O$14-1)+BY143,BY143)</f>
        <v>0</v>
      </c>
      <c r="CA143" s="190">
        <f>IF(AND(CA$3&gt;'UW Model'!$O$14+1,CA$3&lt;='UW Model'!$O$15),'UW Model'!$O$43/('UW Model'!$O$15-'UW Model'!$O$14-1)+BZ143,BZ143)</f>
        <v>0</v>
      </c>
      <c r="CB143" s="190">
        <f>IF(AND(CB$3&gt;'UW Model'!$O$14+1,CB$3&lt;='UW Model'!$O$15),'UW Model'!$O$43/('UW Model'!$O$15-'UW Model'!$O$14-1)+CA143,CA143)</f>
        <v>0</v>
      </c>
      <c r="CC143" s="190">
        <f>IF(AND(CC$3&gt;'UW Model'!$O$14+1,CC$3&lt;='UW Model'!$O$15),'UW Model'!$O$43/('UW Model'!$O$15-'UW Model'!$O$14-1)+CB143,CB143)</f>
        <v>0</v>
      </c>
      <c r="CD143" s="190">
        <f>IF(AND(CD$3&gt;'UW Model'!$O$14+1,CD$3&lt;='UW Model'!$O$15),'UW Model'!$O$43/('UW Model'!$O$15-'UW Model'!$O$14-1)+CC143,CC143)</f>
        <v>0</v>
      </c>
      <c r="CE143" s="195">
        <f>IF(AND(CE$3&gt;'UW Model'!$O$14+1,CE$3&lt;='UW Model'!$O$15),'UW Model'!$O$43/('UW Model'!$O$15-'UW Model'!$O$14-1)+CD143,CD143)</f>
        <v>0</v>
      </c>
    </row>
    <row r="144" spans="16:83" x14ac:dyDescent="0.35">
      <c r="P144" s="935"/>
      <c r="Q144" s="729" t="s">
        <v>134</v>
      </c>
      <c r="R144" s="209">
        <f t="shared" ref="R144:AY144" si="311">SUM(R142:R143)</f>
        <v>0</v>
      </c>
      <c r="S144" s="209">
        <f t="shared" si="311"/>
        <v>0</v>
      </c>
      <c r="T144" s="209">
        <f t="shared" si="311"/>
        <v>0</v>
      </c>
      <c r="U144" s="209">
        <f t="shared" si="311"/>
        <v>0</v>
      </c>
      <c r="V144" s="210">
        <f t="shared" ref="V144" si="312">SUM(V142:V143)</f>
        <v>0</v>
      </c>
      <c r="W144" s="705">
        <f t="shared" ref="W144" si="313">SUM(W142:W143)</f>
        <v>0</v>
      </c>
      <c r="X144" s="209">
        <f t="shared" si="311"/>
        <v>0</v>
      </c>
      <c r="Y144" s="209">
        <f t="shared" si="311"/>
        <v>0</v>
      </c>
      <c r="Z144" s="209">
        <f t="shared" si="311"/>
        <v>0</v>
      </c>
      <c r="AA144" s="209">
        <f t="shared" si="311"/>
        <v>0</v>
      </c>
      <c r="AB144" s="209">
        <f t="shared" si="311"/>
        <v>0</v>
      </c>
      <c r="AC144" s="209">
        <f t="shared" si="311"/>
        <v>0</v>
      </c>
      <c r="AD144" s="209">
        <f t="shared" si="311"/>
        <v>0</v>
      </c>
      <c r="AE144" s="209">
        <f t="shared" si="311"/>
        <v>0</v>
      </c>
      <c r="AF144" s="209">
        <f t="shared" si="311"/>
        <v>0</v>
      </c>
      <c r="AG144" s="209">
        <f t="shared" si="311"/>
        <v>0</v>
      </c>
      <c r="AH144" s="209">
        <f t="shared" si="311"/>
        <v>0</v>
      </c>
      <c r="AI144" s="210">
        <f t="shared" si="311"/>
        <v>0</v>
      </c>
      <c r="AJ144" s="208">
        <f t="shared" si="311"/>
        <v>0</v>
      </c>
      <c r="AK144" s="209">
        <f t="shared" si="311"/>
        <v>0</v>
      </c>
      <c r="AL144" s="209">
        <f t="shared" si="311"/>
        <v>0</v>
      </c>
      <c r="AM144" s="209">
        <f t="shared" si="311"/>
        <v>0</v>
      </c>
      <c r="AN144" s="209">
        <f t="shared" si="311"/>
        <v>0</v>
      </c>
      <c r="AO144" s="209">
        <f t="shared" si="311"/>
        <v>0</v>
      </c>
      <c r="AP144" s="209">
        <f t="shared" si="311"/>
        <v>0</v>
      </c>
      <c r="AQ144" s="209">
        <f t="shared" si="311"/>
        <v>0</v>
      </c>
      <c r="AR144" s="209">
        <f t="shared" si="311"/>
        <v>0</v>
      </c>
      <c r="AS144" s="209">
        <f t="shared" si="311"/>
        <v>0</v>
      </c>
      <c r="AT144" s="209">
        <f t="shared" si="311"/>
        <v>0</v>
      </c>
      <c r="AU144" s="210">
        <f t="shared" si="311"/>
        <v>0</v>
      </c>
      <c r="AV144" s="208">
        <f t="shared" si="311"/>
        <v>0</v>
      </c>
      <c r="AW144" s="209">
        <f t="shared" si="311"/>
        <v>0</v>
      </c>
      <c r="AX144" s="209">
        <f t="shared" si="311"/>
        <v>0</v>
      </c>
      <c r="AY144" s="209">
        <f t="shared" si="311"/>
        <v>0</v>
      </c>
      <c r="AZ144" s="209">
        <f t="shared" ref="AZ144:BS144" si="314">SUM(AZ142:AZ143)</f>
        <v>0</v>
      </c>
      <c r="BA144" s="209">
        <f t="shared" si="314"/>
        <v>0</v>
      </c>
      <c r="BB144" s="209">
        <f t="shared" si="314"/>
        <v>0</v>
      </c>
      <c r="BC144" s="209">
        <f t="shared" si="314"/>
        <v>0</v>
      </c>
      <c r="BD144" s="209">
        <f t="shared" si="314"/>
        <v>0</v>
      </c>
      <c r="BE144" s="209">
        <f t="shared" si="314"/>
        <v>0</v>
      </c>
      <c r="BF144" s="209">
        <f t="shared" si="314"/>
        <v>0</v>
      </c>
      <c r="BG144" s="210">
        <f t="shared" si="314"/>
        <v>0</v>
      </c>
      <c r="BH144" s="209">
        <f t="shared" si="314"/>
        <v>0</v>
      </c>
      <c r="BI144" s="209">
        <f t="shared" si="314"/>
        <v>0</v>
      </c>
      <c r="BJ144" s="209">
        <f t="shared" si="314"/>
        <v>0</v>
      </c>
      <c r="BK144" s="209">
        <f t="shared" si="314"/>
        <v>0</v>
      </c>
      <c r="BL144" s="209">
        <f t="shared" si="314"/>
        <v>0</v>
      </c>
      <c r="BM144" s="209">
        <f t="shared" si="314"/>
        <v>0</v>
      </c>
      <c r="BN144" s="209">
        <f t="shared" si="314"/>
        <v>0</v>
      </c>
      <c r="BO144" s="209">
        <f t="shared" si="314"/>
        <v>0</v>
      </c>
      <c r="BP144" s="209">
        <f t="shared" si="314"/>
        <v>0</v>
      </c>
      <c r="BQ144" s="209">
        <f t="shared" si="314"/>
        <v>0</v>
      </c>
      <c r="BR144" s="209">
        <f t="shared" si="314"/>
        <v>0</v>
      </c>
      <c r="BS144" s="210">
        <f t="shared" si="314"/>
        <v>0</v>
      </c>
      <c r="BT144" s="209">
        <f t="shared" ref="BT144:CE144" si="315">SUM(BT142:BT143)</f>
        <v>0</v>
      </c>
      <c r="BU144" s="209">
        <f t="shared" si="315"/>
        <v>0</v>
      </c>
      <c r="BV144" s="209">
        <f t="shared" si="315"/>
        <v>0</v>
      </c>
      <c r="BW144" s="209">
        <f t="shared" si="315"/>
        <v>0</v>
      </c>
      <c r="BX144" s="209">
        <f t="shared" si="315"/>
        <v>0</v>
      </c>
      <c r="BY144" s="209">
        <f t="shared" si="315"/>
        <v>0</v>
      </c>
      <c r="BZ144" s="209">
        <f t="shared" si="315"/>
        <v>0</v>
      </c>
      <c r="CA144" s="209">
        <f t="shared" si="315"/>
        <v>0</v>
      </c>
      <c r="CB144" s="209">
        <f t="shared" si="315"/>
        <v>0</v>
      </c>
      <c r="CC144" s="209">
        <f t="shared" si="315"/>
        <v>0</v>
      </c>
      <c r="CD144" s="209">
        <f t="shared" si="315"/>
        <v>0</v>
      </c>
      <c r="CE144" s="211">
        <f t="shared" si="315"/>
        <v>0</v>
      </c>
    </row>
    <row r="145" spans="16:83" x14ac:dyDescent="0.35">
      <c r="P145" s="935"/>
      <c r="Q145" s="727" t="s">
        <v>258</v>
      </c>
      <c r="R145" s="685">
        <f t="shared" ref="R145:V147" si="316">IFERROR(SUMIF($X$2:$CE$2,R$2,$X148:$CE148)/SUMIF($X$2:$CE$2,R$2,$X142:$CE142),0)</f>
        <v>0</v>
      </c>
      <c r="S145" s="685">
        <f t="shared" si="316"/>
        <v>0</v>
      </c>
      <c r="T145" s="685">
        <f t="shared" si="316"/>
        <v>0</v>
      </c>
      <c r="U145" s="685">
        <f t="shared" si="316"/>
        <v>0</v>
      </c>
      <c r="V145" s="292">
        <f t="shared" si="316"/>
        <v>0</v>
      </c>
      <c r="W145" s="700">
        <f>'UW Model'!L43</f>
        <v>0</v>
      </c>
      <c r="X145" s="201">
        <f>HLOOKUP((X$2-1)*12,$W$3:$CE$146,ROW()-2,0)*(1+(HLOOKUP(X$2,'UW Model'!$M$103:$Q$104,2,0)/12)*(X$3-((X$2-1)*12)))</f>
        <v>0</v>
      </c>
      <c r="Y145" s="11">
        <f>HLOOKUP((Y$2-1)*12,$W$3:$CE$146,ROW()-2,0)*(1+(HLOOKUP(Y$2,'UW Model'!$M$103:$Q$104,2,0)/12)*(Y$3-((Y$2-1)*12)))</f>
        <v>0</v>
      </c>
      <c r="Z145" s="11">
        <f>HLOOKUP((Z$2-1)*12,$W$3:$CE$146,ROW()-2,0)*(1+(HLOOKUP(Z$2,'UW Model'!$M$103:$Q$104,2,0)/12)*(Z$3-((Z$2-1)*12)))</f>
        <v>0</v>
      </c>
      <c r="AA145" s="11">
        <f>HLOOKUP((AA$2-1)*12,$W$3:$CE$146,ROW()-2,0)*(1+(HLOOKUP(AA$2,'UW Model'!$M$103:$Q$104,2,0)/12)*(AA$3-((AA$2-1)*12)))</f>
        <v>0</v>
      </c>
      <c r="AB145" s="11">
        <f>HLOOKUP((AB$2-1)*12,$W$3:$CE$146,ROW()-2,0)*(1+(HLOOKUP(AB$2,'UW Model'!$M$103:$Q$104,2,0)/12)*(AB$3-((AB$2-1)*12)))</f>
        <v>0</v>
      </c>
      <c r="AC145" s="11">
        <f>HLOOKUP((AC$2-1)*12,$W$3:$CE$146,ROW()-2,0)*(1+(HLOOKUP(AC$2,'UW Model'!$M$103:$Q$104,2,0)/12)*(AC$3-((AC$2-1)*12)))</f>
        <v>0</v>
      </c>
      <c r="AD145" s="11">
        <f>HLOOKUP((AD$2-1)*12,$W$3:$CE$146,ROW()-2,0)*(1+(HLOOKUP(AD$2,'UW Model'!$M$103:$Q$104,2,0)/12)*(AD$3-((AD$2-1)*12)))</f>
        <v>0</v>
      </c>
      <c r="AE145" s="11">
        <f>HLOOKUP((AE$2-1)*12,$W$3:$CE$146,ROW()-2,0)*(1+(HLOOKUP(AE$2,'UW Model'!$M$103:$Q$104,2,0)/12)*(AE$3-((AE$2-1)*12)))</f>
        <v>0</v>
      </c>
      <c r="AF145" s="11">
        <f>HLOOKUP((AF$2-1)*12,$W$3:$CE$146,ROW()-2,0)*(1+(HLOOKUP(AF$2,'UW Model'!$M$103:$Q$104,2,0)/12)*(AF$3-((AF$2-1)*12)))</f>
        <v>0</v>
      </c>
      <c r="AG145" s="11">
        <f>HLOOKUP((AG$2-1)*12,$W$3:$CE$146,ROW()-2,0)*(1+(HLOOKUP(AG$2,'UW Model'!$M$103:$Q$104,2,0)/12)*(AG$3-((AG$2-1)*12)))</f>
        <v>0</v>
      </c>
      <c r="AH145" s="11">
        <f>HLOOKUP((AH$2-1)*12,$W$3:$CE$146,ROW()-2,0)*(1+(HLOOKUP(AH$2,'UW Model'!$M$103:$Q$104,2,0)/12)*(AH$3-((AH$2-1)*12)))</f>
        <v>0</v>
      </c>
      <c r="AI145" s="71">
        <f>HLOOKUP((AI$2-1)*12,$W$3:$CE$146,ROW()-2,0)*(1+(HLOOKUP(AI$2,'UW Model'!$M$103:$Q$104,2,0)/12)*(AI$3-((AI$2-1)*12)))</f>
        <v>0</v>
      </c>
      <c r="AJ145" s="201">
        <f>HLOOKUP((AJ$2-1)*12,$W$3:$CE$146,ROW()-2,0)*(1+(HLOOKUP(AJ$2,'UW Model'!$M$103:$Q$104,2,0)/12)*(AJ$3-((AJ$2-1)*12)))</f>
        <v>0</v>
      </c>
      <c r="AK145" s="11">
        <f>HLOOKUP((AK$2-1)*12,$W$3:$CE$146,ROW()-2,0)*(1+(HLOOKUP(AK$2,'UW Model'!$M$103:$Q$104,2,0)/12)*(AK$3-((AK$2-1)*12)))</f>
        <v>0</v>
      </c>
      <c r="AL145" s="11">
        <f>HLOOKUP((AL$2-1)*12,$W$3:$CE$146,ROW()-2,0)*(1+(HLOOKUP(AL$2,'UW Model'!$M$103:$Q$104,2,0)/12)*(AL$3-((AL$2-1)*12)))</f>
        <v>0</v>
      </c>
      <c r="AM145" s="11">
        <f>HLOOKUP((AM$2-1)*12,$W$3:$CE$146,ROW()-2,0)*(1+(HLOOKUP(AM$2,'UW Model'!$M$103:$Q$104,2,0)/12)*(AM$3-((AM$2-1)*12)))</f>
        <v>0</v>
      </c>
      <c r="AN145" s="11">
        <f>HLOOKUP((AN$2-1)*12,$W$3:$CE$146,ROW()-2,0)*(1+(HLOOKUP(AN$2,'UW Model'!$M$103:$Q$104,2,0)/12)*(AN$3-((AN$2-1)*12)))</f>
        <v>0</v>
      </c>
      <c r="AO145" s="11">
        <f>HLOOKUP((AO$2-1)*12,$W$3:$CE$146,ROW()-2,0)*(1+(HLOOKUP(AO$2,'UW Model'!$M$103:$Q$104,2,0)/12)*(AO$3-((AO$2-1)*12)))</f>
        <v>0</v>
      </c>
      <c r="AP145" s="11">
        <f>HLOOKUP((AP$2-1)*12,$W$3:$CE$146,ROW()-2,0)*(1+(HLOOKUP(AP$2,'UW Model'!$M$103:$Q$104,2,0)/12)*(AP$3-((AP$2-1)*12)))</f>
        <v>0</v>
      </c>
      <c r="AQ145" s="11">
        <f>HLOOKUP((AQ$2-1)*12,$W$3:$CE$146,ROW()-2,0)*(1+(HLOOKUP(AQ$2,'UW Model'!$M$103:$Q$104,2,0)/12)*(AQ$3-((AQ$2-1)*12)))</f>
        <v>0</v>
      </c>
      <c r="AR145" s="11">
        <f>HLOOKUP((AR$2-1)*12,$W$3:$CE$146,ROW()-2,0)*(1+(HLOOKUP(AR$2,'UW Model'!$M$103:$Q$104,2,0)/12)*(AR$3-((AR$2-1)*12)))</f>
        <v>0</v>
      </c>
      <c r="AS145" s="11">
        <f>HLOOKUP((AS$2-1)*12,$W$3:$CE$146,ROW()-2,0)*(1+(HLOOKUP(AS$2,'UW Model'!$M$103:$Q$104,2,0)/12)*(AS$3-((AS$2-1)*12)))</f>
        <v>0</v>
      </c>
      <c r="AT145" s="11">
        <f>HLOOKUP((AT$2-1)*12,$W$3:$CE$146,ROW()-2,0)*(1+(HLOOKUP(AT$2,'UW Model'!$M$103:$Q$104,2,0)/12)*(AT$3-((AT$2-1)*12)))</f>
        <v>0</v>
      </c>
      <c r="AU145" s="71">
        <f>HLOOKUP((AU$2-1)*12,$W$3:$CE$146,ROW()-2,0)*(1+(HLOOKUP(AU$2,'UW Model'!$M$103:$Q$104,2,0)/12)*(AU$3-((AU$2-1)*12)))</f>
        <v>0</v>
      </c>
      <c r="AV145" s="11">
        <f>HLOOKUP((AV$2-1)*12,$W$3:$CE$146,ROW()-2,0)*(1+(HLOOKUP(AV$2,'UW Model'!$M$103:$Q$104,2,0)/12)*(AV$3-((AV$2-1)*12)))</f>
        <v>0</v>
      </c>
      <c r="AW145" s="11">
        <f>HLOOKUP((AW$2-1)*12,$W$3:$CE$146,ROW()-2,0)*(1+(HLOOKUP(AW$2,'UW Model'!$M$103:$Q$104,2,0)/12)*(AW$3-((AW$2-1)*12)))</f>
        <v>0</v>
      </c>
      <c r="AX145" s="11">
        <f>HLOOKUP((AX$2-1)*12,$W$3:$CE$146,ROW()-2,0)*(1+(HLOOKUP(AX$2,'UW Model'!$M$103:$Q$104,2,0)/12)*(AX$3-((AX$2-1)*12)))</f>
        <v>0</v>
      </c>
      <c r="AY145" s="11">
        <f>HLOOKUP((AY$2-1)*12,$W$3:$CE$146,ROW()-2,0)*(1+(HLOOKUP(AY$2,'UW Model'!$M$103:$Q$104,2,0)/12)*(AY$3-((AY$2-1)*12)))</f>
        <v>0</v>
      </c>
      <c r="AZ145" s="11">
        <f>HLOOKUP((AZ$2-1)*12,$W$3:$CE$146,ROW()-2,0)*(1+(HLOOKUP(AZ$2,'UW Model'!$M$103:$Q$104,2,0)/12)*(AZ$3-((AZ$2-1)*12)))</f>
        <v>0</v>
      </c>
      <c r="BA145" s="11">
        <f>HLOOKUP((BA$2-1)*12,$W$3:$CE$146,ROW()-2,0)*(1+(HLOOKUP(BA$2,'UW Model'!$M$103:$Q$104,2,0)/12)*(BA$3-((BA$2-1)*12)))</f>
        <v>0</v>
      </c>
      <c r="BB145" s="11">
        <f>HLOOKUP((BB$2-1)*12,$W$3:$CE$146,ROW()-2,0)*(1+(HLOOKUP(BB$2,'UW Model'!$M$103:$Q$104,2,0)/12)*(BB$3-((BB$2-1)*12)))</f>
        <v>0</v>
      </c>
      <c r="BC145" s="11">
        <f>HLOOKUP((BC$2-1)*12,$W$3:$CE$146,ROW()-2,0)*(1+(HLOOKUP(BC$2,'UW Model'!$M$103:$Q$104,2,0)/12)*(BC$3-((BC$2-1)*12)))</f>
        <v>0</v>
      </c>
      <c r="BD145" s="11">
        <f>HLOOKUP((BD$2-1)*12,$W$3:$CE$146,ROW()-2,0)*(1+(HLOOKUP(BD$2,'UW Model'!$M$103:$Q$104,2,0)/12)*(BD$3-((BD$2-1)*12)))</f>
        <v>0</v>
      </c>
      <c r="BE145" s="11">
        <f>HLOOKUP((BE$2-1)*12,$W$3:$CE$146,ROW()-2,0)*(1+(HLOOKUP(BE$2,'UW Model'!$M$103:$Q$104,2,0)/12)*(BE$3-((BE$2-1)*12)))</f>
        <v>0</v>
      </c>
      <c r="BF145" s="11">
        <f>HLOOKUP((BF$2-1)*12,$W$3:$CE$146,ROW()-2,0)*(1+(HLOOKUP(BF$2,'UW Model'!$M$103:$Q$104,2,0)/12)*(BF$3-((BF$2-1)*12)))</f>
        <v>0</v>
      </c>
      <c r="BG145" s="71">
        <f>HLOOKUP((BG$2-1)*12,$W$3:$CE$146,ROW()-2,0)*(1+(HLOOKUP(BG$2,'UW Model'!$M$103:$Q$104,2,0)/12)*(BG$3-((BG$2-1)*12)))</f>
        <v>0</v>
      </c>
      <c r="BH145" s="11">
        <f>HLOOKUP((BH$2-1)*12,$W$3:$CE$146,ROW()-2,0)*(1+(HLOOKUP(BH$2,'UW Model'!$M$103:$Q$104,2,0)/12)*(BH$3-((BH$2-1)*12)))</f>
        <v>0</v>
      </c>
      <c r="BI145" s="11">
        <f>HLOOKUP((BI$2-1)*12,$W$3:$CE$146,ROW()-2,0)*(1+(HLOOKUP(BI$2,'UW Model'!$M$103:$Q$104,2,0)/12)*(BI$3-((BI$2-1)*12)))</f>
        <v>0</v>
      </c>
      <c r="BJ145" s="11">
        <f>HLOOKUP((BJ$2-1)*12,$W$3:$CE$146,ROW()-2,0)*(1+(HLOOKUP(BJ$2,'UW Model'!$M$103:$Q$104,2,0)/12)*(BJ$3-((BJ$2-1)*12)))</f>
        <v>0</v>
      </c>
      <c r="BK145" s="11">
        <f>HLOOKUP((BK$2-1)*12,$W$3:$CE$146,ROW()-2,0)*(1+(HLOOKUP(BK$2,'UW Model'!$M$103:$Q$104,2,0)/12)*(BK$3-((BK$2-1)*12)))</f>
        <v>0</v>
      </c>
      <c r="BL145" s="11">
        <f>HLOOKUP((BL$2-1)*12,$W$3:$CE$146,ROW()-2,0)*(1+(HLOOKUP(BL$2,'UW Model'!$M$103:$Q$104,2,0)/12)*(BL$3-((BL$2-1)*12)))</f>
        <v>0</v>
      </c>
      <c r="BM145" s="11">
        <f>HLOOKUP((BM$2-1)*12,$W$3:$CE$146,ROW()-2,0)*(1+(HLOOKUP(BM$2,'UW Model'!$M$103:$Q$104,2,0)/12)*(BM$3-((BM$2-1)*12)))</f>
        <v>0</v>
      </c>
      <c r="BN145" s="11">
        <f>HLOOKUP((BN$2-1)*12,$W$3:$CE$146,ROW()-2,0)*(1+(HLOOKUP(BN$2,'UW Model'!$M$103:$Q$104,2,0)/12)*(BN$3-((BN$2-1)*12)))</f>
        <v>0</v>
      </c>
      <c r="BO145" s="11">
        <f>HLOOKUP((BO$2-1)*12,$W$3:$CE$146,ROW()-2,0)*(1+(HLOOKUP(BO$2,'UW Model'!$M$103:$Q$104,2,0)/12)*(BO$3-((BO$2-1)*12)))</f>
        <v>0</v>
      </c>
      <c r="BP145" s="11">
        <f>HLOOKUP((BP$2-1)*12,$W$3:$CE$146,ROW()-2,0)*(1+(HLOOKUP(BP$2,'UW Model'!$M$103:$Q$104,2,0)/12)*(BP$3-((BP$2-1)*12)))</f>
        <v>0</v>
      </c>
      <c r="BQ145" s="11">
        <f>HLOOKUP((BQ$2-1)*12,$W$3:$CE$146,ROW()-2,0)*(1+(HLOOKUP(BQ$2,'UW Model'!$M$103:$Q$104,2,0)/12)*(BQ$3-((BQ$2-1)*12)))</f>
        <v>0</v>
      </c>
      <c r="BR145" s="11">
        <f>HLOOKUP((BR$2-1)*12,$W$3:$CE$146,ROW()-2,0)*(1+(HLOOKUP(BR$2,'UW Model'!$M$103:$Q$104,2,0)/12)*(BR$3-((BR$2-1)*12)))</f>
        <v>0</v>
      </c>
      <c r="BS145" s="71">
        <f>HLOOKUP((BS$2-1)*12,$W$3:$CE$146,ROW()-2,0)*(1+(HLOOKUP(BS$2,'UW Model'!$M$103:$Q$104,2,0)/12)*(BS$3-((BS$2-1)*12)))</f>
        <v>0</v>
      </c>
      <c r="BT145" s="11">
        <f>HLOOKUP((BT$2-1)*12,$W$3:$CE$146,ROW()-2,0)*(1+(HLOOKUP(BT$2,'UW Model'!$M$103:$Q$104,2,0)/12)*(BT$3-((BT$2-1)*12)))</f>
        <v>0</v>
      </c>
      <c r="BU145" s="11">
        <f>HLOOKUP((BU$2-1)*12,$W$3:$CE$146,ROW()-2,0)*(1+(HLOOKUP(BU$2,'UW Model'!$M$103:$Q$104,2,0)/12)*(BU$3-((BU$2-1)*12)))</f>
        <v>0</v>
      </c>
      <c r="BV145" s="11">
        <f>HLOOKUP((BV$2-1)*12,$W$3:$CE$146,ROW()-2,0)*(1+(HLOOKUP(BV$2,'UW Model'!$M$103:$Q$104,2,0)/12)*(BV$3-((BV$2-1)*12)))</f>
        <v>0</v>
      </c>
      <c r="BW145" s="11">
        <f>HLOOKUP((BW$2-1)*12,$W$3:$CE$146,ROW()-2,0)*(1+(HLOOKUP(BW$2,'UW Model'!$M$103:$Q$104,2,0)/12)*(BW$3-((BW$2-1)*12)))</f>
        <v>0</v>
      </c>
      <c r="BX145" s="11">
        <f>HLOOKUP((BX$2-1)*12,$W$3:$CE$146,ROW()-2,0)*(1+(HLOOKUP(BX$2,'UW Model'!$M$103:$Q$104,2,0)/12)*(BX$3-((BX$2-1)*12)))</f>
        <v>0</v>
      </c>
      <c r="BY145" s="11">
        <f>HLOOKUP((BY$2-1)*12,$W$3:$CE$146,ROW()-2,0)*(1+(HLOOKUP(BY$2,'UW Model'!$M$103:$Q$104,2,0)/12)*(BY$3-((BY$2-1)*12)))</f>
        <v>0</v>
      </c>
      <c r="BZ145" s="11">
        <f>HLOOKUP((BZ$2-1)*12,$W$3:$CE$146,ROW()-2,0)*(1+(HLOOKUP(BZ$2,'UW Model'!$M$103:$Q$104,2,0)/12)*(BZ$3-((BZ$2-1)*12)))</f>
        <v>0</v>
      </c>
      <c r="CA145" s="11">
        <f>HLOOKUP((CA$2-1)*12,$W$3:$CE$146,ROW()-2,0)*(1+(HLOOKUP(CA$2,'UW Model'!$M$103:$Q$104,2,0)/12)*(CA$3-((CA$2-1)*12)))</f>
        <v>0</v>
      </c>
      <c r="CB145" s="11">
        <f>HLOOKUP((CB$2-1)*12,$W$3:$CE$146,ROW()-2,0)*(1+(HLOOKUP(CB$2,'UW Model'!$M$103:$Q$104,2,0)/12)*(CB$3-((CB$2-1)*12)))</f>
        <v>0</v>
      </c>
      <c r="CC145" s="11">
        <f>HLOOKUP((CC$2-1)*12,$W$3:$CE$146,ROW()-2,0)*(1+(HLOOKUP(CC$2,'UW Model'!$M$103:$Q$104,2,0)/12)*(CC$3-((CC$2-1)*12)))</f>
        <v>0</v>
      </c>
      <c r="CD145" s="11">
        <f>HLOOKUP((CD$2-1)*12,$W$3:$CE$146,ROW()-2,0)*(1+(HLOOKUP(CD$2,'UW Model'!$M$103:$Q$104,2,0)/12)*(CD$3-((CD$2-1)*12)))</f>
        <v>0</v>
      </c>
      <c r="CE145" s="88">
        <f>HLOOKUP((CE$2-1)*12,$W$3:$CE$146,ROW()-2,0)*(1+(HLOOKUP(CE$2,'UW Model'!$M$103:$Q$104,2,0)/12)*(CE$3-((CE$2-1)*12)))</f>
        <v>0</v>
      </c>
    </row>
    <row r="146" spans="16:83" x14ac:dyDescent="0.35">
      <c r="P146" s="935"/>
      <c r="Q146" s="728" t="s">
        <v>205</v>
      </c>
      <c r="R146" s="283">
        <f t="shared" si="316"/>
        <v>0</v>
      </c>
      <c r="S146" s="283">
        <f t="shared" si="316"/>
        <v>0</v>
      </c>
      <c r="T146" s="283">
        <f t="shared" si="316"/>
        <v>0</v>
      </c>
      <c r="U146" s="283">
        <f t="shared" si="316"/>
        <v>0</v>
      </c>
      <c r="V146" s="284">
        <f t="shared" si="316"/>
        <v>0</v>
      </c>
      <c r="W146" s="708">
        <f>'UW Model'!V13+'UW Model'!V21</f>
        <v>0</v>
      </c>
      <c r="X146" s="283">
        <f>HLOOKUP((X$2-1)*12,$W$3:$CE$146,ROW()-2,0)*(1+(HLOOKUP(X$2,'UW Model'!$M$103:$Q$104,2,0)/12)*(X$3-((X$2-1)*12)))</f>
        <v>0</v>
      </c>
      <c r="Y146" s="283">
        <f>HLOOKUP((Y$2-1)*12,$W$3:$CE$146,ROW()-2,0)*(1+(HLOOKUP(Y$2,'UW Model'!$M$103:$Q$104,2,0)/12)*(Y$3-((Y$2-1)*12)))</f>
        <v>0</v>
      </c>
      <c r="Z146" s="283">
        <f>HLOOKUP((Z$2-1)*12,$W$3:$CE$146,ROW()-2,0)*(1+(HLOOKUP(Z$2,'UW Model'!$M$103:$Q$104,2,0)/12)*(Z$3-((Z$2-1)*12)))</f>
        <v>0</v>
      </c>
      <c r="AA146" s="283">
        <f>HLOOKUP((AA$2-1)*12,$W$3:$CE$146,ROW()-2,0)*(1+(HLOOKUP(AA$2,'UW Model'!$M$103:$Q$104,2,0)/12)*(AA$3-((AA$2-1)*12)))</f>
        <v>0</v>
      </c>
      <c r="AB146" s="283">
        <f>HLOOKUP((AB$2-1)*12,$W$3:$CE$146,ROW()-2,0)*(1+(HLOOKUP(AB$2,'UW Model'!$M$103:$Q$104,2,0)/12)*(AB$3-((AB$2-1)*12)))</f>
        <v>0</v>
      </c>
      <c r="AC146" s="283">
        <f>HLOOKUP((AC$2-1)*12,$W$3:$CE$146,ROW()-2,0)*(1+(HLOOKUP(AC$2,'UW Model'!$M$103:$Q$104,2,0)/12)*(AC$3-((AC$2-1)*12)))</f>
        <v>0</v>
      </c>
      <c r="AD146" s="283">
        <f>HLOOKUP((AD$2-1)*12,$W$3:$CE$146,ROW()-2,0)*(1+(HLOOKUP(AD$2,'UW Model'!$M$103:$Q$104,2,0)/12)*(AD$3-((AD$2-1)*12)))</f>
        <v>0</v>
      </c>
      <c r="AE146" s="283">
        <f>HLOOKUP((AE$2-1)*12,$W$3:$CE$146,ROW()-2,0)*(1+(HLOOKUP(AE$2,'UW Model'!$M$103:$Q$104,2,0)/12)*(AE$3-((AE$2-1)*12)))</f>
        <v>0</v>
      </c>
      <c r="AF146" s="283">
        <f>HLOOKUP((AF$2-1)*12,$W$3:$CE$146,ROW()-2,0)*(1+(HLOOKUP(AF$2,'UW Model'!$M$103:$Q$104,2,0)/12)*(AF$3-((AF$2-1)*12)))</f>
        <v>0</v>
      </c>
      <c r="AG146" s="283">
        <f>HLOOKUP((AG$2-1)*12,$W$3:$CE$146,ROW()-2,0)*(1+(HLOOKUP(AG$2,'UW Model'!$M$103:$Q$104,2,0)/12)*(AG$3-((AG$2-1)*12)))</f>
        <v>0</v>
      </c>
      <c r="AH146" s="283">
        <f>HLOOKUP((AH$2-1)*12,$W$3:$CE$146,ROW()-2,0)*(1+(HLOOKUP(AH$2,'UW Model'!$M$103:$Q$104,2,0)/12)*(AH$3-((AH$2-1)*12)))</f>
        <v>0</v>
      </c>
      <c r="AI146" s="284">
        <f>HLOOKUP((AI$2-1)*12,$W$3:$CE$146,ROW()-2,0)*(1+(HLOOKUP(AI$2,'UW Model'!$M$103:$Q$104,2,0)/12)*(AI$3-((AI$2-1)*12)))</f>
        <v>0</v>
      </c>
      <c r="AJ146" s="709">
        <f>HLOOKUP((AJ$2-1)*12,$W$3:$CE$146,ROW()-2,0)*(1+(HLOOKUP(AJ$2,'UW Model'!$M$103:$Q$104,2,0)/12)*(AJ$3-((AJ$2-1)*12)))</f>
        <v>0</v>
      </c>
      <c r="AK146" s="283">
        <f>HLOOKUP((AK$2-1)*12,$W$3:$CE$146,ROW()-2,0)*(1+(HLOOKUP(AK$2,'UW Model'!$M$103:$Q$104,2,0)/12)*(AK$3-((AK$2-1)*12)))</f>
        <v>0</v>
      </c>
      <c r="AL146" s="283">
        <f>HLOOKUP((AL$2-1)*12,$W$3:$CE$146,ROW()-2,0)*(1+(HLOOKUP(AL$2,'UW Model'!$M$103:$Q$104,2,0)/12)*(AL$3-((AL$2-1)*12)))</f>
        <v>0</v>
      </c>
      <c r="AM146" s="283">
        <f>HLOOKUP((AM$2-1)*12,$W$3:$CE$146,ROW()-2,0)*(1+(HLOOKUP(AM$2,'UW Model'!$M$103:$Q$104,2,0)/12)*(AM$3-((AM$2-1)*12)))</f>
        <v>0</v>
      </c>
      <c r="AN146" s="283">
        <f>HLOOKUP((AN$2-1)*12,$W$3:$CE$146,ROW()-2,0)*(1+(HLOOKUP(AN$2,'UW Model'!$M$103:$Q$104,2,0)/12)*(AN$3-((AN$2-1)*12)))</f>
        <v>0</v>
      </c>
      <c r="AO146" s="283">
        <f>HLOOKUP((AO$2-1)*12,$W$3:$CE$146,ROW()-2,0)*(1+(HLOOKUP(AO$2,'UW Model'!$M$103:$Q$104,2,0)/12)*(AO$3-((AO$2-1)*12)))</f>
        <v>0</v>
      </c>
      <c r="AP146" s="283">
        <f>HLOOKUP((AP$2-1)*12,$W$3:$CE$146,ROW()-2,0)*(1+(HLOOKUP(AP$2,'UW Model'!$M$103:$Q$104,2,0)/12)*(AP$3-((AP$2-1)*12)))</f>
        <v>0</v>
      </c>
      <c r="AQ146" s="283">
        <f>HLOOKUP((AQ$2-1)*12,$W$3:$CE$146,ROW()-2,0)*(1+(HLOOKUP(AQ$2,'UW Model'!$M$103:$Q$104,2,0)/12)*(AQ$3-((AQ$2-1)*12)))</f>
        <v>0</v>
      </c>
      <c r="AR146" s="283">
        <f>HLOOKUP((AR$2-1)*12,$W$3:$CE$146,ROW()-2,0)*(1+(HLOOKUP(AR$2,'UW Model'!$M$103:$Q$104,2,0)/12)*(AR$3-((AR$2-1)*12)))</f>
        <v>0</v>
      </c>
      <c r="AS146" s="283">
        <f>HLOOKUP((AS$2-1)*12,$W$3:$CE$146,ROW()-2,0)*(1+(HLOOKUP(AS$2,'UW Model'!$M$103:$Q$104,2,0)/12)*(AS$3-((AS$2-1)*12)))</f>
        <v>0</v>
      </c>
      <c r="AT146" s="283">
        <f>HLOOKUP((AT$2-1)*12,$W$3:$CE$146,ROW()-2,0)*(1+(HLOOKUP(AT$2,'UW Model'!$M$103:$Q$104,2,0)/12)*(AT$3-((AT$2-1)*12)))</f>
        <v>0</v>
      </c>
      <c r="AU146" s="284">
        <f>HLOOKUP((AU$2-1)*12,$W$3:$CE$146,ROW()-2,0)*(1+(HLOOKUP(AU$2,'UW Model'!$M$103:$Q$104,2,0)/12)*(AU$3-((AU$2-1)*12)))</f>
        <v>0</v>
      </c>
      <c r="AV146" s="709">
        <f>HLOOKUP((AV$2-1)*12,$W$3:$CE$146,ROW()-2,0)*(1+(HLOOKUP(AV$2,'UW Model'!$M$103:$Q$104,2,0)/12)*(AV$3-((AV$2-1)*12)))</f>
        <v>0</v>
      </c>
      <c r="AW146" s="283">
        <f>HLOOKUP((AW$2-1)*12,$W$3:$CE$146,ROW()-2,0)*(1+(HLOOKUP(AW$2,'UW Model'!$M$103:$Q$104,2,0)/12)*(AW$3-((AW$2-1)*12)))</f>
        <v>0</v>
      </c>
      <c r="AX146" s="283">
        <f>HLOOKUP((AX$2-1)*12,$W$3:$CE$146,ROW()-2,0)*(1+(HLOOKUP(AX$2,'UW Model'!$M$103:$Q$104,2,0)/12)*(AX$3-((AX$2-1)*12)))</f>
        <v>0</v>
      </c>
      <c r="AY146" s="283">
        <f>HLOOKUP((AY$2-1)*12,$W$3:$CE$146,ROW()-2,0)*(1+(HLOOKUP(AY$2,'UW Model'!$M$103:$Q$104,2,0)/12)*(AY$3-((AY$2-1)*12)))</f>
        <v>0</v>
      </c>
      <c r="AZ146" s="283">
        <f>HLOOKUP((AZ$2-1)*12,$W$3:$CE$146,ROW()-2,0)*(1+(HLOOKUP(AZ$2,'UW Model'!$M$103:$Q$104,2,0)/12)*(AZ$3-((AZ$2-1)*12)))</f>
        <v>0</v>
      </c>
      <c r="BA146" s="283">
        <f>HLOOKUP((BA$2-1)*12,$W$3:$CE$146,ROW()-2,0)*(1+(HLOOKUP(BA$2,'UW Model'!$M$103:$Q$104,2,0)/12)*(BA$3-((BA$2-1)*12)))</f>
        <v>0</v>
      </c>
      <c r="BB146" s="283">
        <f>HLOOKUP((BB$2-1)*12,$W$3:$CE$146,ROW()-2,0)*(1+(HLOOKUP(BB$2,'UW Model'!$M$103:$Q$104,2,0)/12)*(BB$3-((BB$2-1)*12)))</f>
        <v>0</v>
      </c>
      <c r="BC146" s="283">
        <f>HLOOKUP((BC$2-1)*12,$W$3:$CE$146,ROW()-2,0)*(1+(HLOOKUP(BC$2,'UW Model'!$M$103:$Q$104,2,0)/12)*(BC$3-((BC$2-1)*12)))</f>
        <v>0</v>
      </c>
      <c r="BD146" s="283">
        <f>HLOOKUP((BD$2-1)*12,$W$3:$CE$146,ROW()-2,0)*(1+(HLOOKUP(BD$2,'UW Model'!$M$103:$Q$104,2,0)/12)*(BD$3-((BD$2-1)*12)))</f>
        <v>0</v>
      </c>
      <c r="BE146" s="283">
        <f>HLOOKUP((BE$2-1)*12,$W$3:$CE$146,ROW()-2,0)*(1+(HLOOKUP(BE$2,'UW Model'!$M$103:$Q$104,2,0)/12)*(BE$3-((BE$2-1)*12)))</f>
        <v>0</v>
      </c>
      <c r="BF146" s="283">
        <f>HLOOKUP((BF$2-1)*12,$W$3:$CE$146,ROW()-2,0)*(1+(HLOOKUP(BF$2,'UW Model'!$M$103:$Q$104,2,0)/12)*(BF$3-((BF$2-1)*12)))</f>
        <v>0</v>
      </c>
      <c r="BG146" s="284">
        <f>HLOOKUP((BG$2-1)*12,$W$3:$CE$146,ROW()-2,0)*(1+(HLOOKUP(BG$2,'UW Model'!$M$103:$Q$104,2,0)/12)*(BG$3-((BG$2-1)*12)))</f>
        <v>0</v>
      </c>
      <c r="BH146" s="283">
        <f>HLOOKUP((BH$2-1)*12,$W$3:$CE$146,ROW()-2,0)*(1+(HLOOKUP(BH$2,'UW Model'!$M$103:$Q$104,2,0)/12)*(BH$3-((BH$2-1)*12)))</f>
        <v>0</v>
      </c>
      <c r="BI146" s="283">
        <f>HLOOKUP((BI$2-1)*12,$W$3:$CE$146,ROW()-2,0)*(1+(HLOOKUP(BI$2,'UW Model'!$M$103:$Q$104,2,0)/12)*(BI$3-((BI$2-1)*12)))</f>
        <v>0</v>
      </c>
      <c r="BJ146" s="283">
        <f>HLOOKUP((BJ$2-1)*12,$W$3:$CE$146,ROW()-2,0)*(1+(HLOOKUP(BJ$2,'UW Model'!$M$103:$Q$104,2,0)/12)*(BJ$3-((BJ$2-1)*12)))</f>
        <v>0</v>
      </c>
      <c r="BK146" s="283">
        <f>HLOOKUP((BK$2-1)*12,$W$3:$CE$146,ROW()-2,0)*(1+(HLOOKUP(BK$2,'UW Model'!$M$103:$Q$104,2,0)/12)*(BK$3-((BK$2-1)*12)))</f>
        <v>0</v>
      </c>
      <c r="BL146" s="283">
        <f>HLOOKUP((BL$2-1)*12,$W$3:$CE$146,ROW()-2,0)*(1+(HLOOKUP(BL$2,'UW Model'!$M$103:$Q$104,2,0)/12)*(BL$3-((BL$2-1)*12)))</f>
        <v>0</v>
      </c>
      <c r="BM146" s="283">
        <f>HLOOKUP((BM$2-1)*12,$W$3:$CE$146,ROW()-2,0)*(1+(HLOOKUP(BM$2,'UW Model'!$M$103:$Q$104,2,0)/12)*(BM$3-((BM$2-1)*12)))</f>
        <v>0</v>
      </c>
      <c r="BN146" s="283">
        <f>HLOOKUP((BN$2-1)*12,$W$3:$CE$146,ROW()-2,0)*(1+(HLOOKUP(BN$2,'UW Model'!$M$103:$Q$104,2,0)/12)*(BN$3-((BN$2-1)*12)))</f>
        <v>0</v>
      </c>
      <c r="BO146" s="283">
        <f>HLOOKUP((BO$2-1)*12,$W$3:$CE$146,ROW()-2,0)*(1+(HLOOKUP(BO$2,'UW Model'!$M$103:$Q$104,2,0)/12)*(BO$3-((BO$2-1)*12)))</f>
        <v>0</v>
      </c>
      <c r="BP146" s="283">
        <f>HLOOKUP((BP$2-1)*12,$W$3:$CE$146,ROW()-2,0)*(1+(HLOOKUP(BP$2,'UW Model'!$M$103:$Q$104,2,0)/12)*(BP$3-((BP$2-1)*12)))</f>
        <v>0</v>
      </c>
      <c r="BQ146" s="283">
        <f>HLOOKUP((BQ$2-1)*12,$W$3:$CE$146,ROW()-2,0)*(1+(HLOOKUP(BQ$2,'UW Model'!$M$103:$Q$104,2,0)/12)*(BQ$3-((BQ$2-1)*12)))</f>
        <v>0</v>
      </c>
      <c r="BR146" s="283">
        <f>HLOOKUP((BR$2-1)*12,$W$3:$CE$146,ROW()-2,0)*(1+(HLOOKUP(BR$2,'UW Model'!$M$103:$Q$104,2,0)/12)*(BR$3-((BR$2-1)*12)))</f>
        <v>0</v>
      </c>
      <c r="BS146" s="284">
        <f>HLOOKUP((BS$2-1)*12,$W$3:$CE$146,ROW()-2,0)*(1+(HLOOKUP(BS$2,'UW Model'!$M$103:$Q$104,2,0)/12)*(BS$3-((BS$2-1)*12)))</f>
        <v>0</v>
      </c>
      <c r="BT146" s="283">
        <f>HLOOKUP((BT$2-1)*12,$W$3:$CE$146,ROW()-2,0)*(1+(HLOOKUP(BT$2,'UW Model'!$M$103:$Q$104,2,0)/12)*(BT$3-((BT$2-1)*12)))</f>
        <v>0</v>
      </c>
      <c r="BU146" s="283">
        <f>HLOOKUP((BU$2-1)*12,$W$3:$CE$146,ROW()-2,0)*(1+(HLOOKUP(BU$2,'UW Model'!$M$103:$Q$104,2,0)/12)*(BU$3-((BU$2-1)*12)))</f>
        <v>0</v>
      </c>
      <c r="BV146" s="283">
        <f>HLOOKUP((BV$2-1)*12,$W$3:$CE$146,ROW()-2,0)*(1+(HLOOKUP(BV$2,'UW Model'!$M$103:$Q$104,2,0)/12)*(BV$3-((BV$2-1)*12)))</f>
        <v>0</v>
      </c>
      <c r="BW146" s="283">
        <f>HLOOKUP((BW$2-1)*12,$W$3:$CE$146,ROW()-2,0)*(1+(HLOOKUP(BW$2,'UW Model'!$M$103:$Q$104,2,0)/12)*(BW$3-((BW$2-1)*12)))</f>
        <v>0</v>
      </c>
      <c r="BX146" s="283">
        <f>HLOOKUP((BX$2-1)*12,$W$3:$CE$146,ROW()-2,0)*(1+(HLOOKUP(BX$2,'UW Model'!$M$103:$Q$104,2,0)/12)*(BX$3-((BX$2-1)*12)))</f>
        <v>0</v>
      </c>
      <c r="BY146" s="283">
        <f>HLOOKUP((BY$2-1)*12,$W$3:$CE$146,ROW()-2,0)*(1+(HLOOKUP(BY$2,'UW Model'!$M$103:$Q$104,2,0)/12)*(BY$3-((BY$2-1)*12)))</f>
        <v>0</v>
      </c>
      <c r="BZ146" s="283">
        <f>HLOOKUP((BZ$2-1)*12,$W$3:$CE$146,ROW()-2,0)*(1+(HLOOKUP(BZ$2,'UW Model'!$M$103:$Q$104,2,0)/12)*(BZ$3-((BZ$2-1)*12)))</f>
        <v>0</v>
      </c>
      <c r="CA146" s="283">
        <f>HLOOKUP((CA$2-1)*12,$W$3:$CE$146,ROW()-2,0)*(1+(HLOOKUP(CA$2,'UW Model'!$M$103:$Q$104,2,0)/12)*(CA$3-((CA$2-1)*12)))</f>
        <v>0</v>
      </c>
      <c r="CB146" s="283">
        <f>HLOOKUP((CB$2-1)*12,$W$3:$CE$146,ROW()-2,0)*(1+(HLOOKUP(CB$2,'UW Model'!$M$103:$Q$104,2,0)/12)*(CB$3-((CB$2-1)*12)))</f>
        <v>0</v>
      </c>
      <c r="CC146" s="283">
        <f>HLOOKUP((CC$2-1)*12,$W$3:$CE$146,ROW()-2,0)*(1+(HLOOKUP(CC$2,'UW Model'!$M$103:$Q$104,2,0)/12)*(CC$3-((CC$2-1)*12)))</f>
        <v>0</v>
      </c>
      <c r="CD146" s="283">
        <f>HLOOKUP((CD$2-1)*12,$W$3:$CE$146,ROW()-2,0)*(1+(HLOOKUP(CD$2,'UW Model'!$M$103:$Q$104,2,0)/12)*(CD$3-((CD$2-1)*12)))</f>
        <v>0</v>
      </c>
      <c r="CE146" s="710">
        <f>HLOOKUP((CE$2-1)*12,$W$3:$CE$146,ROW()-2,0)*(1+(HLOOKUP(CE$2,'UW Model'!$M$103:$Q$104,2,0)/12)*(CE$3-((CE$2-1)*12)))</f>
        <v>0</v>
      </c>
    </row>
    <row r="147" spans="16:83" x14ac:dyDescent="0.35">
      <c r="P147" s="935"/>
      <c r="Q147" s="729" t="s">
        <v>168</v>
      </c>
      <c r="R147" s="285">
        <f t="shared" si="316"/>
        <v>0</v>
      </c>
      <c r="S147" s="286">
        <f t="shared" si="316"/>
        <v>0</v>
      </c>
      <c r="T147" s="286">
        <f t="shared" si="316"/>
        <v>0</v>
      </c>
      <c r="U147" s="286">
        <f t="shared" si="316"/>
        <v>0</v>
      </c>
      <c r="V147" s="287">
        <f t="shared" si="316"/>
        <v>0</v>
      </c>
      <c r="W147" s="706">
        <v>0</v>
      </c>
      <c r="X147" s="286" t="e">
        <f>X150/X144</f>
        <v>#DIV/0!</v>
      </c>
      <c r="Y147" s="286" t="e">
        <f t="shared" ref="Y147:BS147" si="317">Y150/Y144</f>
        <v>#DIV/0!</v>
      </c>
      <c r="Z147" s="286" t="e">
        <f t="shared" si="317"/>
        <v>#DIV/0!</v>
      </c>
      <c r="AA147" s="286" t="e">
        <f t="shared" si="317"/>
        <v>#DIV/0!</v>
      </c>
      <c r="AB147" s="286" t="e">
        <f t="shared" si="317"/>
        <v>#DIV/0!</v>
      </c>
      <c r="AC147" s="286" t="e">
        <f t="shared" si="317"/>
        <v>#DIV/0!</v>
      </c>
      <c r="AD147" s="286" t="e">
        <f t="shared" si="317"/>
        <v>#DIV/0!</v>
      </c>
      <c r="AE147" s="286" t="e">
        <f t="shared" si="317"/>
        <v>#DIV/0!</v>
      </c>
      <c r="AF147" s="286" t="e">
        <f t="shared" si="317"/>
        <v>#DIV/0!</v>
      </c>
      <c r="AG147" s="286" t="e">
        <f t="shared" si="317"/>
        <v>#DIV/0!</v>
      </c>
      <c r="AH147" s="286" t="e">
        <f t="shared" si="317"/>
        <v>#DIV/0!</v>
      </c>
      <c r="AI147" s="287" t="e">
        <f t="shared" si="317"/>
        <v>#DIV/0!</v>
      </c>
      <c r="AJ147" s="285" t="e">
        <f t="shared" si="317"/>
        <v>#DIV/0!</v>
      </c>
      <c r="AK147" s="286" t="e">
        <f t="shared" si="317"/>
        <v>#DIV/0!</v>
      </c>
      <c r="AL147" s="286" t="e">
        <f t="shared" si="317"/>
        <v>#DIV/0!</v>
      </c>
      <c r="AM147" s="286" t="e">
        <f t="shared" si="317"/>
        <v>#DIV/0!</v>
      </c>
      <c r="AN147" s="286" t="e">
        <f t="shared" si="317"/>
        <v>#DIV/0!</v>
      </c>
      <c r="AO147" s="286" t="e">
        <f t="shared" si="317"/>
        <v>#DIV/0!</v>
      </c>
      <c r="AP147" s="286" t="e">
        <f t="shared" si="317"/>
        <v>#DIV/0!</v>
      </c>
      <c r="AQ147" s="286" t="e">
        <f t="shared" si="317"/>
        <v>#DIV/0!</v>
      </c>
      <c r="AR147" s="286" t="e">
        <f t="shared" si="317"/>
        <v>#DIV/0!</v>
      </c>
      <c r="AS147" s="286" t="e">
        <f t="shared" si="317"/>
        <v>#DIV/0!</v>
      </c>
      <c r="AT147" s="286" t="e">
        <f t="shared" si="317"/>
        <v>#DIV/0!</v>
      </c>
      <c r="AU147" s="287" t="e">
        <f t="shared" si="317"/>
        <v>#DIV/0!</v>
      </c>
      <c r="AV147" s="285" t="e">
        <f t="shared" si="317"/>
        <v>#DIV/0!</v>
      </c>
      <c r="AW147" s="286" t="e">
        <f t="shared" si="317"/>
        <v>#DIV/0!</v>
      </c>
      <c r="AX147" s="286" t="e">
        <f t="shared" si="317"/>
        <v>#DIV/0!</v>
      </c>
      <c r="AY147" s="286" t="e">
        <f t="shared" si="317"/>
        <v>#DIV/0!</v>
      </c>
      <c r="AZ147" s="286" t="e">
        <f t="shared" si="317"/>
        <v>#DIV/0!</v>
      </c>
      <c r="BA147" s="286" t="e">
        <f t="shared" si="317"/>
        <v>#DIV/0!</v>
      </c>
      <c r="BB147" s="286" t="e">
        <f t="shared" si="317"/>
        <v>#DIV/0!</v>
      </c>
      <c r="BC147" s="286" t="e">
        <f t="shared" si="317"/>
        <v>#DIV/0!</v>
      </c>
      <c r="BD147" s="286" t="e">
        <f t="shared" si="317"/>
        <v>#DIV/0!</v>
      </c>
      <c r="BE147" s="286" t="e">
        <f t="shared" si="317"/>
        <v>#DIV/0!</v>
      </c>
      <c r="BF147" s="286" t="e">
        <f t="shared" si="317"/>
        <v>#DIV/0!</v>
      </c>
      <c r="BG147" s="287" t="e">
        <f t="shared" si="317"/>
        <v>#DIV/0!</v>
      </c>
      <c r="BH147" s="286" t="e">
        <f t="shared" si="317"/>
        <v>#DIV/0!</v>
      </c>
      <c r="BI147" s="286" t="e">
        <f t="shared" si="317"/>
        <v>#DIV/0!</v>
      </c>
      <c r="BJ147" s="286" t="e">
        <f t="shared" si="317"/>
        <v>#DIV/0!</v>
      </c>
      <c r="BK147" s="286" t="e">
        <f t="shared" si="317"/>
        <v>#DIV/0!</v>
      </c>
      <c r="BL147" s="286" t="e">
        <f t="shared" si="317"/>
        <v>#DIV/0!</v>
      </c>
      <c r="BM147" s="286" t="e">
        <f t="shared" si="317"/>
        <v>#DIV/0!</v>
      </c>
      <c r="BN147" s="286" t="e">
        <f t="shared" si="317"/>
        <v>#DIV/0!</v>
      </c>
      <c r="BO147" s="286" t="e">
        <f t="shared" si="317"/>
        <v>#DIV/0!</v>
      </c>
      <c r="BP147" s="286" t="e">
        <f t="shared" si="317"/>
        <v>#DIV/0!</v>
      </c>
      <c r="BQ147" s="286" t="e">
        <f t="shared" si="317"/>
        <v>#DIV/0!</v>
      </c>
      <c r="BR147" s="286" t="e">
        <f t="shared" si="317"/>
        <v>#DIV/0!</v>
      </c>
      <c r="BS147" s="287" t="e">
        <f t="shared" si="317"/>
        <v>#DIV/0!</v>
      </c>
      <c r="BT147" s="286" t="e">
        <f t="shared" ref="BT147:CE147" si="318">BT150/BT144</f>
        <v>#DIV/0!</v>
      </c>
      <c r="BU147" s="286" t="e">
        <f t="shared" si="318"/>
        <v>#DIV/0!</v>
      </c>
      <c r="BV147" s="286" t="e">
        <f t="shared" si="318"/>
        <v>#DIV/0!</v>
      </c>
      <c r="BW147" s="286" t="e">
        <f t="shared" si="318"/>
        <v>#DIV/0!</v>
      </c>
      <c r="BX147" s="286" t="e">
        <f t="shared" si="318"/>
        <v>#DIV/0!</v>
      </c>
      <c r="BY147" s="286" t="e">
        <f t="shared" si="318"/>
        <v>#DIV/0!</v>
      </c>
      <c r="BZ147" s="286" t="e">
        <f t="shared" si="318"/>
        <v>#DIV/0!</v>
      </c>
      <c r="CA147" s="286" t="e">
        <f t="shared" si="318"/>
        <v>#DIV/0!</v>
      </c>
      <c r="CB147" s="286" t="e">
        <f t="shared" si="318"/>
        <v>#DIV/0!</v>
      </c>
      <c r="CC147" s="286" t="e">
        <f t="shared" si="318"/>
        <v>#DIV/0!</v>
      </c>
      <c r="CD147" s="286" t="e">
        <f t="shared" si="318"/>
        <v>#DIV/0!</v>
      </c>
      <c r="CE147" s="711" t="e">
        <f t="shared" si="318"/>
        <v>#DIV/0!</v>
      </c>
    </row>
    <row r="148" spans="16:83" x14ac:dyDescent="0.35">
      <c r="P148" s="935"/>
      <c r="Q148" s="727" t="s">
        <v>259</v>
      </c>
      <c r="R148" s="219">
        <f t="shared" ref="R148:V149" si="319">SUMIF($X$2:$CE$2,R$2,$X148:$CE148)</f>
        <v>0</v>
      </c>
      <c r="S148" s="219">
        <f t="shared" si="319"/>
        <v>0</v>
      </c>
      <c r="T148" s="219">
        <f t="shared" si="319"/>
        <v>0</v>
      </c>
      <c r="U148" s="219">
        <f t="shared" si="319"/>
        <v>0</v>
      </c>
      <c r="V148" s="225">
        <f t="shared" si="319"/>
        <v>0</v>
      </c>
      <c r="W148" s="700">
        <f t="shared" ref="W148" si="320">W142*W145</f>
        <v>0</v>
      </c>
      <c r="X148" s="11">
        <f t="shared" ref="X148:BS148" si="321">X142*X145</f>
        <v>0</v>
      </c>
      <c r="Y148" s="11">
        <f t="shared" si="321"/>
        <v>0</v>
      </c>
      <c r="Z148" s="11">
        <f t="shared" si="321"/>
        <v>0</v>
      </c>
      <c r="AA148" s="11">
        <f t="shared" si="321"/>
        <v>0</v>
      </c>
      <c r="AB148" s="11">
        <f t="shared" si="321"/>
        <v>0</v>
      </c>
      <c r="AC148" s="11">
        <f t="shared" si="321"/>
        <v>0</v>
      </c>
      <c r="AD148" s="11">
        <f t="shared" si="321"/>
        <v>0</v>
      </c>
      <c r="AE148" s="11">
        <f t="shared" si="321"/>
        <v>0</v>
      </c>
      <c r="AF148" s="11">
        <f t="shared" si="321"/>
        <v>0</v>
      </c>
      <c r="AG148" s="11">
        <f t="shared" si="321"/>
        <v>0</v>
      </c>
      <c r="AH148" s="11">
        <f t="shared" si="321"/>
        <v>0</v>
      </c>
      <c r="AI148" s="71">
        <f t="shared" si="321"/>
        <v>0</v>
      </c>
      <c r="AJ148" s="201">
        <f t="shared" si="321"/>
        <v>0</v>
      </c>
      <c r="AK148" s="11">
        <f t="shared" si="321"/>
        <v>0</v>
      </c>
      <c r="AL148" s="11">
        <f t="shared" si="321"/>
        <v>0</v>
      </c>
      <c r="AM148" s="11">
        <f t="shared" si="321"/>
        <v>0</v>
      </c>
      <c r="AN148" s="11">
        <f t="shared" si="321"/>
        <v>0</v>
      </c>
      <c r="AO148" s="11">
        <f t="shared" si="321"/>
        <v>0</v>
      </c>
      <c r="AP148" s="11">
        <f t="shared" si="321"/>
        <v>0</v>
      </c>
      <c r="AQ148" s="11">
        <f t="shared" si="321"/>
        <v>0</v>
      </c>
      <c r="AR148" s="11">
        <f t="shared" si="321"/>
        <v>0</v>
      </c>
      <c r="AS148" s="11">
        <f t="shared" si="321"/>
        <v>0</v>
      </c>
      <c r="AT148" s="11">
        <f t="shared" si="321"/>
        <v>0</v>
      </c>
      <c r="AU148" s="71">
        <f t="shared" si="321"/>
        <v>0</v>
      </c>
      <c r="AV148" s="11">
        <f t="shared" si="321"/>
        <v>0</v>
      </c>
      <c r="AW148" s="11">
        <f t="shared" si="321"/>
        <v>0</v>
      </c>
      <c r="AX148" s="11">
        <f t="shared" si="321"/>
        <v>0</v>
      </c>
      <c r="AY148" s="11">
        <f t="shared" si="321"/>
        <v>0</v>
      </c>
      <c r="AZ148" s="11">
        <f t="shared" si="321"/>
        <v>0</v>
      </c>
      <c r="BA148" s="11">
        <f t="shared" si="321"/>
        <v>0</v>
      </c>
      <c r="BB148" s="11">
        <f t="shared" si="321"/>
        <v>0</v>
      </c>
      <c r="BC148" s="11">
        <f t="shared" si="321"/>
        <v>0</v>
      </c>
      <c r="BD148" s="11">
        <f t="shared" si="321"/>
        <v>0</v>
      </c>
      <c r="BE148" s="11">
        <f t="shared" si="321"/>
        <v>0</v>
      </c>
      <c r="BF148" s="11">
        <f t="shared" si="321"/>
        <v>0</v>
      </c>
      <c r="BG148" s="71">
        <f t="shared" si="321"/>
        <v>0</v>
      </c>
      <c r="BH148" s="11">
        <f t="shared" si="321"/>
        <v>0</v>
      </c>
      <c r="BI148" s="11">
        <f t="shared" si="321"/>
        <v>0</v>
      </c>
      <c r="BJ148" s="11">
        <f t="shared" si="321"/>
        <v>0</v>
      </c>
      <c r="BK148" s="11">
        <f t="shared" si="321"/>
        <v>0</v>
      </c>
      <c r="BL148" s="11">
        <f t="shared" si="321"/>
        <v>0</v>
      </c>
      <c r="BM148" s="11">
        <f t="shared" si="321"/>
        <v>0</v>
      </c>
      <c r="BN148" s="11">
        <f t="shared" si="321"/>
        <v>0</v>
      </c>
      <c r="BO148" s="11">
        <f t="shared" si="321"/>
        <v>0</v>
      </c>
      <c r="BP148" s="11">
        <f t="shared" si="321"/>
        <v>0</v>
      </c>
      <c r="BQ148" s="11">
        <f t="shared" si="321"/>
        <v>0</v>
      </c>
      <c r="BR148" s="11">
        <f t="shared" si="321"/>
        <v>0</v>
      </c>
      <c r="BS148" s="71">
        <f t="shared" si="321"/>
        <v>0</v>
      </c>
      <c r="BT148" s="11">
        <f t="shared" ref="BT148:CE148" si="322">BT142*BT145</f>
        <v>0</v>
      </c>
      <c r="BU148" s="11">
        <f t="shared" si="322"/>
        <v>0</v>
      </c>
      <c r="BV148" s="11">
        <f t="shared" si="322"/>
        <v>0</v>
      </c>
      <c r="BW148" s="11">
        <f t="shared" si="322"/>
        <v>0</v>
      </c>
      <c r="BX148" s="11">
        <f t="shared" si="322"/>
        <v>0</v>
      </c>
      <c r="BY148" s="11">
        <f t="shared" si="322"/>
        <v>0</v>
      </c>
      <c r="BZ148" s="11">
        <f t="shared" si="322"/>
        <v>0</v>
      </c>
      <c r="CA148" s="11">
        <f t="shared" si="322"/>
        <v>0</v>
      </c>
      <c r="CB148" s="11">
        <f t="shared" si="322"/>
        <v>0</v>
      </c>
      <c r="CC148" s="11">
        <f t="shared" si="322"/>
        <v>0</v>
      </c>
      <c r="CD148" s="11">
        <f t="shared" si="322"/>
        <v>0</v>
      </c>
      <c r="CE148" s="88">
        <f t="shared" si="322"/>
        <v>0</v>
      </c>
    </row>
    <row r="149" spans="16:83" x14ac:dyDescent="0.35">
      <c r="P149" s="935"/>
      <c r="Q149" s="728" t="s">
        <v>206</v>
      </c>
      <c r="R149" s="219">
        <f t="shared" si="319"/>
        <v>0</v>
      </c>
      <c r="S149" s="219">
        <f t="shared" si="319"/>
        <v>0</v>
      </c>
      <c r="T149" s="219">
        <f t="shared" si="319"/>
        <v>0</v>
      </c>
      <c r="U149" s="219">
        <f t="shared" si="319"/>
        <v>0</v>
      </c>
      <c r="V149" s="225">
        <f t="shared" si="319"/>
        <v>0</v>
      </c>
      <c r="W149" s="700">
        <f t="shared" ref="W149" si="323">W143*W146</f>
        <v>0</v>
      </c>
      <c r="X149" s="11">
        <f t="shared" ref="X149:BS149" si="324">X143*X146</f>
        <v>0</v>
      </c>
      <c r="Y149" s="11">
        <f t="shared" si="324"/>
        <v>0</v>
      </c>
      <c r="Z149" s="11">
        <f t="shared" si="324"/>
        <v>0</v>
      </c>
      <c r="AA149" s="11">
        <f t="shared" si="324"/>
        <v>0</v>
      </c>
      <c r="AB149" s="11">
        <f t="shared" si="324"/>
        <v>0</v>
      </c>
      <c r="AC149" s="11">
        <f t="shared" si="324"/>
        <v>0</v>
      </c>
      <c r="AD149" s="11">
        <f t="shared" si="324"/>
        <v>0</v>
      </c>
      <c r="AE149" s="11">
        <f t="shared" si="324"/>
        <v>0</v>
      </c>
      <c r="AF149" s="11">
        <f t="shared" si="324"/>
        <v>0</v>
      </c>
      <c r="AG149" s="11">
        <f t="shared" si="324"/>
        <v>0</v>
      </c>
      <c r="AH149" s="11">
        <f t="shared" si="324"/>
        <v>0</v>
      </c>
      <c r="AI149" s="71">
        <f t="shared" si="324"/>
        <v>0</v>
      </c>
      <c r="AJ149" s="201">
        <f t="shared" si="324"/>
        <v>0</v>
      </c>
      <c r="AK149" s="11">
        <f t="shared" si="324"/>
        <v>0</v>
      </c>
      <c r="AL149" s="11">
        <f t="shared" si="324"/>
        <v>0</v>
      </c>
      <c r="AM149" s="11">
        <f t="shared" si="324"/>
        <v>0</v>
      </c>
      <c r="AN149" s="11">
        <f t="shared" si="324"/>
        <v>0</v>
      </c>
      <c r="AO149" s="11">
        <f t="shared" si="324"/>
        <v>0</v>
      </c>
      <c r="AP149" s="11">
        <f t="shared" si="324"/>
        <v>0</v>
      </c>
      <c r="AQ149" s="11">
        <f t="shared" si="324"/>
        <v>0</v>
      </c>
      <c r="AR149" s="11">
        <f t="shared" si="324"/>
        <v>0</v>
      </c>
      <c r="AS149" s="11">
        <f t="shared" si="324"/>
        <v>0</v>
      </c>
      <c r="AT149" s="11">
        <f t="shared" si="324"/>
        <v>0</v>
      </c>
      <c r="AU149" s="71">
        <f t="shared" si="324"/>
        <v>0</v>
      </c>
      <c r="AV149" s="11">
        <f t="shared" si="324"/>
        <v>0</v>
      </c>
      <c r="AW149" s="11">
        <f t="shared" si="324"/>
        <v>0</v>
      </c>
      <c r="AX149" s="11">
        <f t="shared" si="324"/>
        <v>0</v>
      </c>
      <c r="AY149" s="11">
        <f t="shared" si="324"/>
        <v>0</v>
      </c>
      <c r="AZ149" s="11">
        <f t="shared" si="324"/>
        <v>0</v>
      </c>
      <c r="BA149" s="11">
        <f t="shared" si="324"/>
        <v>0</v>
      </c>
      <c r="BB149" s="11">
        <f t="shared" si="324"/>
        <v>0</v>
      </c>
      <c r="BC149" s="11">
        <f t="shared" si="324"/>
        <v>0</v>
      </c>
      <c r="BD149" s="11">
        <f t="shared" si="324"/>
        <v>0</v>
      </c>
      <c r="BE149" s="11">
        <f t="shared" si="324"/>
        <v>0</v>
      </c>
      <c r="BF149" s="11">
        <f t="shared" si="324"/>
        <v>0</v>
      </c>
      <c r="BG149" s="71">
        <f t="shared" si="324"/>
        <v>0</v>
      </c>
      <c r="BH149" s="11">
        <f t="shared" si="324"/>
        <v>0</v>
      </c>
      <c r="BI149" s="11">
        <f t="shared" si="324"/>
        <v>0</v>
      </c>
      <c r="BJ149" s="11">
        <f t="shared" si="324"/>
        <v>0</v>
      </c>
      <c r="BK149" s="11">
        <f t="shared" si="324"/>
        <v>0</v>
      </c>
      <c r="BL149" s="11">
        <f t="shared" si="324"/>
        <v>0</v>
      </c>
      <c r="BM149" s="11">
        <f t="shared" si="324"/>
        <v>0</v>
      </c>
      <c r="BN149" s="11">
        <f t="shared" si="324"/>
        <v>0</v>
      </c>
      <c r="BO149" s="11">
        <f t="shared" si="324"/>
        <v>0</v>
      </c>
      <c r="BP149" s="11">
        <f t="shared" si="324"/>
        <v>0</v>
      </c>
      <c r="BQ149" s="11">
        <f t="shared" si="324"/>
        <v>0</v>
      </c>
      <c r="BR149" s="11">
        <f t="shared" si="324"/>
        <v>0</v>
      </c>
      <c r="BS149" s="71">
        <f t="shared" si="324"/>
        <v>0</v>
      </c>
      <c r="BT149" s="11">
        <f t="shared" ref="BT149:CE149" si="325">BT143*BT146</f>
        <v>0</v>
      </c>
      <c r="BU149" s="11">
        <f t="shared" si="325"/>
        <v>0</v>
      </c>
      <c r="BV149" s="11">
        <f t="shared" si="325"/>
        <v>0</v>
      </c>
      <c r="BW149" s="11">
        <f t="shared" si="325"/>
        <v>0</v>
      </c>
      <c r="BX149" s="11">
        <f t="shared" si="325"/>
        <v>0</v>
      </c>
      <c r="BY149" s="11">
        <f t="shared" si="325"/>
        <v>0</v>
      </c>
      <c r="BZ149" s="11">
        <f t="shared" si="325"/>
        <v>0</v>
      </c>
      <c r="CA149" s="11">
        <f t="shared" si="325"/>
        <v>0</v>
      </c>
      <c r="CB149" s="11">
        <f t="shared" si="325"/>
        <v>0</v>
      </c>
      <c r="CC149" s="11">
        <f t="shared" si="325"/>
        <v>0</v>
      </c>
      <c r="CD149" s="11">
        <f t="shared" si="325"/>
        <v>0</v>
      </c>
      <c r="CE149" s="88">
        <f t="shared" si="325"/>
        <v>0</v>
      </c>
    </row>
    <row r="150" spans="16:83" ht="15" thickBot="1" x14ac:dyDescent="0.4">
      <c r="P150" s="935"/>
      <c r="Q150" s="730" t="s">
        <v>165</v>
      </c>
      <c r="R150" s="689">
        <f t="shared" ref="R150:AY150" si="326">SUM(R148:R149)</f>
        <v>0</v>
      </c>
      <c r="S150" s="689">
        <f t="shared" si="326"/>
        <v>0</v>
      </c>
      <c r="T150" s="689">
        <f t="shared" si="326"/>
        <v>0</v>
      </c>
      <c r="U150" s="689">
        <f t="shared" si="326"/>
        <v>0</v>
      </c>
      <c r="V150" s="690">
        <f t="shared" ref="V150:W150" si="327">SUM(V148:V149)</f>
        <v>0</v>
      </c>
      <c r="W150" s="707">
        <f t="shared" si="327"/>
        <v>0</v>
      </c>
      <c r="X150" s="689">
        <f t="shared" si="326"/>
        <v>0</v>
      </c>
      <c r="Y150" s="689">
        <f t="shared" si="326"/>
        <v>0</v>
      </c>
      <c r="Z150" s="689">
        <f t="shared" si="326"/>
        <v>0</v>
      </c>
      <c r="AA150" s="689">
        <f t="shared" si="326"/>
        <v>0</v>
      </c>
      <c r="AB150" s="689">
        <f t="shared" si="326"/>
        <v>0</v>
      </c>
      <c r="AC150" s="689">
        <f t="shared" si="326"/>
        <v>0</v>
      </c>
      <c r="AD150" s="689">
        <f t="shared" si="326"/>
        <v>0</v>
      </c>
      <c r="AE150" s="689">
        <f t="shared" si="326"/>
        <v>0</v>
      </c>
      <c r="AF150" s="689">
        <f t="shared" si="326"/>
        <v>0</v>
      </c>
      <c r="AG150" s="689">
        <f t="shared" si="326"/>
        <v>0</v>
      </c>
      <c r="AH150" s="689">
        <f t="shared" si="326"/>
        <v>0</v>
      </c>
      <c r="AI150" s="690">
        <f t="shared" si="326"/>
        <v>0</v>
      </c>
      <c r="AJ150" s="691">
        <f t="shared" si="326"/>
        <v>0</v>
      </c>
      <c r="AK150" s="689">
        <f t="shared" si="326"/>
        <v>0</v>
      </c>
      <c r="AL150" s="689">
        <f t="shared" si="326"/>
        <v>0</v>
      </c>
      <c r="AM150" s="689">
        <f t="shared" si="326"/>
        <v>0</v>
      </c>
      <c r="AN150" s="689">
        <f t="shared" si="326"/>
        <v>0</v>
      </c>
      <c r="AO150" s="689">
        <f t="shared" si="326"/>
        <v>0</v>
      </c>
      <c r="AP150" s="689">
        <f t="shared" si="326"/>
        <v>0</v>
      </c>
      <c r="AQ150" s="689">
        <f t="shared" si="326"/>
        <v>0</v>
      </c>
      <c r="AR150" s="689">
        <f t="shared" si="326"/>
        <v>0</v>
      </c>
      <c r="AS150" s="689">
        <f t="shared" si="326"/>
        <v>0</v>
      </c>
      <c r="AT150" s="689">
        <f t="shared" si="326"/>
        <v>0</v>
      </c>
      <c r="AU150" s="690">
        <f t="shared" si="326"/>
        <v>0</v>
      </c>
      <c r="AV150" s="691">
        <f t="shared" si="326"/>
        <v>0</v>
      </c>
      <c r="AW150" s="689">
        <f t="shared" si="326"/>
        <v>0</v>
      </c>
      <c r="AX150" s="689">
        <f t="shared" si="326"/>
        <v>0</v>
      </c>
      <c r="AY150" s="689">
        <f t="shared" si="326"/>
        <v>0</v>
      </c>
      <c r="AZ150" s="689">
        <f t="shared" ref="AZ150:BS150" si="328">SUM(AZ148:AZ149)</f>
        <v>0</v>
      </c>
      <c r="BA150" s="689">
        <f t="shared" si="328"/>
        <v>0</v>
      </c>
      <c r="BB150" s="689">
        <f t="shared" si="328"/>
        <v>0</v>
      </c>
      <c r="BC150" s="689">
        <f t="shared" si="328"/>
        <v>0</v>
      </c>
      <c r="BD150" s="689">
        <f t="shared" si="328"/>
        <v>0</v>
      </c>
      <c r="BE150" s="689">
        <f t="shared" si="328"/>
        <v>0</v>
      </c>
      <c r="BF150" s="689">
        <f t="shared" si="328"/>
        <v>0</v>
      </c>
      <c r="BG150" s="690">
        <f t="shared" si="328"/>
        <v>0</v>
      </c>
      <c r="BH150" s="689">
        <f t="shared" si="328"/>
        <v>0</v>
      </c>
      <c r="BI150" s="689">
        <f t="shared" si="328"/>
        <v>0</v>
      </c>
      <c r="BJ150" s="689">
        <f t="shared" si="328"/>
        <v>0</v>
      </c>
      <c r="BK150" s="689">
        <f t="shared" si="328"/>
        <v>0</v>
      </c>
      <c r="BL150" s="689">
        <f t="shared" si="328"/>
        <v>0</v>
      </c>
      <c r="BM150" s="689">
        <f t="shared" si="328"/>
        <v>0</v>
      </c>
      <c r="BN150" s="689">
        <f t="shared" si="328"/>
        <v>0</v>
      </c>
      <c r="BO150" s="689">
        <f t="shared" si="328"/>
        <v>0</v>
      </c>
      <c r="BP150" s="689">
        <f t="shared" si="328"/>
        <v>0</v>
      </c>
      <c r="BQ150" s="689">
        <f t="shared" si="328"/>
        <v>0</v>
      </c>
      <c r="BR150" s="689">
        <f t="shared" si="328"/>
        <v>0</v>
      </c>
      <c r="BS150" s="690">
        <f t="shared" si="328"/>
        <v>0</v>
      </c>
      <c r="BT150" s="689">
        <f t="shared" ref="BT150:CE150" si="329">SUM(BT148:BT149)</f>
        <v>0</v>
      </c>
      <c r="BU150" s="689">
        <f t="shared" si="329"/>
        <v>0</v>
      </c>
      <c r="BV150" s="689">
        <f t="shared" si="329"/>
        <v>0</v>
      </c>
      <c r="BW150" s="689">
        <f t="shared" si="329"/>
        <v>0</v>
      </c>
      <c r="BX150" s="689">
        <f t="shared" si="329"/>
        <v>0</v>
      </c>
      <c r="BY150" s="689">
        <f t="shared" si="329"/>
        <v>0</v>
      </c>
      <c r="BZ150" s="689">
        <f t="shared" si="329"/>
        <v>0</v>
      </c>
      <c r="CA150" s="689">
        <f t="shared" si="329"/>
        <v>0</v>
      </c>
      <c r="CB150" s="689">
        <f t="shared" si="329"/>
        <v>0</v>
      </c>
      <c r="CC150" s="689">
        <f t="shared" si="329"/>
        <v>0</v>
      </c>
      <c r="CD150" s="689">
        <f t="shared" si="329"/>
        <v>0</v>
      </c>
      <c r="CE150" s="692">
        <f t="shared" si="329"/>
        <v>0</v>
      </c>
    </row>
    <row r="151" spans="16:83" x14ac:dyDescent="0.35">
      <c r="Q151" s="229" t="s">
        <v>288</v>
      </c>
      <c r="R151" s="758" t="e">
        <f>R150/R144/12</f>
        <v>#DIV/0!</v>
      </c>
      <c r="S151" s="758" t="e">
        <f>S150/S144/12</f>
        <v>#DIV/0!</v>
      </c>
      <c r="T151" s="758" t="e">
        <f>T150/T144/12</f>
        <v>#DIV/0!</v>
      </c>
      <c r="U151" s="758" t="e">
        <f>U150/U144/12</f>
        <v>#DIV/0!</v>
      </c>
      <c r="V151" s="758" t="e">
        <f>V150/V144/12</f>
        <v>#DIV/0!</v>
      </c>
      <c r="AU151" s="712"/>
      <c r="AV151" s="712"/>
      <c r="AW151" s="712"/>
      <c r="AX151" s="712"/>
      <c r="AY151" s="712"/>
      <c r="AZ151" s="712"/>
      <c r="BA151" s="712"/>
      <c r="BB151" s="712"/>
      <c r="BC151" s="712"/>
      <c r="BD151" s="712"/>
      <c r="BE151" s="712"/>
      <c r="BF151" s="712"/>
      <c r="BG151" s="712"/>
      <c r="BS151" s="712"/>
      <c r="CE151" s="712"/>
    </row>
    <row r="152" spans="16:83" x14ac:dyDescent="0.35">
      <c r="P152" s="7"/>
      <c r="Q152" s="660" t="s">
        <v>260</v>
      </c>
      <c r="R152" s="694" t="e">
        <f>R151/('UW Model'!$I$48/12)-1</f>
        <v>#DIV/0!</v>
      </c>
      <c r="S152" s="694" t="e">
        <f>S151/R151-1</f>
        <v>#DIV/0!</v>
      </c>
      <c r="T152" s="694" t="e">
        <f>T151/S151-1</f>
        <v>#DIV/0!</v>
      </c>
      <c r="U152" s="694" t="e">
        <f>U151/T151-1</f>
        <v>#DIV/0!</v>
      </c>
      <c r="V152" s="694" t="e">
        <f>V151/U151-1</f>
        <v>#DIV/0!</v>
      </c>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c r="BK152" s="7"/>
      <c r="BL152" s="7"/>
      <c r="BM152" s="7"/>
      <c r="BN152" s="7"/>
      <c r="BO152" s="7"/>
      <c r="BP152" s="7"/>
      <c r="BQ152" s="7"/>
      <c r="BR152" s="7"/>
      <c r="BS152" s="7"/>
      <c r="BT152" s="7"/>
      <c r="BU152" s="7"/>
      <c r="BV152" s="7"/>
      <c r="BW152" s="7"/>
      <c r="BX152" s="7"/>
      <c r="BY152" s="7"/>
      <c r="BZ152" s="7"/>
      <c r="CA152" s="7"/>
      <c r="CB152" s="7"/>
      <c r="CC152" s="7"/>
      <c r="CD152" s="7"/>
      <c r="CE152" s="7"/>
    </row>
    <row r="153" spans="16:83" x14ac:dyDescent="0.35">
      <c r="Q153" s="229" t="s">
        <v>287</v>
      </c>
      <c r="R153" s="231" t="e">
        <f>_xlfn.MAXIFS($X147:$CE147,$X$2:$CE$2,R$2)</f>
        <v>#DIV/0!</v>
      </c>
      <c r="S153" s="231" t="e">
        <f t="shared" ref="S153:V153" si="330">_xlfn.MAXIFS($X147:$CE147,$X$2:$CE$2,S$2)</f>
        <v>#DIV/0!</v>
      </c>
      <c r="T153" s="231" t="e">
        <f t="shared" si="330"/>
        <v>#DIV/0!</v>
      </c>
      <c r="U153" s="231" t="e">
        <f t="shared" si="330"/>
        <v>#DIV/0!</v>
      </c>
      <c r="V153" s="231" t="e">
        <f t="shared" si="330"/>
        <v>#DIV/0!</v>
      </c>
      <c r="W153" s="281"/>
      <c r="X153" s="281" t="e">
        <f>X152/'UW Model'!$H$43</f>
        <v>#DIV/0!</v>
      </c>
      <c r="Y153" s="281" t="e">
        <f>Y152/'UW Model'!$H$43</f>
        <v>#DIV/0!</v>
      </c>
      <c r="Z153" s="281" t="e">
        <f>Z152/'UW Model'!$H$43</f>
        <v>#DIV/0!</v>
      </c>
      <c r="AA153" s="281" t="e">
        <f>AA152/'UW Model'!$H$43</f>
        <v>#DIV/0!</v>
      </c>
      <c r="AB153" s="281" t="e">
        <f>AB152/'UW Model'!$H$43</f>
        <v>#DIV/0!</v>
      </c>
      <c r="AC153" s="281" t="e">
        <f>AC152/'UW Model'!$H$43</f>
        <v>#DIV/0!</v>
      </c>
      <c r="AD153" s="281" t="e">
        <f>AD152/'UW Model'!$H$43</f>
        <v>#DIV/0!</v>
      </c>
      <c r="AE153" s="281" t="e">
        <f>AE152/'UW Model'!$H$43</f>
        <v>#DIV/0!</v>
      </c>
      <c r="AF153" s="281" t="e">
        <f>AF152/'UW Model'!$H$43</f>
        <v>#DIV/0!</v>
      </c>
      <c r="AG153" s="281" t="e">
        <f>AG152/'UW Model'!$H$43</f>
        <v>#DIV/0!</v>
      </c>
      <c r="AH153" s="281" t="e">
        <f>AH152/'UW Model'!$H$43</f>
        <v>#DIV/0!</v>
      </c>
      <c r="AI153" s="281" t="e">
        <f>AI152/'UW Model'!$H$43</f>
        <v>#DIV/0!</v>
      </c>
      <c r="AJ153" s="281" t="e">
        <f>AJ152/'UW Model'!$H$43</f>
        <v>#DIV/0!</v>
      </c>
      <c r="AK153" s="281" t="e">
        <f>AK152/'UW Model'!$H$43</f>
        <v>#DIV/0!</v>
      </c>
      <c r="AL153" s="281" t="e">
        <f>AL152/'UW Model'!$H$43</f>
        <v>#DIV/0!</v>
      </c>
      <c r="AM153" s="281" t="e">
        <f>AM152/'UW Model'!$H$43</f>
        <v>#DIV/0!</v>
      </c>
      <c r="AN153" s="281" t="e">
        <f>AN152/'UW Model'!$H$43</f>
        <v>#DIV/0!</v>
      </c>
      <c r="AO153" s="281" t="e">
        <f>AO152/'UW Model'!$H$43</f>
        <v>#DIV/0!</v>
      </c>
      <c r="AP153" s="281" t="e">
        <f>AP152/'UW Model'!$H$43</f>
        <v>#DIV/0!</v>
      </c>
      <c r="AQ153" s="281" t="e">
        <f>AQ152/'UW Model'!$H$43</f>
        <v>#DIV/0!</v>
      </c>
      <c r="AR153" s="281" t="e">
        <f>AR152/'UW Model'!$H$43</f>
        <v>#DIV/0!</v>
      </c>
      <c r="AS153" s="281" t="e">
        <f>AS152/'UW Model'!$H$43</f>
        <v>#DIV/0!</v>
      </c>
      <c r="AT153" s="281" t="e">
        <f>AT152/'UW Model'!$H$43</f>
        <v>#DIV/0!</v>
      </c>
      <c r="AU153" s="281" t="e">
        <f>AU152/'UW Model'!$H$43</f>
        <v>#DIV/0!</v>
      </c>
      <c r="AV153" s="281" t="e">
        <f>AV152/'UW Model'!$H$43</f>
        <v>#DIV/0!</v>
      </c>
      <c r="AW153" s="281" t="e">
        <f>AW152/'UW Model'!$H$43</f>
        <v>#DIV/0!</v>
      </c>
      <c r="AX153" s="281" t="e">
        <f>AX152/'UW Model'!$H$43</f>
        <v>#DIV/0!</v>
      </c>
      <c r="AY153" s="281" t="e">
        <f>AY152/'UW Model'!$H$43</f>
        <v>#DIV/0!</v>
      </c>
      <c r="AZ153" s="281" t="e">
        <f>AZ152/'UW Model'!$H$43</f>
        <v>#DIV/0!</v>
      </c>
      <c r="BA153" s="281" t="e">
        <f>BA152/'UW Model'!$H$43</f>
        <v>#DIV/0!</v>
      </c>
      <c r="BB153" s="281" t="e">
        <f>BB152/'UW Model'!$H$43</f>
        <v>#DIV/0!</v>
      </c>
      <c r="BC153" s="281" t="e">
        <f>BC152/'UW Model'!$H$43</f>
        <v>#DIV/0!</v>
      </c>
      <c r="BD153" s="281" t="e">
        <f>BD152/'UW Model'!$H$43</f>
        <v>#DIV/0!</v>
      </c>
      <c r="BE153" s="281" t="e">
        <f>BE152/'UW Model'!$H$43</f>
        <v>#DIV/0!</v>
      </c>
      <c r="BF153" s="281" t="e">
        <f>BF152/'UW Model'!$H$43</f>
        <v>#DIV/0!</v>
      </c>
      <c r="BG153" s="281" t="e">
        <f>BG152/'UW Model'!$H$43</f>
        <v>#DIV/0!</v>
      </c>
      <c r="BH153" s="281" t="e">
        <f>BH152/'UW Model'!$H$43</f>
        <v>#DIV/0!</v>
      </c>
      <c r="BI153" s="281" t="e">
        <f>BI152/'UW Model'!$H$43</f>
        <v>#DIV/0!</v>
      </c>
      <c r="BJ153" s="281" t="e">
        <f>BJ152/'UW Model'!$H$43</f>
        <v>#DIV/0!</v>
      </c>
      <c r="BK153" s="281" t="e">
        <f>BK152/'UW Model'!$H$43</f>
        <v>#DIV/0!</v>
      </c>
      <c r="BL153" s="281" t="e">
        <f>BL152/'UW Model'!$H$43</f>
        <v>#DIV/0!</v>
      </c>
      <c r="BM153" s="281" t="e">
        <f>BM152/'UW Model'!$H$43</f>
        <v>#DIV/0!</v>
      </c>
      <c r="BN153" s="281" t="e">
        <f>BN152/'UW Model'!$H$43</f>
        <v>#DIV/0!</v>
      </c>
      <c r="BO153" s="281" t="e">
        <f>BO152/'UW Model'!$H$43</f>
        <v>#DIV/0!</v>
      </c>
      <c r="BP153" s="281" t="e">
        <f>BP152/'UW Model'!$H$43</f>
        <v>#DIV/0!</v>
      </c>
      <c r="BQ153" s="281" t="e">
        <f>BQ152/'UW Model'!$H$43</f>
        <v>#DIV/0!</v>
      </c>
      <c r="BR153" s="281" t="e">
        <f>BR152/'UW Model'!$H$43</f>
        <v>#DIV/0!</v>
      </c>
      <c r="BS153" s="281" t="e">
        <f>BS152/'UW Model'!$H$43</f>
        <v>#DIV/0!</v>
      </c>
      <c r="BT153" s="281" t="e">
        <f>BT152/'UW Model'!$H$43</f>
        <v>#DIV/0!</v>
      </c>
      <c r="BU153" s="281" t="e">
        <f>BU152/'UW Model'!$H$43</f>
        <v>#DIV/0!</v>
      </c>
      <c r="BV153" s="281" t="e">
        <f>BV152/'UW Model'!$H$43</f>
        <v>#DIV/0!</v>
      </c>
      <c r="BW153" s="281" t="e">
        <f>BW152/'UW Model'!$H$43</f>
        <v>#DIV/0!</v>
      </c>
      <c r="BX153" s="281" t="e">
        <f>BX152/'UW Model'!$H$43</f>
        <v>#DIV/0!</v>
      </c>
      <c r="BY153" s="281" t="e">
        <f>BY152/'UW Model'!$H$43</f>
        <v>#DIV/0!</v>
      </c>
      <c r="BZ153" s="281" t="e">
        <f>BZ152/'UW Model'!$H$43</f>
        <v>#DIV/0!</v>
      </c>
      <c r="CA153" s="281" t="e">
        <f>CA152/'UW Model'!$H$43</f>
        <v>#DIV/0!</v>
      </c>
      <c r="CB153" s="281" t="e">
        <f>CB152/'UW Model'!$H$43</f>
        <v>#DIV/0!</v>
      </c>
      <c r="CC153" s="281" t="e">
        <f>CC152/'UW Model'!$H$43</f>
        <v>#DIV/0!</v>
      </c>
      <c r="CD153" s="281" t="e">
        <f>CD152/'UW Model'!$H$43</f>
        <v>#DIV/0!</v>
      </c>
      <c r="CE153" s="281" t="e">
        <f>CE152/'UW Model'!$H$43</f>
        <v>#DIV/0!</v>
      </c>
    </row>
    <row r="154" spans="16:83" x14ac:dyDescent="0.35">
      <c r="Q154" s="660" t="s">
        <v>260</v>
      </c>
      <c r="R154" s="694" t="e">
        <f>R153/('UW Model'!$I$48/12)-1</f>
        <v>#DIV/0!</v>
      </c>
      <c r="S154" s="694" t="e">
        <f>S153/R153-1</f>
        <v>#DIV/0!</v>
      </c>
      <c r="T154" s="694" t="e">
        <f>T153/S153-1</f>
        <v>#DIV/0!</v>
      </c>
      <c r="U154" s="694" t="e">
        <f>U153/T153-1</f>
        <v>#DIV/0!</v>
      </c>
      <c r="V154" s="694" t="e">
        <f>V153/U153-1</f>
        <v>#DIV/0!</v>
      </c>
    </row>
    <row r="155" spans="16:83" x14ac:dyDescent="0.35">
      <c r="P155" s="7"/>
      <c r="Q155" s="660"/>
      <c r="R155" s="694"/>
      <c r="S155" s="694"/>
      <c r="T155" s="694"/>
      <c r="U155" s="694"/>
      <c r="V155" s="694"/>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c r="BE155" s="7"/>
      <c r="BF155" s="7"/>
      <c r="BG155" s="7"/>
      <c r="BH155" s="7"/>
      <c r="BI155" s="7"/>
      <c r="BJ155" s="7"/>
      <c r="BK155" s="7"/>
      <c r="BL155" s="7"/>
      <c r="BM155" s="7"/>
      <c r="BN155" s="7"/>
      <c r="BO155" s="7"/>
      <c r="BP155" s="7"/>
      <c r="BQ155" s="7"/>
      <c r="BR155" s="7"/>
      <c r="BS155" s="7"/>
      <c r="BT155" s="7"/>
      <c r="BU155" s="7"/>
      <c r="BV155" s="7"/>
      <c r="BW155" s="7"/>
      <c r="BX155" s="7"/>
      <c r="BY155" s="7"/>
      <c r="BZ155" s="7"/>
      <c r="CA155" s="7"/>
      <c r="CB155" s="7"/>
      <c r="CC155" s="7"/>
      <c r="CD155" s="7"/>
      <c r="CE155" s="7"/>
    </row>
    <row r="156" spans="16:83" ht="15" thickBot="1" x14ac:dyDescent="0.4">
      <c r="P156" s="7"/>
      <c r="Q156" s="422" t="s">
        <v>276</v>
      </c>
      <c r="R156" s="7"/>
      <c r="S156" s="7"/>
      <c r="T156" s="7"/>
      <c r="U156" s="7"/>
      <c r="V156" s="7"/>
      <c r="W156" s="786" t="s">
        <v>332</v>
      </c>
      <c r="X156" s="875">
        <f>(1+(HLOOKUP(X$2,'UW Model'!$M$103:$Q$104,2,0)/12))</f>
        <v>1.0024999999999999</v>
      </c>
      <c r="Y156" s="875">
        <f>(1+(HLOOKUP(Y$2,'UW Model'!$M$103:$Q$104,2,0)/12))</f>
        <v>1.0024999999999999</v>
      </c>
      <c r="Z156" s="875">
        <f>(1+(HLOOKUP(Z$2,'UW Model'!$M$103:$Q$104,2,0)/12))</f>
        <v>1.0024999999999999</v>
      </c>
      <c r="AA156" s="875">
        <f>(1+(HLOOKUP(AA$2,'UW Model'!$M$103:$Q$104,2,0)/12))</f>
        <v>1.0024999999999999</v>
      </c>
      <c r="AB156" s="875">
        <f>(1+(HLOOKUP(AB$2,'UW Model'!$M$103:$Q$104,2,0)/12))</f>
        <v>1.0024999999999999</v>
      </c>
      <c r="AC156" s="875">
        <f>(1+(HLOOKUP(AC$2,'UW Model'!$M$103:$Q$104,2,0)/12))</f>
        <v>1.0024999999999999</v>
      </c>
      <c r="AD156" s="875">
        <f>(1+(HLOOKUP(AD$2,'UW Model'!$M$103:$Q$104,2,0)/12))</f>
        <v>1.0024999999999999</v>
      </c>
      <c r="AE156" s="875">
        <f>(1+(HLOOKUP(AE$2,'UW Model'!$M$103:$Q$104,2,0)/12))</f>
        <v>1.0024999999999999</v>
      </c>
      <c r="AF156" s="875">
        <f>(1+(HLOOKUP(AF$2,'UW Model'!$M$103:$Q$104,2,0)/12))</f>
        <v>1.0024999999999999</v>
      </c>
      <c r="AG156" s="875">
        <f>(1+(HLOOKUP(AG$2,'UW Model'!$M$103:$Q$104,2,0)/12))</f>
        <v>1.0024999999999999</v>
      </c>
      <c r="AH156" s="875">
        <f>(1+(HLOOKUP(AH$2,'UW Model'!$M$103:$Q$104,2,0)/12))</f>
        <v>1.0024999999999999</v>
      </c>
      <c r="AI156" s="875">
        <f>(1+(HLOOKUP(AI$2,'UW Model'!$M$103:$Q$104,2,0)/12))</f>
        <v>1.0024999999999999</v>
      </c>
      <c r="AJ156" s="875">
        <f>(1+(HLOOKUP(AJ$2,'UW Model'!$M$103:$Q$104,2,0)/12))</f>
        <v>1.0024999999999999</v>
      </c>
      <c r="AK156" s="875">
        <f>(1+(HLOOKUP(AK$2,'UW Model'!$M$103:$Q$104,2,0)/12))</f>
        <v>1.0024999999999999</v>
      </c>
      <c r="AL156" s="875">
        <f>(1+(HLOOKUP(AL$2,'UW Model'!$M$103:$Q$104,2,0)/12))</f>
        <v>1.0024999999999999</v>
      </c>
      <c r="AM156" s="875">
        <f>(1+(HLOOKUP(AM$2,'UW Model'!$M$103:$Q$104,2,0)/12))</f>
        <v>1.0024999999999999</v>
      </c>
      <c r="AN156" s="875">
        <f>(1+(HLOOKUP(AN$2,'UW Model'!$M$103:$Q$104,2,0)/12))</f>
        <v>1.0024999999999999</v>
      </c>
      <c r="AO156" s="875">
        <f>(1+(HLOOKUP(AO$2,'UW Model'!$M$103:$Q$104,2,0)/12))</f>
        <v>1.0024999999999999</v>
      </c>
      <c r="AP156" s="875">
        <f>(1+(HLOOKUP(AP$2,'UW Model'!$M$103:$Q$104,2,0)/12))</f>
        <v>1.0024999999999999</v>
      </c>
      <c r="AQ156" s="875">
        <f>(1+(HLOOKUP(AQ$2,'UW Model'!$M$103:$Q$104,2,0)/12))</f>
        <v>1.0024999999999999</v>
      </c>
      <c r="AR156" s="875">
        <f>(1+(HLOOKUP(AR$2,'UW Model'!$M$103:$Q$104,2,0)/12))</f>
        <v>1.0024999999999999</v>
      </c>
      <c r="AS156" s="875">
        <f>(1+(HLOOKUP(AS$2,'UW Model'!$M$103:$Q$104,2,0)/12))</f>
        <v>1.0024999999999999</v>
      </c>
      <c r="AT156" s="875">
        <f>(1+(HLOOKUP(AT$2,'UW Model'!$M$103:$Q$104,2,0)/12))</f>
        <v>1.0024999999999999</v>
      </c>
      <c r="AU156" s="875">
        <f>(1+(HLOOKUP(AU$2,'UW Model'!$M$103:$Q$104,2,0)/12))</f>
        <v>1.0024999999999999</v>
      </c>
      <c r="AV156" s="875">
        <f>(1+(HLOOKUP(AV$2,'UW Model'!$M$103:$Q$104,2,0)/12))</f>
        <v>1.0024999999999999</v>
      </c>
      <c r="AW156" s="875">
        <f>(1+(HLOOKUP(AW$2,'UW Model'!$M$103:$Q$104,2,0)/12))</f>
        <v>1.0024999999999999</v>
      </c>
      <c r="AX156" s="875">
        <f>(1+(HLOOKUP(AX$2,'UW Model'!$M$103:$Q$104,2,0)/12))</f>
        <v>1.0024999999999999</v>
      </c>
      <c r="AY156" s="875">
        <f>(1+(HLOOKUP(AY$2,'UW Model'!$M$103:$Q$104,2,0)/12))</f>
        <v>1.0024999999999999</v>
      </c>
      <c r="AZ156" s="875">
        <f>(1+(HLOOKUP(AZ$2,'UW Model'!$M$103:$Q$104,2,0)/12))</f>
        <v>1.0024999999999999</v>
      </c>
      <c r="BA156" s="875">
        <f>(1+(HLOOKUP(BA$2,'UW Model'!$M$103:$Q$104,2,0)/12))</f>
        <v>1.0024999999999999</v>
      </c>
      <c r="BB156" s="875">
        <f>(1+(HLOOKUP(BB$2,'UW Model'!$M$103:$Q$104,2,0)/12))</f>
        <v>1.0024999999999999</v>
      </c>
      <c r="BC156" s="875">
        <f>(1+(HLOOKUP(BC$2,'UW Model'!$M$103:$Q$104,2,0)/12))</f>
        <v>1.0024999999999999</v>
      </c>
      <c r="BD156" s="875">
        <f>(1+(HLOOKUP(BD$2,'UW Model'!$M$103:$Q$104,2,0)/12))</f>
        <v>1.0024999999999999</v>
      </c>
      <c r="BE156" s="875">
        <f>(1+(HLOOKUP(BE$2,'UW Model'!$M$103:$Q$104,2,0)/12))</f>
        <v>1.0024999999999999</v>
      </c>
      <c r="BF156" s="875">
        <f>(1+(HLOOKUP(BF$2,'UW Model'!$M$103:$Q$104,2,0)/12))</f>
        <v>1.0024999999999999</v>
      </c>
      <c r="BG156" s="875">
        <f>(1+(HLOOKUP(BG$2,'UW Model'!$M$103:$Q$104,2,0)/12))</f>
        <v>1.0024999999999999</v>
      </c>
      <c r="BH156" s="875">
        <f>(1+(HLOOKUP(BH$2,'UW Model'!$M$103:$Q$104,2,0)/12))</f>
        <v>1.0024999999999999</v>
      </c>
      <c r="BI156" s="875">
        <f>(1+(HLOOKUP(BI$2,'UW Model'!$M$103:$Q$104,2,0)/12))</f>
        <v>1.0024999999999999</v>
      </c>
      <c r="BJ156" s="875">
        <f>(1+(HLOOKUP(BJ$2,'UW Model'!$M$103:$Q$104,2,0)/12))</f>
        <v>1.0024999999999999</v>
      </c>
      <c r="BK156" s="875">
        <f>(1+(HLOOKUP(BK$2,'UW Model'!$M$103:$Q$104,2,0)/12))</f>
        <v>1.0024999999999999</v>
      </c>
      <c r="BL156" s="875">
        <f>(1+(HLOOKUP(BL$2,'UW Model'!$M$103:$Q$104,2,0)/12))</f>
        <v>1.0024999999999999</v>
      </c>
      <c r="BM156" s="875">
        <f>(1+(HLOOKUP(BM$2,'UW Model'!$M$103:$Q$104,2,0)/12))</f>
        <v>1.0024999999999999</v>
      </c>
      <c r="BN156" s="875">
        <f>(1+(HLOOKUP(BN$2,'UW Model'!$M$103:$Q$104,2,0)/12))</f>
        <v>1.0024999999999999</v>
      </c>
      <c r="BO156" s="875">
        <f>(1+(HLOOKUP(BO$2,'UW Model'!$M$103:$Q$104,2,0)/12))</f>
        <v>1.0024999999999999</v>
      </c>
      <c r="BP156" s="875">
        <f>(1+(HLOOKUP(BP$2,'UW Model'!$M$103:$Q$104,2,0)/12))</f>
        <v>1.0024999999999999</v>
      </c>
      <c r="BQ156" s="875">
        <f>(1+(HLOOKUP(BQ$2,'UW Model'!$M$103:$Q$104,2,0)/12))</f>
        <v>1.0024999999999999</v>
      </c>
      <c r="BR156" s="875">
        <f>(1+(HLOOKUP(BR$2,'UW Model'!$M$103:$Q$104,2,0)/12))</f>
        <v>1.0024999999999999</v>
      </c>
      <c r="BS156" s="875">
        <f>(1+(HLOOKUP(BS$2,'UW Model'!$M$103:$Q$104,2,0)/12))</f>
        <v>1.0024999999999999</v>
      </c>
      <c r="BT156" s="875">
        <f>(1+(HLOOKUP(BT$2,'UW Model'!$M$103:$Q$104,2,0)/12))</f>
        <v>1.0024999999999999</v>
      </c>
      <c r="BU156" s="875">
        <f>(1+(HLOOKUP(BU$2,'UW Model'!$M$103:$Q$104,2,0)/12))</f>
        <v>1.0024999999999999</v>
      </c>
      <c r="BV156" s="875">
        <f>(1+(HLOOKUP(BV$2,'UW Model'!$M$103:$Q$104,2,0)/12))</f>
        <v>1.0024999999999999</v>
      </c>
      <c r="BW156" s="875">
        <f>(1+(HLOOKUP(BW$2,'UW Model'!$M$103:$Q$104,2,0)/12))</f>
        <v>1.0024999999999999</v>
      </c>
      <c r="BX156" s="875">
        <f>(1+(HLOOKUP(BX$2,'UW Model'!$M$103:$Q$104,2,0)/12))</f>
        <v>1.0024999999999999</v>
      </c>
      <c r="BY156" s="875">
        <f>(1+(HLOOKUP(BY$2,'UW Model'!$M$103:$Q$104,2,0)/12))</f>
        <v>1.0024999999999999</v>
      </c>
      <c r="BZ156" s="875">
        <f>(1+(HLOOKUP(BZ$2,'UW Model'!$M$103:$Q$104,2,0)/12))</f>
        <v>1.0024999999999999</v>
      </c>
      <c r="CA156" s="875">
        <f>(1+(HLOOKUP(CA$2,'UW Model'!$M$103:$Q$104,2,0)/12))</f>
        <v>1.0024999999999999</v>
      </c>
      <c r="CB156" s="875">
        <f>(1+(HLOOKUP(CB$2,'UW Model'!$M$103:$Q$104,2,0)/12))</f>
        <v>1.0024999999999999</v>
      </c>
      <c r="CC156" s="875">
        <f>(1+(HLOOKUP(CC$2,'UW Model'!$M$103:$Q$104,2,0)/12))</f>
        <v>1.0024999999999999</v>
      </c>
      <c r="CD156" s="875">
        <f>(1+(HLOOKUP(CD$2,'UW Model'!$M$103:$Q$104,2,0)/12))</f>
        <v>1.0024999999999999</v>
      </c>
      <c r="CE156" s="875">
        <f>(1+(HLOOKUP(CE$2,'UW Model'!$M$103:$Q$104,2,0)/12))</f>
        <v>1.0024999999999999</v>
      </c>
    </row>
    <row r="157" spans="16:83" x14ac:dyDescent="0.35">
      <c r="P157" s="7"/>
      <c r="Q157" s="749" t="s">
        <v>269</v>
      </c>
      <c r="R157" s="750"/>
      <c r="S157" s="751"/>
      <c r="T157" s="751"/>
      <c r="U157" s="751"/>
      <c r="V157" s="752"/>
      <c r="W157" s="750"/>
      <c r="X157" s="750">
        <f>X117*'UW Model'!$H$43</f>
        <v>0</v>
      </c>
      <c r="Y157" s="751">
        <f>Y156*X157</f>
        <v>0</v>
      </c>
      <c r="Z157" s="751">
        <f t="shared" ref="Z157:CE157" si="331">Z156*Y157</f>
        <v>0</v>
      </c>
      <c r="AA157" s="751">
        <f t="shared" si="331"/>
        <v>0</v>
      </c>
      <c r="AB157" s="751">
        <f t="shared" si="331"/>
        <v>0</v>
      </c>
      <c r="AC157" s="751">
        <f t="shared" si="331"/>
        <v>0</v>
      </c>
      <c r="AD157" s="751">
        <f t="shared" si="331"/>
        <v>0</v>
      </c>
      <c r="AE157" s="751">
        <f t="shared" si="331"/>
        <v>0</v>
      </c>
      <c r="AF157" s="751">
        <f t="shared" si="331"/>
        <v>0</v>
      </c>
      <c r="AG157" s="751">
        <f t="shared" si="331"/>
        <v>0</v>
      </c>
      <c r="AH157" s="751">
        <f t="shared" si="331"/>
        <v>0</v>
      </c>
      <c r="AI157" s="752">
        <f t="shared" si="331"/>
        <v>0</v>
      </c>
      <c r="AJ157" s="750">
        <f t="shared" si="331"/>
        <v>0</v>
      </c>
      <c r="AK157" s="751">
        <f t="shared" si="331"/>
        <v>0</v>
      </c>
      <c r="AL157" s="751">
        <f t="shared" si="331"/>
        <v>0</v>
      </c>
      <c r="AM157" s="751">
        <f t="shared" si="331"/>
        <v>0</v>
      </c>
      <c r="AN157" s="751">
        <f t="shared" si="331"/>
        <v>0</v>
      </c>
      <c r="AO157" s="751">
        <f t="shared" si="331"/>
        <v>0</v>
      </c>
      <c r="AP157" s="751">
        <f t="shared" si="331"/>
        <v>0</v>
      </c>
      <c r="AQ157" s="751">
        <f t="shared" si="331"/>
        <v>0</v>
      </c>
      <c r="AR157" s="751">
        <f t="shared" si="331"/>
        <v>0</v>
      </c>
      <c r="AS157" s="751">
        <f t="shared" si="331"/>
        <v>0</v>
      </c>
      <c r="AT157" s="751">
        <f t="shared" si="331"/>
        <v>0</v>
      </c>
      <c r="AU157" s="752">
        <f t="shared" si="331"/>
        <v>0</v>
      </c>
      <c r="AV157" s="750">
        <f t="shared" si="331"/>
        <v>0</v>
      </c>
      <c r="AW157" s="751">
        <f t="shared" si="331"/>
        <v>0</v>
      </c>
      <c r="AX157" s="751">
        <f t="shared" si="331"/>
        <v>0</v>
      </c>
      <c r="AY157" s="751">
        <f t="shared" si="331"/>
        <v>0</v>
      </c>
      <c r="AZ157" s="751">
        <f t="shared" si="331"/>
        <v>0</v>
      </c>
      <c r="BA157" s="751">
        <f t="shared" si="331"/>
        <v>0</v>
      </c>
      <c r="BB157" s="751">
        <f t="shared" si="331"/>
        <v>0</v>
      </c>
      <c r="BC157" s="751">
        <f t="shared" si="331"/>
        <v>0</v>
      </c>
      <c r="BD157" s="751">
        <f t="shared" si="331"/>
        <v>0</v>
      </c>
      <c r="BE157" s="751">
        <f t="shared" si="331"/>
        <v>0</v>
      </c>
      <c r="BF157" s="751">
        <f t="shared" si="331"/>
        <v>0</v>
      </c>
      <c r="BG157" s="752">
        <f t="shared" si="331"/>
        <v>0</v>
      </c>
      <c r="BH157" s="751">
        <f t="shared" si="331"/>
        <v>0</v>
      </c>
      <c r="BI157" s="751">
        <f t="shared" si="331"/>
        <v>0</v>
      </c>
      <c r="BJ157" s="751">
        <f t="shared" si="331"/>
        <v>0</v>
      </c>
      <c r="BK157" s="751">
        <f t="shared" si="331"/>
        <v>0</v>
      </c>
      <c r="BL157" s="751">
        <f t="shared" si="331"/>
        <v>0</v>
      </c>
      <c r="BM157" s="751">
        <f t="shared" si="331"/>
        <v>0</v>
      </c>
      <c r="BN157" s="751">
        <f t="shared" si="331"/>
        <v>0</v>
      </c>
      <c r="BO157" s="751">
        <f t="shared" si="331"/>
        <v>0</v>
      </c>
      <c r="BP157" s="751">
        <f t="shared" si="331"/>
        <v>0</v>
      </c>
      <c r="BQ157" s="751">
        <f t="shared" si="331"/>
        <v>0</v>
      </c>
      <c r="BR157" s="751">
        <f t="shared" si="331"/>
        <v>0</v>
      </c>
      <c r="BS157" s="752">
        <f t="shared" si="331"/>
        <v>0</v>
      </c>
      <c r="BT157" s="751">
        <f t="shared" si="331"/>
        <v>0</v>
      </c>
      <c r="BU157" s="751">
        <f t="shared" si="331"/>
        <v>0</v>
      </c>
      <c r="BV157" s="751">
        <f t="shared" si="331"/>
        <v>0</v>
      </c>
      <c r="BW157" s="751">
        <f t="shared" si="331"/>
        <v>0</v>
      </c>
      <c r="BX157" s="751">
        <f t="shared" si="331"/>
        <v>0</v>
      </c>
      <c r="BY157" s="751">
        <f t="shared" si="331"/>
        <v>0</v>
      </c>
      <c r="BZ157" s="751">
        <f t="shared" si="331"/>
        <v>0</v>
      </c>
      <c r="CA157" s="751">
        <f t="shared" si="331"/>
        <v>0</v>
      </c>
      <c r="CB157" s="751">
        <f t="shared" si="331"/>
        <v>0</v>
      </c>
      <c r="CC157" s="751">
        <f t="shared" si="331"/>
        <v>0</v>
      </c>
      <c r="CD157" s="751">
        <f t="shared" si="331"/>
        <v>0</v>
      </c>
      <c r="CE157" s="753">
        <f t="shared" si="331"/>
        <v>0</v>
      </c>
    </row>
    <row r="158" spans="16:83" ht="14.5" customHeight="1" thickBot="1" x14ac:dyDescent="0.4">
      <c r="P158" s="7"/>
      <c r="Q158" s="754" t="s">
        <v>281</v>
      </c>
      <c r="R158" s="755"/>
      <c r="S158" s="756"/>
      <c r="T158" s="756"/>
      <c r="U158" s="756"/>
      <c r="V158" s="757"/>
      <c r="W158" s="707"/>
      <c r="X158" s="689">
        <f>X101-X53</f>
        <v>0</v>
      </c>
      <c r="Y158" s="689">
        <f t="shared" ref="Y158:CE158" si="332">Y101-Y53</f>
        <v>0</v>
      </c>
      <c r="Z158" s="689">
        <f t="shared" si="332"/>
        <v>0</v>
      </c>
      <c r="AA158" s="689">
        <f t="shared" si="332"/>
        <v>0</v>
      </c>
      <c r="AB158" s="689">
        <f t="shared" si="332"/>
        <v>0</v>
      </c>
      <c r="AC158" s="689">
        <f t="shared" si="332"/>
        <v>0</v>
      </c>
      <c r="AD158" s="689">
        <f t="shared" si="332"/>
        <v>0</v>
      </c>
      <c r="AE158" s="689">
        <f t="shared" si="332"/>
        <v>0</v>
      </c>
      <c r="AF158" s="689">
        <f t="shared" si="332"/>
        <v>0</v>
      </c>
      <c r="AG158" s="689">
        <f t="shared" si="332"/>
        <v>0</v>
      </c>
      <c r="AH158" s="689">
        <f t="shared" si="332"/>
        <v>0</v>
      </c>
      <c r="AI158" s="690">
        <f t="shared" si="332"/>
        <v>0</v>
      </c>
      <c r="AJ158" s="691">
        <f t="shared" si="332"/>
        <v>0</v>
      </c>
      <c r="AK158" s="689">
        <f t="shared" si="332"/>
        <v>0</v>
      </c>
      <c r="AL158" s="689">
        <f t="shared" si="332"/>
        <v>0</v>
      </c>
      <c r="AM158" s="689">
        <f t="shared" si="332"/>
        <v>0</v>
      </c>
      <c r="AN158" s="689">
        <f t="shared" si="332"/>
        <v>0</v>
      </c>
      <c r="AO158" s="689">
        <f t="shared" si="332"/>
        <v>0</v>
      </c>
      <c r="AP158" s="689">
        <f t="shared" si="332"/>
        <v>0</v>
      </c>
      <c r="AQ158" s="689">
        <f t="shared" si="332"/>
        <v>0</v>
      </c>
      <c r="AR158" s="689">
        <f t="shared" si="332"/>
        <v>0</v>
      </c>
      <c r="AS158" s="689">
        <f t="shared" si="332"/>
        <v>0</v>
      </c>
      <c r="AT158" s="689">
        <f t="shared" si="332"/>
        <v>0</v>
      </c>
      <c r="AU158" s="690">
        <f t="shared" si="332"/>
        <v>0</v>
      </c>
      <c r="AV158" s="691">
        <f t="shared" si="332"/>
        <v>0</v>
      </c>
      <c r="AW158" s="689">
        <f t="shared" si="332"/>
        <v>0</v>
      </c>
      <c r="AX158" s="689">
        <f t="shared" si="332"/>
        <v>0</v>
      </c>
      <c r="AY158" s="689">
        <f t="shared" si="332"/>
        <v>0</v>
      </c>
      <c r="AZ158" s="689">
        <f t="shared" si="332"/>
        <v>0</v>
      </c>
      <c r="BA158" s="689">
        <f t="shared" si="332"/>
        <v>0</v>
      </c>
      <c r="BB158" s="689">
        <f t="shared" si="332"/>
        <v>0</v>
      </c>
      <c r="BC158" s="689">
        <f t="shared" si="332"/>
        <v>0</v>
      </c>
      <c r="BD158" s="689">
        <f t="shared" si="332"/>
        <v>0</v>
      </c>
      <c r="BE158" s="689">
        <f t="shared" si="332"/>
        <v>0</v>
      </c>
      <c r="BF158" s="689">
        <f t="shared" si="332"/>
        <v>0</v>
      </c>
      <c r="BG158" s="690">
        <f t="shared" si="332"/>
        <v>0</v>
      </c>
      <c r="BH158" s="689">
        <f t="shared" si="332"/>
        <v>0</v>
      </c>
      <c r="BI158" s="689">
        <f t="shared" si="332"/>
        <v>0</v>
      </c>
      <c r="BJ158" s="689">
        <f t="shared" si="332"/>
        <v>0</v>
      </c>
      <c r="BK158" s="689">
        <f t="shared" si="332"/>
        <v>0</v>
      </c>
      <c r="BL158" s="689">
        <f t="shared" si="332"/>
        <v>0</v>
      </c>
      <c r="BM158" s="689">
        <f t="shared" si="332"/>
        <v>0</v>
      </c>
      <c r="BN158" s="689">
        <f t="shared" si="332"/>
        <v>0</v>
      </c>
      <c r="BO158" s="689">
        <f t="shared" si="332"/>
        <v>0</v>
      </c>
      <c r="BP158" s="689">
        <f t="shared" si="332"/>
        <v>0</v>
      </c>
      <c r="BQ158" s="689">
        <f t="shared" si="332"/>
        <v>0</v>
      </c>
      <c r="BR158" s="689">
        <f t="shared" si="332"/>
        <v>0</v>
      </c>
      <c r="BS158" s="690">
        <f t="shared" si="332"/>
        <v>0</v>
      </c>
      <c r="BT158" s="689">
        <f t="shared" si="332"/>
        <v>0</v>
      </c>
      <c r="BU158" s="689">
        <f t="shared" si="332"/>
        <v>0</v>
      </c>
      <c r="BV158" s="689">
        <f t="shared" si="332"/>
        <v>0</v>
      </c>
      <c r="BW158" s="689">
        <f t="shared" si="332"/>
        <v>0</v>
      </c>
      <c r="BX158" s="689">
        <f t="shared" si="332"/>
        <v>0</v>
      </c>
      <c r="BY158" s="689">
        <f t="shared" si="332"/>
        <v>0</v>
      </c>
      <c r="BZ158" s="689">
        <f t="shared" si="332"/>
        <v>0</v>
      </c>
      <c r="CA158" s="689">
        <f t="shared" si="332"/>
        <v>0</v>
      </c>
      <c r="CB158" s="689">
        <f t="shared" si="332"/>
        <v>0</v>
      </c>
      <c r="CC158" s="689">
        <f t="shared" si="332"/>
        <v>0</v>
      </c>
      <c r="CD158" s="689">
        <f t="shared" si="332"/>
        <v>0</v>
      </c>
      <c r="CE158" s="692">
        <f t="shared" si="332"/>
        <v>0</v>
      </c>
    </row>
    <row r="159" spans="16:83" x14ac:dyDescent="0.35">
      <c r="P159" s="7"/>
      <c r="Q159" s="7"/>
      <c r="R159" s="7"/>
      <c r="S159" s="7"/>
      <c r="T159" s="7"/>
      <c r="U159" s="7"/>
      <c r="V159" s="7"/>
      <c r="W159" s="7"/>
      <c r="X159" s="422"/>
      <c r="Y159" s="422"/>
      <c r="Z159" s="422"/>
      <c r="AA159" s="422"/>
      <c r="AB159" s="422"/>
      <c r="AC159" s="422"/>
      <c r="AD159" s="422"/>
      <c r="AE159" s="422"/>
      <c r="AF159" s="422"/>
      <c r="AG159" s="422"/>
      <c r="AH159" s="422"/>
      <c r="AI159" s="422"/>
      <c r="AJ159" s="422"/>
      <c r="AK159" s="422"/>
      <c r="AL159" s="422"/>
      <c r="AM159" s="422"/>
      <c r="AN159" s="422"/>
      <c r="AO159" s="422"/>
      <c r="AP159" s="422"/>
      <c r="AQ159" s="422"/>
      <c r="AR159" s="422"/>
      <c r="AS159" s="422"/>
      <c r="AT159" s="422"/>
      <c r="AU159" s="422"/>
      <c r="AV159" s="422"/>
      <c r="AW159" s="422"/>
      <c r="AX159" s="422"/>
      <c r="AY159" s="422"/>
      <c r="AZ159" s="422"/>
      <c r="BA159" s="422"/>
      <c r="BB159" s="422"/>
      <c r="BC159" s="422"/>
      <c r="BD159" s="422"/>
      <c r="BE159" s="422"/>
      <c r="BF159" s="422"/>
      <c r="BG159" s="422"/>
      <c r="BH159" s="422"/>
      <c r="BI159" s="422"/>
      <c r="BJ159" s="422"/>
      <c r="BK159" s="422"/>
      <c r="BL159" s="422"/>
      <c r="BM159" s="422"/>
      <c r="BN159" s="422"/>
      <c r="BO159" s="422"/>
      <c r="BP159" s="422"/>
      <c r="BQ159" s="422"/>
      <c r="BR159" s="422"/>
      <c r="BS159" s="422"/>
      <c r="BT159" s="422"/>
      <c r="BU159" s="422"/>
      <c r="BV159" s="422"/>
      <c r="BW159" s="422"/>
      <c r="BX159" s="422"/>
      <c r="BY159" s="422"/>
      <c r="BZ159" s="422"/>
      <c r="CA159" s="422"/>
      <c r="CB159" s="422"/>
      <c r="CC159" s="422"/>
      <c r="CD159" s="422"/>
      <c r="CE159" s="422"/>
    </row>
    <row r="160" spans="16:83" x14ac:dyDescent="0.35">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c r="AZ160" s="7"/>
      <c r="BA160" s="7"/>
      <c r="BB160" s="7"/>
      <c r="BC160" s="7"/>
      <c r="BD160" s="7"/>
      <c r="BE160" s="7"/>
      <c r="BF160" s="7"/>
      <c r="BG160" s="7"/>
      <c r="BH160" s="7"/>
      <c r="BI160" s="7"/>
      <c r="BJ160" s="7"/>
      <c r="BK160" s="7"/>
      <c r="BL160" s="7"/>
      <c r="BM160" s="7"/>
      <c r="BN160" s="7"/>
      <c r="BO160" s="7"/>
      <c r="BP160" s="7"/>
      <c r="BQ160" s="7"/>
      <c r="BR160" s="7"/>
      <c r="BS160" s="7"/>
      <c r="BT160" s="7"/>
      <c r="BU160" s="7"/>
      <c r="BV160" s="7"/>
      <c r="BW160" s="7"/>
      <c r="BX160" s="7"/>
      <c r="BY160" s="7"/>
      <c r="BZ160" s="7"/>
      <c r="CA160" s="7"/>
      <c r="CB160" s="7"/>
      <c r="CC160" s="7"/>
      <c r="CD160" s="7"/>
      <c r="CE160" s="7"/>
    </row>
    <row r="161" spans="16:83" x14ac:dyDescent="0.35">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A161" s="7"/>
      <c r="BB161" s="7"/>
      <c r="BC161" s="7"/>
      <c r="BD161" s="7"/>
      <c r="BE161" s="7"/>
      <c r="BF161" s="7"/>
      <c r="BG161" s="7"/>
      <c r="BH161" s="7"/>
      <c r="BI161" s="7"/>
      <c r="BJ161" s="7"/>
      <c r="BK161" s="7"/>
      <c r="BL161" s="7"/>
      <c r="BM161" s="7"/>
      <c r="BN161" s="7"/>
      <c r="BO161" s="7"/>
      <c r="BP161" s="7"/>
      <c r="BQ161" s="7"/>
      <c r="BR161" s="7"/>
      <c r="BS161" s="7"/>
      <c r="BT161" s="7"/>
      <c r="BU161" s="7"/>
      <c r="BV161" s="7"/>
      <c r="BW161" s="7"/>
      <c r="BX161" s="7"/>
      <c r="BY161" s="7"/>
      <c r="BZ161" s="7"/>
      <c r="CA161" s="7"/>
      <c r="CB161" s="7"/>
      <c r="CC161" s="7"/>
      <c r="CD161" s="7"/>
      <c r="CE161" s="7"/>
    </row>
    <row r="162" spans="16:83" x14ac:dyDescent="0.35">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Y162" s="7"/>
      <c r="AZ162" s="7"/>
      <c r="BA162" s="7"/>
      <c r="BB162" s="7"/>
      <c r="BC162" s="7"/>
      <c r="BD162" s="7"/>
      <c r="BE162" s="7"/>
      <c r="BF162" s="7"/>
      <c r="BG162" s="7"/>
      <c r="BH162" s="7"/>
      <c r="BI162" s="7"/>
      <c r="BJ162" s="7"/>
      <c r="BK162" s="7"/>
      <c r="BL162" s="7"/>
      <c r="BM162" s="7"/>
      <c r="BN162" s="7"/>
      <c r="BO162" s="7"/>
      <c r="BP162" s="7"/>
      <c r="BQ162" s="7"/>
      <c r="BR162" s="7"/>
      <c r="BS162" s="7"/>
      <c r="BT162" s="7"/>
      <c r="BU162" s="7"/>
      <c r="BV162" s="7"/>
      <c r="BW162" s="7"/>
      <c r="BX162" s="7"/>
      <c r="BY162" s="7"/>
      <c r="BZ162" s="7"/>
      <c r="CA162" s="7"/>
      <c r="CB162" s="7"/>
      <c r="CC162" s="7"/>
      <c r="CD162" s="7"/>
      <c r="CE162" s="7"/>
    </row>
    <row r="163" spans="16:83" x14ac:dyDescent="0.35">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c r="AY163" s="7"/>
      <c r="AZ163" s="7"/>
      <c r="BA163" s="7"/>
      <c r="BB163" s="7"/>
      <c r="BC163" s="7"/>
      <c r="BD163" s="7"/>
      <c r="BE163" s="7"/>
      <c r="BF163" s="7"/>
      <c r="BG163" s="7"/>
      <c r="BH163" s="7"/>
      <c r="BI163" s="7"/>
      <c r="BJ163" s="7"/>
      <c r="BK163" s="7"/>
      <c r="BL163" s="7"/>
      <c r="BM163" s="7"/>
      <c r="BN163" s="7"/>
      <c r="BO163" s="7"/>
      <c r="BP163" s="7"/>
      <c r="BQ163" s="7"/>
      <c r="BR163" s="7"/>
      <c r="BS163" s="7"/>
      <c r="BT163" s="7"/>
      <c r="BU163" s="7"/>
      <c r="BV163" s="7"/>
      <c r="BW163" s="7"/>
      <c r="BX163" s="7"/>
      <c r="BY163" s="7"/>
      <c r="BZ163" s="7"/>
      <c r="CA163" s="7"/>
      <c r="CB163" s="7"/>
      <c r="CC163" s="7"/>
      <c r="CD163" s="7"/>
      <c r="CE163" s="7"/>
    </row>
    <row r="164" spans="16:83" x14ac:dyDescent="0.35">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c r="AZ164" s="7"/>
      <c r="BA164" s="7"/>
      <c r="BB164" s="7"/>
      <c r="BC164" s="7"/>
      <c r="BD164" s="7"/>
      <c r="BE164" s="7"/>
      <c r="BF164" s="7"/>
      <c r="BG164" s="7"/>
      <c r="BH164" s="7"/>
      <c r="BI164" s="7"/>
      <c r="BJ164" s="7"/>
      <c r="BK164" s="7"/>
      <c r="BL164" s="7"/>
      <c r="BM164" s="7"/>
      <c r="BN164" s="7"/>
      <c r="BO164" s="7"/>
      <c r="BP164" s="7"/>
      <c r="BQ164" s="7"/>
      <c r="BR164" s="7"/>
      <c r="BS164" s="7"/>
      <c r="BT164" s="7"/>
      <c r="BU164" s="7"/>
      <c r="BV164" s="7"/>
      <c r="BW164" s="7"/>
      <c r="BX164" s="7"/>
      <c r="BY164" s="7"/>
      <c r="BZ164" s="7"/>
      <c r="CA164" s="7"/>
      <c r="CB164" s="7"/>
      <c r="CC164" s="7"/>
      <c r="CD164" s="7"/>
      <c r="CE164" s="7"/>
    </row>
    <row r="165" spans="16:83" x14ac:dyDescent="0.35">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c r="BB165" s="7"/>
      <c r="BC165" s="7"/>
      <c r="BD165" s="7"/>
      <c r="BE165" s="7"/>
      <c r="BF165" s="7"/>
      <c r="BG165" s="7"/>
      <c r="BH165" s="7"/>
      <c r="BI165" s="7"/>
      <c r="BJ165" s="7"/>
      <c r="BK165" s="7"/>
      <c r="BL165" s="7"/>
      <c r="BM165" s="7"/>
      <c r="BN165" s="7"/>
      <c r="BO165" s="7"/>
      <c r="BP165" s="7"/>
      <c r="BQ165" s="7"/>
      <c r="BR165" s="7"/>
      <c r="BS165" s="7"/>
      <c r="BT165" s="7"/>
      <c r="BU165" s="7"/>
      <c r="BV165" s="7"/>
      <c r="BW165" s="7"/>
      <c r="BX165" s="7"/>
      <c r="BY165" s="7"/>
      <c r="BZ165" s="7"/>
      <c r="CA165" s="7"/>
      <c r="CB165" s="7"/>
      <c r="CC165" s="7"/>
      <c r="CD165" s="7"/>
      <c r="CE165" s="7"/>
    </row>
    <row r="166" spans="16:83" x14ac:dyDescent="0.35">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c r="BB166" s="7"/>
      <c r="BC166" s="7"/>
      <c r="BD166" s="7"/>
      <c r="BE166" s="7"/>
      <c r="BF166" s="7"/>
      <c r="BG166" s="7"/>
      <c r="BH166" s="7"/>
      <c r="BI166" s="7"/>
      <c r="BJ166" s="7"/>
      <c r="BK166" s="7"/>
      <c r="BL166" s="7"/>
      <c r="BM166" s="7"/>
      <c r="BN166" s="7"/>
      <c r="BO166" s="7"/>
      <c r="BP166" s="7"/>
      <c r="BQ166" s="7"/>
      <c r="BR166" s="7"/>
      <c r="BS166" s="7"/>
      <c r="BT166" s="7"/>
      <c r="BU166" s="7"/>
      <c r="BV166" s="7"/>
      <c r="BW166" s="7"/>
      <c r="BX166" s="7"/>
      <c r="BY166" s="7"/>
      <c r="BZ166" s="7"/>
      <c r="CA166" s="7"/>
      <c r="CB166" s="7"/>
      <c r="CC166" s="7"/>
      <c r="CD166" s="7"/>
      <c r="CE166" s="7"/>
    </row>
    <row r="167" spans="16:83" x14ac:dyDescent="0.35">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7"/>
      <c r="AY167" s="7"/>
      <c r="AZ167" s="7"/>
      <c r="BA167" s="7"/>
      <c r="BB167" s="7"/>
      <c r="BC167" s="7"/>
      <c r="BD167" s="7"/>
      <c r="BE167" s="7"/>
      <c r="BF167" s="7"/>
      <c r="BG167" s="7"/>
      <c r="BH167" s="7"/>
      <c r="BI167" s="7"/>
      <c r="BJ167" s="7"/>
      <c r="BK167" s="7"/>
      <c r="BL167" s="7"/>
      <c r="BM167" s="7"/>
      <c r="BN167" s="7"/>
      <c r="BO167" s="7"/>
      <c r="BP167" s="7"/>
      <c r="BQ167" s="7"/>
      <c r="BR167" s="7"/>
      <c r="BS167" s="7"/>
      <c r="BT167" s="7"/>
      <c r="BU167" s="7"/>
      <c r="BV167" s="7"/>
      <c r="BW167" s="7"/>
      <c r="BX167" s="7"/>
      <c r="BY167" s="7"/>
      <c r="BZ167" s="7"/>
      <c r="CA167" s="7"/>
      <c r="CB167" s="7"/>
      <c r="CC167" s="7"/>
      <c r="CD167" s="7"/>
      <c r="CE167" s="7"/>
    </row>
    <row r="168" spans="16:83" x14ac:dyDescent="0.35">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c r="BE168" s="7"/>
      <c r="BF168" s="7"/>
      <c r="BG168" s="7"/>
      <c r="BH168" s="7"/>
      <c r="BI168" s="7"/>
      <c r="BJ168" s="7"/>
      <c r="BK168" s="7"/>
      <c r="BL168" s="7"/>
      <c r="BM168" s="7"/>
      <c r="BN168" s="7"/>
      <c r="BO168" s="7"/>
      <c r="BP168" s="7"/>
      <c r="BQ168" s="7"/>
      <c r="BR168" s="7"/>
      <c r="BS168" s="7"/>
      <c r="BT168" s="7"/>
      <c r="BU168" s="7"/>
      <c r="BV168" s="7"/>
      <c r="BW168" s="7"/>
      <c r="BX168" s="7"/>
      <c r="BY168" s="7"/>
      <c r="BZ168" s="7"/>
      <c r="CA168" s="7"/>
      <c r="CB168" s="7"/>
      <c r="CC168" s="7"/>
      <c r="CD168" s="7"/>
      <c r="CE168" s="7"/>
    </row>
    <row r="169" spans="16:83" x14ac:dyDescent="0.35">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c r="AY169" s="7"/>
      <c r="AZ169" s="7"/>
      <c r="BA169" s="7"/>
      <c r="BB169" s="7"/>
      <c r="BC169" s="7"/>
      <c r="BD169" s="7"/>
      <c r="BE169" s="7"/>
      <c r="BF169" s="7"/>
      <c r="BG169" s="7"/>
      <c r="BH169" s="7"/>
      <c r="BI169" s="7"/>
      <c r="BJ169" s="7"/>
      <c r="BK169" s="7"/>
      <c r="BL169" s="7"/>
      <c r="BM169" s="7"/>
      <c r="BN169" s="7"/>
      <c r="BO169" s="7"/>
      <c r="BP169" s="7"/>
      <c r="BQ169" s="7"/>
      <c r="BR169" s="7"/>
      <c r="BS169" s="7"/>
      <c r="BT169" s="7"/>
      <c r="BU169" s="7"/>
      <c r="BV169" s="7"/>
      <c r="BW169" s="7"/>
      <c r="BX169" s="7"/>
      <c r="BY169" s="7"/>
      <c r="BZ169" s="7"/>
      <c r="CA169" s="7"/>
      <c r="CB169" s="7"/>
      <c r="CC169" s="7"/>
      <c r="CD169" s="7"/>
      <c r="CE169" s="7"/>
    </row>
    <row r="170" spans="16:83" x14ac:dyDescent="0.35">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c r="BB170" s="7"/>
      <c r="BC170" s="7"/>
      <c r="BD170" s="7"/>
      <c r="BE170" s="7"/>
      <c r="BF170" s="7"/>
      <c r="BG170" s="7"/>
      <c r="BH170" s="7"/>
      <c r="BI170" s="7"/>
      <c r="BJ170" s="7"/>
      <c r="BK170" s="7"/>
      <c r="BL170" s="7"/>
      <c r="BM170" s="7"/>
      <c r="BN170" s="7"/>
      <c r="BO170" s="7"/>
      <c r="BP170" s="7"/>
      <c r="BQ170" s="7"/>
      <c r="BR170" s="7"/>
      <c r="BS170" s="7"/>
      <c r="BT170" s="7"/>
      <c r="BU170" s="7"/>
      <c r="BV170" s="7"/>
      <c r="BW170" s="7"/>
      <c r="BX170" s="7"/>
      <c r="BY170" s="7"/>
      <c r="BZ170" s="7"/>
      <c r="CA170" s="7"/>
      <c r="CB170" s="7"/>
      <c r="CC170" s="7"/>
      <c r="CD170" s="7"/>
      <c r="CE170" s="7"/>
    </row>
    <row r="171" spans="16:83" x14ac:dyDescent="0.35">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Y171" s="7"/>
      <c r="AZ171" s="7"/>
      <c r="BA171" s="7"/>
      <c r="BB171" s="7"/>
      <c r="BC171" s="7"/>
      <c r="BD171" s="7"/>
      <c r="BE171" s="7"/>
      <c r="BF171" s="7"/>
      <c r="BG171" s="7"/>
      <c r="BH171" s="7"/>
      <c r="BI171" s="7"/>
      <c r="BJ171" s="7"/>
      <c r="BK171" s="7"/>
      <c r="BL171" s="7"/>
      <c r="BM171" s="7"/>
      <c r="BN171" s="7"/>
      <c r="BO171" s="7"/>
      <c r="BP171" s="7"/>
      <c r="BQ171" s="7"/>
      <c r="BR171" s="7"/>
      <c r="BS171" s="7"/>
      <c r="BT171" s="7"/>
      <c r="BU171" s="7"/>
      <c r="BV171" s="7"/>
      <c r="BW171" s="7"/>
      <c r="BX171" s="7"/>
      <c r="BY171" s="7"/>
      <c r="BZ171" s="7"/>
      <c r="CA171" s="7"/>
      <c r="CB171" s="7"/>
      <c r="CC171" s="7"/>
      <c r="CD171" s="7"/>
      <c r="CE171" s="7"/>
    </row>
    <row r="172" spans="16:83" x14ac:dyDescent="0.35">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c r="AY172" s="7"/>
      <c r="AZ172" s="7"/>
      <c r="BA172" s="7"/>
      <c r="BB172" s="7"/>
      <c r="BC172" s="7"/>
      <c r="BD172" s="7"/>
      <c r="BE172" s="7"/>
      <c r="BF172" s="7"/>
      <c r="BG172" s="7"/>
      <c r="BH172" s="7"/>
      <c r="BI172" s="7"/>
      <c r="BJ172" s="7"/>
      <c r="BK172" s="7"/>
      <c r="BL172" s="7"/>
      <c r="BM172" s="7"/>
      <c r="BN172" s="7"/>
      <c r="BO172" s="7"/>
      <c r="BP172" s="7"/>
      <c r="BQ172" s="7"/>
      <c r="BR172" s="7"/>
      <c r="BS172" s="7"/>
      <c r="BT172" s="7"/>
      <c r="BU172" s="7"/>
      <c r="BV172" s="7"/>
      <c r="BW172" s="7"/>
      <c r="BX172" s="7"/>
      <c r="BY172" s="7"/>
      <c r="BZ172" s="7"/>
      <c r="CA172" s="7"/>
      <c r="CB172" s="7"/>
      <c r="CC172" s="7"/>
      <c r="CD172" s="7"/>
      <c r="CE172" s="7"/>
    </row>
    <row r="173" spans="16:83" x14ac:dyDescent="0.35">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c r="BD173" s="7"/>
      <c r="BE173" s="7"/>
      <c r="BF173" s="7"/>
      <c r="BG173" s="7"/>
      <c r="BH173" s="7"/>
      <c r="BI173" s="7"/>
      <c r="BJ173" s="7"/>
      <c r="BK173" s="7"/>
      <c r="BL173" s="7"/>
      <c r="BM173" s="7"/>
      <c r="BN173" s="7"/>
      <c r="BO173" s="7"/>
      <c r="BP173" s="7"/>
      <c r="BQ173" s="7"/>
      <c r="BR173" s="7"/>
      <c r="BS173" s="7"/>
      <c r="BT173" s="7"/>
      <c r="BU173" s="7"/>
      <c r="BV173" s="7"/>
      <c r="BW173" s="7"/>
      <c r="BX173" s="7"/>
      <c r="BY173" s="7"/>
      <c r="BZ173" s="7"/>
      <c r="CA173" s="7"/>
      <c r="CB173" s="7"/>
      <c r="CC173" s="7"/>
      <c r="CD173" s="7"/>
      <c r="CE173" s="7"/>
    </row>
    <row r="174" spans="16:83" x14ac:dyDescent="0.35">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c r="AY174" s="7"/>
      <c r="AZ174" s="7"/>
      <c r="BA174" s="7"/>
      <c r="BB174" s="7"/>
      <c r="BC174" s="7"/>
      <c r="BD174" s="7"/>
      <c r="BE174" s="7"/>
      <c r="BF174" s="7"/>
      <c r="BG174" s="7"/>
      <c r="BH174" s="7"/>
      <c r="BI174" s="7"/>
      <c r="BJ174" s="7"/>
      <c r="BK174" s="7"/>
      <c r="BL174" s="7"/>
      <c r="BM174" s="7"/>
      <c r="BN174" s="7"/>
      <c r="BO174" s="7"/>
      <c r="BP174" s="7"/>
      <c r="BQ174" s="7"/>
      <c r="BR174" s="7"/>
      <c r="BS174" s="7"/>
      <c r="BT174" s="7"/>
      <c r="BU174" s="7"/>
      <c r="BV174" s="7"/>
      <c r="BW174" s="7"/>
      <c r="BX174" s="7"/>
      <c r="BY174" s="7"/>
      <c r="BZ174" s="7"/>
      <c r="CA174" s="7"/>
      <c r="CB174" s="7"/>
      <c r="CC174" s="7"/>
      <c r="CD174" s="7"/>
      <c r="CE174" s="7"/>
    </row>
    <row r="175" spans="16:83" x14ac:dyDescent="0.35">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Y175" s="7"/>
      <c r="AZ175" s="7"/>
      <c r="BA175" s="7"/>
      <c r="BB175" s="7"/>
      <c r="BC175" s="7"/>
      <c r="BD175" s="7"/>
      <c r="BE175" s="7"/>
      <c r="BF175" s="7"/>
      <c r="BG175" s="7"/>
      <c r="BH175" s="7"/>
      <c r="BI175" s="7"/>
      <c r="BJ175" s="7"/>
      <c r="BK175" s="7"/>
      <c r="BL175" s="7"/>
      <c r="BM175" s="7"/>
      <c r="BN175" s="7"/>
      <c r="BO175" s="7"/>
      <c r="BP175" s="7"/>
      <c r="BQ175" s="7"/>
      <c r="BR175" s="7"/>
      <c r="BS175" s="7"/>
      <c r="BT175" s="7"/>
      <c r="BU175" s="7"/>
      <c r="BV175" s="7"/>
      <c r="BW175" s="7"/>
      <c r="BX175" s="7"/>
      <c r="BY175" s="7"/>
      <c r="BZ175" s="7"/>
      <c r="CA175" s="7"/>
      <c r="CB175" s="7"/>
      <c r="CC175" s="7"/>
      <c r="CD175" s="7"/>
      <c r="CE175" s="7"/>
    </row>
    <row r="176" spans="16:83" x14ac:dyDescent="0.35">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7"/>
      <c r="AY176" s="7"/>
      <c r="AZ176" s="7"/>
      <c r="BA176" s="7"/>
      <c r="BB176" s="7"/>
      <c r="BC176" s="7"/>
      <c r="BD176" s="7"/>
      <c r="BE176" s="7"/>
      <c r="BF176" s="7"/>
      <c r="BG176" s="7"/>
      <c r="BH176" s="7"/>
      <c r="BI176" s="7"/>
      <c r="BJ176" s="7"/>
      <c r="BK176" s="7"/>
      <c r="BL176" s="7"/>
      <c r="BM176" s="7"/>
      <c r="BN176" s="7"/>
      <c r="BO176" s="7"/>
      <c r="BP176" s="7"/>
      <c r="BQ176" s="7"/>
      <c r="BR176" s="7"/>
      <c r="BS176" s="7"/>
      <c r="BT176" s="7"/>
      <c r="BU176" s="7"/>
      <c r="BV176" s="7"/>
      <c r="BW176" s="7"/>
      <c r="BX176" s="7"/>
      <c r="BY176" s="7"/>
      <c r="BZ176" s="7"/>
      <c r="CA176" s="7"/>
      <c r="CB176" s="7"/>
      <c r="CC176" s="7"/>
      <c r="CD176" s="7"/>
      <c r="CE176" s="7"/>
    </row>
    <row r="177" spans="16:83" x14ac:dyDescent="0.35">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AX177" s="7"/>
      <c r="AY177" s="7"/>
      <c r="AZ177" s="7"/>
      <c r="BA177" s="7"/>
      <c r="BB177" s="7"/>
      <c r="BC177" s="7"/>
      <c r="BD177" s="7"/>
      <c r="BE177" s="7"/>
      <c r="BF177" s="7"/>
      <c r="BG177" s="7"/>
      <c r="BH177" s="7"/>
      <c r="BI177" s="7"/>
      <c r="BJ177" s="7"/>
      <c r="BK177" s="7"/>
      <c r="BL177" s="7"/>
      <c r="BM177" s="7"/>
      <c r="BN177" s="7"/>
      <c r="BO177" s="7"/>
      <c r="BP177" s="7"/>
      <c r="BQ177" s="7"/>
      <c r="BR177" s="7"/>
      <c r="BS177" s="7"/>
      <c r="BT177" s="7"/>
      <c r="BU177" s="7"/>
      <c r="BV177" s="7"/>
      <c r="BW177" s="7"/>
      <c r="BX177" s="7"/>
      <c r="BY177" s="7"/>
      <c r="BZ177" s="7"/>
      <c r="CA177" s="7"/>
      <c r="CB177" s="7"/>
      <c r="CC177" s="7"/>
      <c r="CD177" s="7"/>
      <c r="CE177" s="7"/>
    </row>
    <row r="178" spans="16:83" x14ac:dyDescent="0.35">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c r="AX178" s="7"/>
      <c r="AY178" s="7"/>
      <c r="AZ178" s="7"/>
      <c r="BA178" s="7"/>
      <c r="BB178" s="7"/>
      <c r="BC178" s="7"/>
      <c r="BD178" s="7"/>
      <c r="BE178" s="7"/>
      <c r="BF178" s="7"/>
      <c r="BG178" s="7"/>
      <c r="BH178" s="7"/>
      <c r="BI178" s="7"/>
      <c r="BJ178" s="7"/>
      <c r="BK178" s="7"/>
      <c r="BL178" s="7"/>
      <c r="BM178" s="7"/>
      <c r="BN178" s="7"/>
      <c r="BO178" s="7"/>
      <c r="BP178" s="7"/>
      <c r="BQ178" s="7"/>
      <c r="BR178" s="7"/>
      <c r="BS178" s="7"/>
      <c r="BT178" s="7"/>
      <c r="BU178" s="7"/>
      <c r="BV178" s="7"/>
      <c r="BW178" s="7"/>
      <c r="BX178" s="7"/>
      <c r="BY178" s="7"/>
      <c r="BZ178" s="7"/>
      <c r="CA178" s="7"/>
      <c r="CB178" s="7"/>
      <c r="CC178" s="7"/>
      <c r="CD178" s="7"/>
      <c r="CE178" s="7"/>
    </row>
    <row r="179" spans="16:83" x14ac:dyDescent="0.35">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Y179" s="7"/>
      <c r="AZ179" s="7"/>
      <c r="BA179" s="7"/>
      <c r="BB179" s="7"/>
      <c r="BC179" s="7"/>
      <c r="BD179" s="7"/>
      <c r="BE179" s="7"/>
      <c r="BF179" s="7"/>
      <c r="BG179" s="7"/>
      <c r="BH179" s="7"/>
      <c r="BI179" s="7"/>
      <c r="BJ179" s="7"/>
      <c r="BK179" s="7"/>
      <c r="BL179" s="7"/>
      <c r="BM179" s="7"/>
      <c r="BN179" s="7"/>
      <c r="BO179" s="7"/>
      <c r="BP179" s="7"/>
      <c r="BQ179" s="7"/>
      <c r="BR179" s="7"/>
      <c r="BS179" s="7"/>
      <c r="BT179" s="7"/>
      <c r="BU179" s="7"/>
      <c r="BV179" s="7"/>
      <c r="BW179" s="7"/>
      <c r="BX179" s="7"/>
      <c r="BY179" s="7"/>
      <c r="BZ179" s="7"/>
      <c r="CA179" s="7"/>
      <c r="CB179" s="7"/>
      <c r="CC179" s="7"/>
      <c r="CD179" s="7"/>
      <c r="CE179" s="7"/>
    </row>
    <row r="180" spans="16:83" x14ac:dyDescent="0.35">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AX180" s="7"/>
      <c r="AY180" s="7"/>
      <c r="AZ180" s="7"/>
      <c r="BA180" s="7"/>
      <c r="BB180" s="7"/>
      <c r="BC180" s="7"/>
      <c r="BD180" s="7"/>
      <c r="BE180" s="7"/>
      <c r="BF180" s="7"/>
      <c r="BG180" s="7"/>
      <c r="BH180" s="7"/>
      <c r="BI180" s="7"/>
      <c r="BJ180" s="7"/>
      <c r="BK180" s="7"/>
      <c r="BL180" s="7"/>
      <c r="BM180" s="7"/>
      <c r="BN180" s="7"/>
      <c r="BO180" s="7"/>
      <c r="BP180" s="7"/>
      <c r="BQ180" s="7"/>
      <c r="BR180" s="7"/>
      <c r="BS180" s="7"/>
      <c r="BT180" s="7"/>
      <c r="BU180" s="7"/>
      <c r="BV180" s="7"/>
      <c r="BW180" s="7"/>
      <c r="BX180" s="7"/>
      <c r="BY180" s="7"/>
      <c r="BZ180" s="7"/>
      <c r="CA180" s="7"/>
      <c r="CB180" s="7"/>
      <c r="CC180" s="7"/>
      <c r="CD180" s="7"/>
      <c r="CE180" s="7"/>
    </row>
    <row r="181" spans="16:83" x14ac:dyDescent="0.35">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7"/>
      <c r="AY181" s="7"/>
      <c r="AZ181" s="7"/>
      <c r="BA181" s="7"/>
      <c r="BB181" s="7"/>
      <c r="BC181" s="7"/>
      <c r="BD181" s="7"/>
      <c r="BE181" s="7"/>
      <c r="BF181" s="7"/>
      <c r="BG181" s="7"/>
      <c r="BH181" s="7"/>
      <c r="BI181" s="7"/>
      <c r="BJ181" s="7"/>
      <c r="BK181" s="7"/>
      <c r="BL181" s="7"/>
      <c r="BM181" s="7"/>
      <c r="BN181" s="7"/>
      <c r="BO181" s="7"/>
      <c r="BP181" s="7"/>
      <c r="BQ181" s="7"/>
      <c r="BR181" s="7"/>
      <c r="BS181" s="7"/>
      <c r="BT181" s="7"/>
      <c r="BU181" s="7"/>
      <c r="BV181" s="7"/>
      <c r="BW181" s="7"/>
      <c r="BX181" s="7"/>
      <c r="BY181" s="7"/>
      <c r="BZ181" s="7"/>
      <c r="CA181" s="7"/>
      <c r="CB181" s="7"/>
      <c r="CC181" s="7"/>
      <c r="CD181" s="7"/>
      <c r="CE181" s="7"/>
    </row>
    <row r="182" spans="16:83" x14ac:dyDescent="0.35">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7"/>
      <c r="AY182" s="7"/>
      <c r="AZ182" s="7"/>
      <c r="BA182" s="7"/>
      <c r="BB182" s="7"/>
      <c r="BC182" s="7"/>
      <c r="BD182" s="7"/>
      <c r="BE182" s="7"/>
      <c r="BF182" s="7"/>
      <c r="BG182" s="7"/>
      <c r="BH182" s="7"/>
      <c r="BI182" s="7"/>
      <c r="BJ182" s="7"/>
      <c r="BK182" s="7"/>
      <c r="BL182" s="7"/>
      <c r="BM182" s="7"/>
      <c r="BN182" s="7"/>
      <c r="BO182" s="7"/>
      <c r="BP182" s="7"/>
      <c r="BQ182" s="7"/>
      <c r="BR182" s="7"/>
      <c r="BS182" s="7"/>
      <c r="BT182" s="7"/>
      <c r="BU182" s="7"/>
      <c r="BV182" s="7"/>
      <c r="BW182" s="7"/>
      <c r="BX182" s="7"/>
      <c r="BY182" s="7"/>
      <c r="BZ182" s="7"/>
      <c r="CA182" s="7"/>
      <c r="CB182" s="7"/>
      <c r="CC182" s="7"/>
      <c r="CD182" s="7"/>
      <c r="CE182" s="7"/>
    </row>
    <row r="183" spans="16:83" x14ac:dyDescent="0.35">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c r="AY183" s="7"/>
      <c r="AZ183" s="7"/>
      <c r="BA183" s="7"/>
      <c r="BB183" s="7"/>
      <c r="BC183" s="7"/>
      <c r="BD183" s="7"/>
      <c r="BE183" s="7"/>
      <c r="BF183" s="7"/>
      <c r="BG183" s="7"/>
      <c r="BH183" s="7"/>
      <c r="BI183" s="7"/>
      <c r="BJ183" s="7"/>
      <c r="BK183" s="7"/>
      <c r="BL183" s="7"/>
      <c r="BM183" s="7"/>
      <c r="BN183" s="7"/>
      <c r="BO183" s="7"/>
      <c r="BP183" s="7"/>
      <c r="BQ183" s="7"/>
      <c r="BR183" s="7"/>
      <c r="BS183" s="7"/>
      <c r="BT183" s="7"/>
      <c r="BU183" s="7"/>
      <c r="BV183" s="7"/>
      <c r="BW183" s="7"/>
      <c r="BX183" s="7"/>
      <c r="BY183" s="7"/>
      <c r="BZ183" s="7"/>
      <c r="CA183" s="7"/>
      <c r="CB183" s="7"/>
      <c r="CC183" s="7"/>
      <c r="CD183" s="7"/>
      <c r="CE183" s="7"/>
    </row>
    <row r="184" spans="16:83" x14ac:dyDescent="0.35">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7"/>
      <c r="AY184" s="7"/>
      <c r="AZ184" s="7"/>
      <c r="BA184" s="7"/>
      <c r="BB184" s="7"/>
      <c r="BC184" s="7"/>
      <c r="BD184" s="7"/>
      <c r="BE184" s="7"/>
      <c r="BF184" s="7"/>
      <c r="BG184" s="7"/>
      <c r="BH184" s="7"/>
      <c r="BI184" s="7"/>
      <c r="BJ184" s="7"/>
      <c r="BK184" s="7"/>
      <c r="BL184" s="7"/>
      <c r="BM184" s="7"/>
      <c r="BN184" s="7"/>
      <c r="BO184" s="7"/>
      <c r="BP184" s="7"/>
      <c r="BQ184" s="7"/>
      <c r="BR184" s="7"/>
      <c r="BS184" s="7"/>
      <c r="BT184" s="7"/>
      <c r="BU184" s="7"/>
      <c r="BV184" s="7"/>
      <c r="BW184" s="7"/>
      <c r="BX184" s="7"/>
      <c r="BY184" s="7"/>
      <c r="BZ184" s="7"/>
      <c r="CA184" s="7"/>
      <c r="CB184" s="7"/>
      <c r="CC184" s="7"/>
      <c r="CD184" s="7"/>
      <c r="CE184" s="7"/>
    </row>
    <row r="185" spans="16:83" x14ac:dyDescent="0.35">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7"/>
      <c r="AY185" s="7"/>
      <c r="AZ185" s="7"/>
      <c r="BA185" s="7"/>
      <c r="BB185" s="7"/>
      <c r="BC185" s="7"/>
      <c r="BD185" s="7"/>
      <c r="BE185" s="7"/>
      <c r="BF185" s="7"/>
      <c r="BG185" s="7"/>
      <c r="BH185" s="7"/>
      <c r="BI185" s="7"/>
      <c r="BJ185" s="7"/>
      <c r="BK185" s="7"/>
      <c r="BL185" s="7"/>
      <c r="BM185" s="7"/>
      <c r="BN185" s="7"/>
      <c r="BO185" s="7"/>
      <c r="BP185" s="7"/>
      <c r="BQ185" s="7"/>
      <c r="BR185" s="7"/>
      <c r="BS185" s="7"/>
      <c r="BT185" s="7"/>
      <c r="BU185" s="7"/>
      <c r="BV185" s="7"/>
      <c r="BW185" s="7"/>
      <c r="BX185" s="7"/>
      <c r="BY185" s="7"/>
      <c r="BZ185" s="7"/>
      <c r="CA185" s="7"/>
      <c r="CB185" s="7"/>
      <c r="CC185" s="7"/>
      <c r="CD185" s="7"/>
      <c r="CE185" s="7"/>
    </row>
    <row r="186" spans="16:83" x14ac:dyDescent="0.35">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c r="AY186" s="7"/>
      <c r="AZ186" s="7"/>
      <c r="BA186" s="7"/>
      <c r="BB186" s="7"/>
      <c r="BC186" s="7"/>
      <c r="BD186" s="7"/>
      <c r="BE186" s="7"/>
      <c r="BF186" s="7"/>
      <c r="BG186" s="7"/>
      <c r="BH186" s="7"/>
      <c r="BI186" s="7"/>
      <c r="BJ186" s="7"/>
      <c r="BK186" s="7"/>
      <c r="BL186" s="7"/>
      <c r="BM186" s="7"/>
      <c r="BN186" s="7"/>
      <c r="BO186" s="7"/>
      <c r="BP186" s="7"/>
      <c r="BQ186" s="7"/>
      <c r="BR186" s="7"/>
      <c r="BS186" s="7"/>
      <c r="BT186" s="7"/>
      <c r="BU186" s="7"/>
      <c r="BV186" s="7"/>
      <c r="BW186" s="7"/>
      <c r="BX186" s="7"/>
      <c r="BY186" s="7"/>
      <c r="BZ186" s="7"/>
      <c r="CA186" s="7"/>
      <c r="CB186" s="7"/>
      <c r="CC186" s="7"/>
      <c r="CD186" s="7"/>
      <c r="CE186" s="7"/>
    </row>
    <row r="187" spans="16:83" x14ac:dyDescent="0.35">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c r="AX187" s="7"/>
      <c r="AY187" s="7"/>
      <c r="AZ187" s="7"/>
      <c r="BA187" s="7"/>
      <c r="BB187" s="7"/>
      <c r="BC187" s="7"/>
      <c r="BD187" s="7"/>
      <c r="BE187" s="7"/>
      <c r="BF187" s="7"/>
      <c r="BG187" s="7"/>
      <c r="BH187" s="7"/>
      <c r="BI187" s="7"/>
      <c r="BJ187" s="7"/>
      <c r="BK187" s="7"/>
      <c r="BL187" s="7"/>
      <c r="BM187" s="7"/>
      <c r="BN187" s="7"/>
      <c r="BO187" s="7"/>
      <c r="BP187" s="7"/>
      <c r="BQ187" s="7"/>
      <c r="BR187" s="7"/>
      <c r="BS187" s="7"/>
      <c r="BT187" s="7"/>
      <c r="BU187" s="7"/>
      <c r="BV187" s="7"/>
      <c r="BW187" s="7"/>
      <c r="BX187" s="7"/>
      <c r="BY187" s="7"/>
      <c r="BZ187" s="7"/>
      <c r="CA187" s="7"/>
      <c r="CB187" s="7"/>
      <c r="CC187" s="7"/>
      <c r="CD187" s="7"/>
      <c r="CE187" s="7"/>
    </row>
    <row r="188" spans="16:83" x14ac:dyDescent="0.35">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c r="AX188" s="7"/>
      <c r="AY188" s="7"/>
      <c r="AZ188" s="7"/>
      <c r="BA188" s="7"/>
      <c r="BB188" s="7"/>
      <c r="BC188" s="7"/>
      <c r="BD188" s="7"/>
      <c r="BE188" s="7"/>
      <c r="BF188" s="7"/>
      <c r="BG188" s="7"/>
      <c r="BH188" s="7"/>
      <c r="BI188" s="7"/>
      <c r="BJ188" s="7"/>
      <c r="BK188" s="7"/>
      <c r="BL188" s="7"/>
      <c r="BM188" s="7"/>
      <c r="BN188" s="7"/>
      <c r="BO188" s="7"/>
      <c r="BP188" s="7"/>
      <c r="BQ188" s="7"/>
      <c r="BR188" s="7"/>
      <c r="BS188" s="7"/>
      <c r="BT188" s="7"/>
      <c r="BU188" s="7"/>
      <c r="BV188" s="7"/>
      <c r="BW188" s="7"/>
      <c r="BX188" s="7"/>
      <c r="BY188" s="7"/>
      <c r="BZ188" s="7"/>
      <c r="CA188" s="7"/>
      <c r="CB188" s="7"/>
      <c r="CC188" s="7"/>
      <c r="CD188" s="7"/>
      <c r="CE188" s="7"/>
    </row>
    <row r="189" spans="16:83" x14ac:dyDescent="0.35">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7"/>
      <c r="AY189" s="7"/>
      <c r="AZ189" s="7"/>
      <c r="BA189" s="7"/>
      <c r="BB189" s="7"/>
      <c r="BC189" s="7"/>
      <c r="BD189" s="7"/>
      <c r="BE189" s="7"/>
      <c r="BF189" s="7"/>
      <c r="BG189" s="7"/>
      <c r="BH189" s="7"/>
      <c r="BI189" s="7"/>
      <c r="BJ189" s="7"/>
      <c r="BK189" s="7"/>
      <c r="BL189" s="7"/>
      <c r="BM189" s="7"/>
      <c r="BN189" s="7"/>
      <c r="BO189" s="7"/>
      <c r="BP189" s="7"/>
      <c r="BQ189" s="7"/>
      <c r="BR189" s="7"/>
      <c r="BS189" s="7"/>
      <c r="BT189" s="7"/>
      <c r="BU189" s="7"/>
      <c r="BV189" s="7"/>
      <c r="BW189" s="7"/>
      <c r="BX189" s="7"/>
      <c r="BY189" s="7"/>
      <c r="BZ189" s="7"/>
      <c r="CA189" s="7"/>
      <c r="CB189" s="7"/>
      <c r="CC189" s="7"/>
      <c r="CD189" s="7"/>
      <c r="CE189" s="7"/>
    </row>
    <row r="190" spans="16:83" x14ac:dyDescent="0.35">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c r="AX190" s="7"/>
      <c r="AY190" s="7"/>
      <c r="AZ190" s="7"/>
      <c r="BA190" s="7"/>
      <c r="BB190" s="7"/>
      <c r="BC190" s="7"/>
      <c r="BD190" s="7"/>
      <c r="BE190" s="7"/>
      <c r="BF190" s="7"/>
      <c r="BG190" s="7"/>
      <c r="BH190" s="7"/>
      <c r="BI190" s="7"/>
      <c r="BJ190" s="7"/>
      <c r="BK190" s="7"/>
      <c r="BL190" s="7"/>
      <c r="BM190" s="7"/>
      <c r="BN190" s="7"/>
      <c r="BO190" s="7"/>
      <c r="BP190" s="7"/>
      <c r="BQ190" s="7"/>
      <c r="BR190" s="7"/>
      <c r="BS190" s="7"/>
      <c r="BT190" s="7"/>
      <c r="BU190" s="7"/>
      <c r="BV190" s="7"/>
      <c r="BW190" s="7"/>
      <c r="BX190" s="7"/>
      <c r="BY190" s="7"/>
      <c r="BZ190" s="7"/>
      <c r="CA190" s="7"/>
      <c r="CB190" s="7"/>
      <c r="CC190" s="7"/>
      <c r="CD190" s="7"/>
      <c r="CE190" s="7"/>
    </row>
    <row r="191" spans="16:83" x14ac:dyDescent="0.35">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7"/>
      <c r="AX191" s="7"/>
      <c r="AY191" s="7"/>
      <c r="AZ191" s="7"/>
      <c r="BA191" s="7"/>
      <c r="BB191" s="7"/>
      <c r="BC191" s="7"/>
      <c r="BD191" s="7"/>
      <c r="BE191" s="7"/>
      <c r="BF191" s="7"/>
      <c r="BG191" s="7"/>
      <c r="BH191" s="7"/>
      <c r="BI191" s="7"/>
      <c r="BJ191" s="7"/>
      <c r="BK191" s="7"/>
      <c r="BL191" s="7"/>
      <c r="BM191" s="7"/>
      <c r="BN191" s="7"/>
      <c r="BO191" s="7"/>
      <c r="BP191" s="7"/>
      <c r="BQ191" s="7"/>
      <c r="BR191" s="7"/>
      <c r="BS191" s="7"/>
      <c r="BT191" s="7"/>
      <c r="BU191" s="7"/>
      <c r="BV191" s="7"/>
      <c r="BW191" s="7"/>
      <c r="BX191" s="7"/>
      <c r="BY191" s="7"/>
      <c r="BZ191" s="7"/>
      <c r="CA191" s="7"/>
      <c r="CB191" s="7"/>
      <c r="CC191" s="7"/>
      <c r="CD191" s="7"/>
      <c r="CE191" s="7"/>
    </row>
    <row r="192" spans="16:83" x14ac:dyDescent="0.35">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c r="AX192" s="7"/>
      <c r="AY192" s="7"/>
      <c r="AZ192" s="7"/>
      <c r="BA192" s="7"/>
      <c r="BB192" s="7"/>
      <c r="BC192" s="7"/>
      <c r="BD192" s="7"/>
      <c r="BE192" s="7"/>
      <c r="BF192" s="7"/>
      <c r="BG192" s="7"/>
      <c r="BH192" s="7"/>
      <c r="BI192" s="7"/>
      <c r="BJ192" s="7"/>
      <c r="BK192" s="7"/>
      <c r="BL192" s="7"/>
      <c r="BM192" s="7"/>
      <c r="BN192" s="7"/>
      <c r="BO192" s="7"/>
      <c r="BP192" s="7"/>
      <c r="BQ192" s="7"/>
      <c r="BR192" s="7"/>
      <c r="BS192" s="7"/>
      <c r="BT192" s="7"/>
      <c r="BU192" s="7"/>
      <c r="BV192" s="7"/>
      <c r="BW192" s="7"/>
      <c r="BX192" s="7"/>
      <c r="BY192" s="7"/>
      <c r="BZ192" s="7"/>
      <c r="CA192" s="7"/>
      <c r="CB192" s="7"/>
      <c r="CC192" s="7"/>
      <c r="CD192" s="7"/>
      <c r="CE192" s="7"/>
    </row>
    <row r="193" spans="16:83" x14ac:dyDescent="0.35">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c r="AT193" s="7"/>
      <c r="AU193" s="7"/>
      <c r="AV193" s="7"/>
      <c r="AW193" s="7"/>
      <c r="AX193" s="7"/>
      <c r="AY193" s="7"/>
      <c r="AZ193" s="7"/>
      <c r="BA193" s="7"/>
      <c r="BB193" s="7"/>
      <c r="BC193" s="7"/>
      <c r="BD193" s="7"/>
      <c r="BE193" s="7"/>
      <c r="BF193" s="7"/>
      <c r="BG193" s="7"/>
      <c r="BH193" s="7"/>
      <c r="BI193" s="7"/>
      <c r="BJ193" s="7"/>
      <c r="BK193" s="7"/>
      <c r="BL193" s="7"/>
      <c r="BM193" s="7"/>
      <c r="BN193" s="7"/>
      <c r="BO193" s="7"/>
      <c r="BP193" s="7"/>
      <c r="BQ193" s="7"/>
      <c r="BR193" s="7"/>
      <c r="BS193" s="7"/>
      <c r="BT193" s="7"/>
      <c r="BU193" s="7"/>
      <c r="BV193" s="7"/>
      <c r="BW193" s="7"/>
      <c r="BX193" s="7"/>
      <c r="BY193" s="7"/>
      <c r="BZ193" s="7"/>
      <c r="CA193" s="7"/>
      <c r="CB193" s="7"/>
      <c r="CC193" s="7"/>
      <c r="CD193" s="7"/>
      <c r="CE193" s="7"/>
    </row>
    <row r="194" spans="16:83" x14ac:dyDescent="0.35">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c r="AX194" s="7"/>
      <c r="AY194" s="7"/>
      <c r="AZ194" s="7"/>
      <c r="BA194" s="7"/>
      <c r="BB194" s="7"/>
      <c r="BC194" s="7"/>
      <c r="BD194" s="7"/>
      <c r="BE194" s="7"/>
      <c r="BF194" s="7"/>
      <c r="BG194" s="7"/>
      <c r="BH194" s="7"/>
      <c r="BI194" s="7"/>
      <c r="BJ194" s="7"/>
      <c r="BK194" s="7"/>
      <c r="BL194" s="7"/>
      <c r="BM194" s="7"/>
      <c r="BN194" s="7"/>
      <c r="BO194" s="7"/>
      <c r="BP194" s="7"/>
      <c r="BQ194" s="7"/>
      <c r="BR194" s="7"/>
      <c r="BS194" s="7"/>
      <c r="BT194" s="7"/>
      <c r="BU194" s="7"/>
      <c r="BV194" s="7"/>
      <c r="BW194" s="7"/>
      <c r="BX194" s="7"/>
      <c r="BY194" s="7"/>
      <c r="BZ194" s="7"/>
      <c r="CA194" s="7"/>
      <c r="CB194" s="7"/>
      <c r="CC194" s="7"/>
      <c r="CD194" s="7"/>
      <c r="CE194" s="7"/>
    </row>
    <row r="195" spans="16:83" x14ac:dyDescent="0.35">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c r="AX195" s="7"/>
      <c r="AY195" s="7"/>
      <c r="AZ195" s="7"/>
      <c r="BA195" s="7"/>
      <c r="BB195" s="7"/>
      <c r="BC195" s="7"/>
      <c r="BD195" s="7"/>
      <c r="BE195" s="7"/>
      <c r="BF195" s="7"/>
      <c r="BG195" s="7"/>
      <c r="BH195" s="7"/>
      <c r="BI195" s="7"/>
      <c r="BJ195" s="7"/>
      <c r="BK195" s="7"/>
      <c r="BL195" s="7"/>
      <c r="BM195" s="7"/>
      <c r="BN195" s="7"/>
      <c r="BO195" s="7"/>
      <c r="BP195" s="7"/>
      <c r="BQ195" s="7"/>
      <c r="BR195" s="7"/>
      <c r="BS195" s="7"/>
      <c r="BT195" s="7"/>
      <c r="BU195" s="7"/>
      <c r="BV195" s="7"/>
      <c r="BW195" s="7"/>
      <c r="BX195" s="7"/>
      <c r="BY195" s="7"/>
      <c r="BZ195" s="7"/>
      <c r="CA195" s="7"/>
      <c r="CB195" s="7"/>
      <c r="CC195" s="7"/>
      <c r="CD195" s="7"/>
      <c r="CE195" s="7"/>
    </row>
    <row r="196" spans="16:83" x14ac:dyDescent="0.35">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c r="AT196" s="7"/>
      <c r="AU196" s="7"/>
      <c r="AV196" s="7"/>
      <c r="AW196" s="7"/>
      <c r="AX196" s="7"/>
      <c r="AY196" s="7"/>
      <c r="AZ196" s="7"/>
      <c r="BA196" s="7"/>
      <c r="BB196" s="7"/>
      <c r="BC196" s="7"/>
      <c r="BD196" s="7"/>
      <c r="BE196" s="7"/>
      <c r="BF196" s="7"/>
      <c r="BG196" s="7"/>
      <c r="BH196" s="7"/>
      <c r="BI196" s="7"/>
      <c r="BJ196" s="7"/>
      <c r="BK196" s="7"/>
      <c r="BL196" s="7"/>
      <c r="BM196" s="7"/>
      <c r="BN196" s="7"/>
      <c r="BO196" s="7"/>
      <c r="BP196" s="7"/>
      <c r="BQ196" s="7"/>
      <c r="BR196" s="7"/>
      <c r="BS196" s="7"/>
      <c r="BT196" s="7"/>
      <c r="BU196" s="7"/>
      <c r="BV196" s="7"/>
      <c r="BW196" s="7"/>
      <c r="BX196" s="7"/>
      <c r="BY196" s="7"/>
      <c r="BZ196" s="7"/>
      <c r="CA196" s="7"/>
      <c r="CB196" s="7"/>
      <c r="CC196" s="7"/>
      <c r="CD196" s="7"/>
      <c r="CE196" s="7"/>
    </row>
    <row r="197" spans="16:83" x14ac:dyDescent="0.35">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c r="AT197" s="7"/>
      <c r="AU197" s="7"/>
      <c r="AV197" s="7"/>
      <c r="AW197" s="7"/>
      <c r="AX197" s="7"/>
      <c r="AY197" s="7"/>
      <c r="AZ197" s="7"/>
      <c r="BA197" s="7"/>
      <c r="BB197" s="7"/>
      <c r="BC197" s="7"/>
      <c r="BD197" s="7"/>
      <c r="BE197" s="7"/>
      <c r="BF197" s="7"/>
      <c r="BG197" s="7"/>
      <c r="BH197" s="7"/>
      <c r="BI197" s="7"/>
      <c r="BJ197" s="7"/>
      <c r="BK197" s="7"/>
      <c r="BL197" s="7"/>
      <c r="BM197" s="7"/>
      <c r="BN197" s="7"/>
      <c r="BO197" s="7"/>
      <c r="BP197" s="7"/>
      <c r="BQ197" s="7"/>
      <c r="BR197" s="7"/>
      <c r="BS197" s="7"/>
      <c r="BT197" s="7"/>
      <c r="BU197" s="7"/>
      <c r="BV197" s="7"/>
      <c r="BW197" s="7"/>
      <c r="BX197" s="7"/>
      <c r="BY197" s="7"/>
      <c r="BZ197" s="7"/>
      <c r="CA197" s="7"/>
      <c r="CB197" s="7"/>
      <c r="CC197" s="7"/>
      <c r="CD197" s="7"/>
      <c r="CE197" s="7"/>
    </row>
    <row r="198" spans="16:83" x14ac:dyDescent="0.35">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c r="AT198" s="7"/>
      <c r="AU198" s="7"/>
      <c r="AV198" s="7"/>
      <c r="AW198" s="7"/>
      <c r="AX198" s="7"/>
      <c r="AY198" s="7"/>
      <c r="AZ198" s="7"/>
      <c r="BA198" s="7"/>
      <c r="BB198" s="7"/>
      <c r="BC198" s="7"/>
      <c r="BD198" s="7"/>
      <c r="BE198" s="7"/>
      <c r="BF198" s="7"/>
      <c r="BG198" s="7"/>
      <c r="BH198" s="7"/>
      <c r="BI198" s="7"/>
      <c r="BJ198" s="7"/>
      <c r="BK198" s="7"/>
      <c r="BL198" s="7"/>
      <c r="BM198" s="7"/>
      <c r="BN198" s="7"/>
      <c r="BO198" s="7"/>
      <c r="BP198" s="7"/>
      <c r="BQ198" s="7"/>
      <c r="BR198" s="7"/>
      <c r="BS198" s="7"/>
      <c r="BT198" s="7"/>
      <c r="BU198" s="7"/>
      <c r="BV198" s="7"/>
      <c r="BW198" s="7"/>
      <c r="BX198" s="7"/>
      <c r="BY198" s="7"/>
      <c r="BZ198" s="7"/>
      <c r="CA198" s="7"/>
      <c r="CB198" s="7"/>
      <c r="CC198" s="7"/>
      <c r="CD198" s="7"/>
      <c r="CE198" s="7"/>
    </row>
    <row r="199" spans="16:83" x14ac:dyDescent="0.35">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c r="AO199" s="7"/>
      <c r="AP199" s="7"/>
      <c r="AQ199" s="7"/>
      <c r="AR199" s="7"/>
      <c r="AS199" s="7"/>
      <c r="AT199" s="7"/>
      <c r="AU199" s="7"/>
      <c r="AV199" s="7"/>
      <c r="AW199" s="7"/>
      <c r="AX199" s="7"/>
      <c r="AY199" s="7"/>
      <c r="AZ199" s="7"/>
      <c r="BA199" s="7"/>
      <c r="BB199" s="7"/>
      <c r="BC199" s="7"/>
      <c r="BD199" s="7"/>
      <c r="BE199" s="7"/>
      <c r="BF199" s="7"/>
      <c r="BG199" s="7"/>
      <c r="BH199" s="7"/>
      <c r="BI199" s="7"/>
      <c r="BJ199" s="7"/>
      <c r="BK199" s="7"/>
      <c r="BL199" s="7"/>
      <c r="BM199" s="7"/>
      <c r="BN199" s="7"/>
      <c r="BO199" s="7"/>
      <c r="BP199" s="7"/>
      <c r="BQ199" s="7"/>
      <c r="BR199" s="7"/>
      <c r="BS199" s="7"/>
      <c r="BT199" s="7"/>
      <c r="BU199" s="7"/>
      <c r="BV199" s="7"/>
      <c r="BW199" s="7"/>
      <c r="BX199" s="7"/>
      <c r="BY199" s="7"/>
      <c r="BZ199" s="7"/>
      <c r="CA199" s="7"/>
      <c r="CB199" s="7"/>
      <c r="CC199" s="7"/>
      <c r="CD199" s="7"/>
      <c r="CE199" s="7"/>
    </row>
    <row r="200" spans="16:83" x14ac:dyDescent="0.35">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7"/>
      <c r="AX200" s="7"/>
      <c r="AY200" s="7"/>
      <c r="AZ200" s="7"/>
      <c r="BA200" s="7"/>
      <c r="BB200" s="7"/>
      <c r="BC200" s="7"/>
      <c r="BD200" s="7"/>
      <c r="BE200" s="7"/>
      <c r="BF200" s="7"/>
      <c r="BG200" s="7"/>
      <c r="BH200" s="7"/>
      <c r="BI200" s="7"/>
      <c r="BJ200" s="7"/>
      <c r="BK200" s="7"/>
      <c r="BL200" s="7"/>
      <c r="BM200" s="7"/>
      <c r="BN200" s="7"/>
      <c r="BO200" s="7"/>
      <c r="BP200" s="7"/>
      <c r="BQ200" s="7"/>
      <c r="BR200" s="7"/>
      <c r="BS200" s="7"/>
      <c r="BT200" s="7"/>
      <c r="BU200" s="7"/>
      <c r="BV200" s="7"/>
      <c r="BW200" s="7"/>
      <c r="BX200" s="7"/>
      <c r="BY200" s="7"/>
      <c r="BZ200" s="7"/>
      <c r="CA200" s="7"/>
      <c r="CB200" s="7"/>
      <c r="CC200" s="7"/>
      <c r="CD200" s="7"/>
      <c r="CE200" s="7"/>
    </row>
    <row r="201" spans="16:83" x14ac:dyDescent="0.35">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c r="AT201" s="7"/>
      <c r="AU201" s="7"/>
      <c r="AV201" s="7"/>
      <c r="AW201" s="7"/>
      <c r="AX201" s="7"/>
      <c r="AY201" s="7"/>
      <c r="AZ201" s="7"/>
      <c r="BA201" s="7"/>
      <c r="BB201" s="7"/>
      <c r="BC201" s="7"/>
      <c r="BD201" s="7"/>
      <c r="BE201" s="7"/>
      <c r="BF201" s="7"/>
      <c r="BG201" s="7"/>
      <c r="BH201" s="7"/>
      <c r="BI201" s="7"/>
      <c r="BJ201" s="7"/>
      <c r="BK201" s="7"/>
      <c r="BL201" s="7"/>
      <c r="BM201" s="7"/>
      <c r="BN201" s="7"/>
      <c r="BO201" s="7"/>
      <c r="BP201" s="7"/>
      <c r="BQ201" s="7"/>
      <c r="BR201" s="7"/>
      <c r="BS201" s="7"/>
      <c r="BT201" s="7"/>
      <c r="BU201" s="7"/>
      <c r="BV201" s="7"/>
      <c r="BW201" s="7"/>
      <c r="BX201" s="7"/>
      <c r="BY201" s="7"/>
      <c r="BZ201" s="7"/>
      <c r="CA201" s="7"/>
      <c r="CB201" s="7"/>
      <c r="CC201" s="7"/>
      <c r="CD201" s="7"/>
      <c r="CE201" s="7"/>
    </row>
    <row r="202" spans="16:83" x14ac:dyDescent="0.35">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c r="AT202" s="7"/>
      <c r="AU202" s="7"/>
      <c r="AV202" s="7"/>
      <c r="AW202" s="7"/>
      <c r="AX202" s="7"/>
      <c r="AY202" s="7"/>
      <c r="AZ202" s="7"/>
      <c r="BA202" s="7"/>
      <c r="BB202" s="7"/>
      <c r="BC202" s="7"/>
      <c r="BD202" s="7"/>
      <c r="BE202" s="7"/>
      <c r="BF202" s="7"/>
      <c r="BG202" s="7"/>
      <c r="BH202" s="7"/>
      <c r="BI202" s="7"/>
      <c r="BJ202" s="7"/>
      <c r="BK202" s="7"/>
      <c r="BL202" s="7"/>
      <c r="BM202" s="7"/>
      <c r="BN202" s="7"/>
      <c r="BO202" s="7"/>
      <c r="BP202" s="7"/>
      <c r="BQ202" s="7"/>
      <c r="BR202" s="7"/>
      <c r="BS202" s="7"/>
      <c r="BT202" s="7"/>
      <c r="BU202" s="7"/>
      <c r="BV202" s="7"/>
      <c r="BW202" s="7"/>
      <c r="BX202" s="7"/>
      <c r="BY202" s="7"/>
      <c r="BZ202" s="7"/>
      <c r="CA202" s="7"/>
      <c r="CB202" s="7"/>
      <c r="CC202" s="7"/>
      <c r="CD202" s="7"/>
      <c r="CE202" s="7"/>
    </row>
    <row r="203" spans="16:83" x14ac:dyDescent="0.35">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AO203" s="7"/>
      <c r="AP203" s="7"/>
      <c r="AQ203" s="7"/>
      <c r="AR203" s="7"/>
      <c r="AS203" s="7"/>
      <c r="AT203" s="7"/>
      <c r="AU203" s="7"/>
      <c r="AV203" s="7"/>
      <c r="AW203" s="7"/>
      <c r="AX203" s="7"/>
      <c r="AY203" s="7"/>
      <c r="AZ203" s="7"/>
      <c r="BA203" s="7"/>
      <c r="BB203" s="7"/>
      <c r="BC203" s="7"/>
      <c r="BD203" s="7"/>
      <c r="BE203" s="7"/>
      <c r="BF203" s="7"/>
      <c r="BG203" s="7"/>
      <c r="BH203" s="7"/>
      <c r="BI203" s="7"/>
      <c r="BJ203" s="7"/>
      <c r="BK203" s="7"/>
      <c r="BL203" s="7"/>
      <c r="BM203" s="7"/>
      <c r="BN203" s="7"/>
      <c r="BO203" s="7"/>
      <c r="BP203" s="7"/>
      <c r="BQ203" s="7"/>
      <c r="BR203" s="7"/>
      <c r="BS203" s="7"/>
      <c r="BT203" s="7"/>
      <c r="BU203" s="7"/>
      <c r="BV203" s="7"/>
      <c r="BW203" s="7"/>
      <c r="BX203" s="7"/>
      <c r="BY203" s="7"/>
      <c r="BZ203" s="7"/>
      <c r="CA203" s="7"/>
      <c r="CB203" s="7"/>
      <c r="CC203" s="7"/>
      <c r="CD203" s="7"/>
      <c r="CE203" s="7"/>
    </row>
    <row r="204" spans="16:83" x14ac:dyDescent="0.35">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c r="AO204" s="7"/>
      <c r="AP204" s="7"/>
      <c r="AQ204" s="7"/>
      <c r="AR204" s="7"/>
      <c r="AS204" s="7"/>
      <c r="AT204" s="7"/>
      <c r="AU204" s="7"/>
      <c r="AV204" s="7"/>
      <c r="AW204" s="7"/>
      <c r="AX204" s="7"/>
      <c r="AY204" s="7"/>
      <c r="AZ204" s="7"/>
      <c r="BA204" s="7"/>
      <c r="BB204" s="7"/>
      <c r="BC204" s="7"/>
      <c r="BD204" s="7"/>
      <c r="BE204" s="7"/>
      <c r="BF204" s="7"/>
      <c r="BG204" s="7"/>
      <c r="BH204" s="7"/>
      <c r="BI204" s="7"/>
      <c r="BJ204" s="7"/>
      <c r="BK204" s="7"/>
      <c r="BL204" s="7"/>
      <c r="BM204" s="7"/>
      <c r="BN204" s="7"/>
      <c r="BO204" s="7"/>
      <c r="BP204" s="7"/>
      <c r="BQ204" s="7"/>
      <c r="BR204" s="7"/>
      <c r="BS204" s="7"/>
      <c r="BT204" s="7"/>
      <c r="BU204" s="7"/>
      <c r="BV204" s="7"/>
      <c r="BW204" s="7"/>
      <c r="BX204" s="7"/>
      <c r="BY204" s="7"/>
      <c r="BZ204" s="7"/>
      <c r="CA204" s="7"/>
      <c r="CB204" s="7"/>
      <c r="CC204" s="7"/>
      <c r="CD204" s="7"/>
      <c r="CE204" s="7"/>
    </row>
    <row r="205" spans="16:83" x14ac:dyDescent="0.35">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c r="AO205" s="7"/>
      <c r="AP205" s="7"/>
      <c r="AQ205" s="7"/>
      <c r="AR205" s="7"/>
      <c r="AS205" s="7"/>
      <c r="AT205" s="7"/>
      <c r="AU205" s="7"/>
      <c r="AV205" s="7"/>
      <c r="AW205" s="7"/>
      <c r="AX205" s="7"/>
      <c r="AY205" s="7"/>
      <c r="AZ205" s="7"/>
      <c r="BA205" s="7"/>
      <c r="BB205" s="7"/>
      <c r="BC205" s="7"/>
      <c r="BD205" s="7"/>
      <c r="BE205" s="7"/>
      <c r="BF205" s="7"/>
      <c r="BG205" s="7"/>
      <c r="BH205" s="7"/>
      <c r="BI205" s="7"/>
      <c r="BJ205" s="7"/>
      <c r="BK205" s="7"/>
      <c r="BL205" s="7"/>
      <c r="BM205" s="7"/>
      <c r="BN205" s="7"/>
      <c r="BO205" s="7"/>
      <c r="BP205" s="7"/>
      <c r="BQ205" s="7"/>
      <c r="BR205" s="7"/>
      <c r="BS205" s="7"/>
      <c r="BT205" s="7"/>
      <c r="BU205" s="7"/>
      <c r="BV205" s="7"/>
      <c r="BW205" s="7"/>
      <c r="BX205" s="7"/>
      <c r="BY205" s="7"/>
      <c r="BZ205" s="7"/>
      <c r="CA205" s="7"/>
      <c r="CB205" s="7"/>
      <c r="CC205" s="7"/>
      <c r="CD205" s="7"/>
      <c r="CE205" s="7"/>
    </row>
    <row r="206" spans="16:83" x14ac:dyDescent="0.35">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7"/>
      <c r="AP206" s="7"/>
      <c r="AQ206" s="7"/>
      <c r="AR206" s="7"/>
      <c r="AS206" s="7"/>
      <c r="AT206" s="7"/>
      <c r="AU206" s="7"/>
      <c r="AV206" s="7"/>
      <c r="AW206" s="7"/>
      <c r="AX206" s="7"/>
      <c r="AY206" s="7"/>
      <c r="AZ206" s="7"/>
      <c r="BA206" s="7"/>
      <c r="BB206" s="7"/>
      <c r="BC206" s="7"/>
      <c r="BD206" s="7"/>
      <c r="BE206" s="7"/>
      <c r="BF206" s="7"/>
      <c r="BG206" s="7"/>
      <c r="BH206" s="7"/>
      <c r="BI206" s="7"/>
      <c r="BJ206" s="7"/>
      <c r="BK206" s="7"/>
      <c r="BL206" s="7"/>
      <c r="BM206" s="7"/>
      <c r="BN206" s="7"/>
      <c r="BO206" s="7"/>
      <c r="BP206" s="7"/>
      <c r="BQ206" s="7"/>
      <c r="BR206" s="7"/>
      <c r="BS206" s="7"/>
      <c r="BT206" s="7"/>
      <c r="BU206" s="7"/>
      <c r="BV206" s="7"/>
      <c r="BW206" s="7"/>
      <c r="BX206" s="7"/>
      <c r="BY206" s="7"/>
      <c r="BZ206" s="7"/>
      <c r="CA206" s="7"/>
      <c r="CB206" s="7"/>
      <c r="CC206" s="7"/>
      <c r="CD206" s="7"/>
      <c r="CE206" s="7"/>
    </row>
    <row r="207" spans="16:83" x14ac:dyDescent="0.35">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c r="AO207" s="7"/>
      <c r="AP207" s="7"/>
      <c r="AQ207" s="7"/>
      <c r="AR207" s="7"/>
      <c r="AS207" s="7"/>
      <c r="AT207" s="7"/>
      <c r="AU207" s="7"/>
      <c r="AV207" s="7"/>
      <c r="AW207" s="7"/>
      <c r="AX207" s="7"/>
      <c r="AY207" s="7"/>
      <c r="AZ207" s="7"/>
      <c r="BA207" s="7"/>
      <c r="BB207" s="7"/>
      <c r="BC207" s="7"/>
      <c r="BD207" s="7"/>
      <c r="BE207" s="7"/>
      <c r="BF207" s="7"/>
      <c r="BG207" s="7"/>
      <c r="BH207" s="7"/>
      <c r="BI207" s="7"/>
      <c r="BJ207" s="7"/>
      <c r="BK207" s="7"/>
      <c r="BL207" s="7"/>
      <c r="BM207" s="7"/>
      <c r="BN207" s="7"/>
      <c r="BO207" s="7"/>
      <c r="BP207" s="7"/>
      <c r="BQ207" s="7"/>
      <c r="BR207" s="7"/>
      <c r="BS207" s="7"/>
      <c r="BT207" s="7"/>
      <c r="BU207" s="7"/>
      <c r="BV207" s="7"/>
      <c r="BW207" s="7"/>
      <c r="BX207" s="7"/>
      <c r="BY207" s="7"/>
      <c r="BZ207" s="7"/>
      <c r="CA207" s="7"/>
      <c r="CB207" s="7"/>
      <c r="CC207" s="7"/>
      <c r="CD207" s="7"/>
      <c r="CE207" s="7"/>
    </row>
    <row r="208" spans="16:83" x14ac:dyDescent="0.35">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c r="AO208" s="7"/>
      <c r="AP208" s="7"/>
      <c r="AQ208" s="7"/>
      <c r="AR208" s="7"/>
      <c r="AS208" s="7"/>
      <c r="AT208" s="7"/>
      <c r="AU208" s="7"/>
      <c r="AV208" s="7"/>
      <c r="AW208" s="7"/>
      <c r="AX208" s="7"/>
      <c r="AY208" s="7"/>
      <c r="AZ208" s="7"/>
      <c r="BA208" s="7"/>
      <c r="BB208" s="7"/>
      <c r="BC208" s="7"/>
      <c r="BD208" s="7"/>
      <c r="BE208" s="7"/>
      <c r="BF208" s="7"/>
      <c r="BG208" s="7"/>
      <c r="BH208" s="7"/>
      <c r="BI208" s="7"/>
      <c r="BJ208" s="7"/>
      <c r="BK208" s="7"/>
      <c r="BL208" s="7"/>
      <c r="BM208" s="7"/>
      <c r="BN208" s="7"/>
      <c r="BO208" s="7"/>
      <c r="BP208" s="7"/>
      <c r="BQ208" s="7"/>
      <c r="BR208" s="7"/>
      <c r="BS208" s="7"/>
      <c r="BT208" s="7"/>
      <c r="BU208" s="7"/>
      <c r="BV208" s="7"/>
      <c r="BW208" s="7"/>
      <c r="BX208" s="7"/>
      <c r="BY208" s="7"/>
      <c r="BZ208" s="7"/>
      <c r="CA208" s="7"/>
      <c r="CB208" s="7"/>
      <c r="CC208" s="7"/>
      <c r="CD208" s="7"/>
      <c r="CE208" s="7"/>
    </row>
    <row r="209" spans="16:83" x14ac:dyDescent="0.35">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c r="AO209" s="7"/>
      <c r="AP209" s="7"/>
      <c r="AQ209" s="7"/>
      <c r="AR209" s="7"/>
      <c r="AS209" s="7"/>
      <c r="AT209" s="7"/>
      <c r="AU209" s="7"/>
      <c r="AV209" s="7"/>
      <c r="AW209" s="7"/>
      <c r="AX209" s="7"/>
      <c r="AY209" s="7"/>
      <c r="AZ209" s="7"/>
      <c r="BA209" s="7"/>
      <c r="BB209" s="7"/>
      <c r="BC209" s="7"/>
      <c r="BD209" s="7"/>
      <c r="BE209" s="7"/>
      <c r="BF209" s="7"/>
      <c r="BG209" s="7"/>
      <c r="BH209" s="7"/>
      <c r="BI209" s="7"/>
      <c r="BJ209" s="7"/>
      <c r="BK209" s="7"/>
      <c r="BL209" s="7"/>
      <c r="BM209" s="7"/>
      <c r="BN209" s="7"/>
      <c r="BO209" s="7"/>
      <c r="BP209" s="7"/>
      <c r="BQ209" s="7"/>
      <c r="BR209" s="7"/>
      <c r="BS209" s="7"/>
      <c r="BT209" s="7"/>
      <c r="BU209" s="7"/>
      <c r="BV209" s="7"/>
      <c r="BW209" s="7"/>
      <c r="BX209" s="7"/>
      <c r="BY209" s="7"/>
      <c r="BZ209" s="7"/>
      <c r="CA209" s="7"/>
      <c r="CB209" s="7"/>
      <c r="CC209" s="7"/>
      <c r="CD209" s="7"/>
      <c r="CE209" s="7"/>
    </row>
    <row r="210" spans="16:83" x14ac:dyDescent="0.35">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c r="AO210" s="7"/>
      <c r="AP210" s="7"/>
      <c r="AQ210" s="7"/>
      <c r="AR210" s="7"/>
      <c r="AS210" s="7"/>
      <c r="AT210" s="7"/>
      <c r="AU210" s="7"/>
      <c r="AV210" s="7"/>
      <c r="AW210" s="7"/>
      <c r="AX210" s="7"/>
      <c r="AY210" s="7"/>
      <c r="AZ210" s="7"/>
      <c r="BA210" s="7"/>
      <c r="BB210" s="7"/>
      <c r="BC210" s="7"/>
      <c r="BD210" s="7"/>
      <c r="BE210" s="7"/>
      <c r="BF210" s="7"/>
      <c r="BG210" s="7"/>
      <c r="BH210" s="7"/>
      <c r="BI210" s="7"/>
      <c r="BJ210" s="7"/>
      <c r="BK210" s="7"/>
      <c r="BL210" s="7"/>
      <c r="BM210" s="7"/>
      <c r="BN210" s="7"/>
      <c r="BO210" s="7"/>
      <c r="BP210" s="7"/>
      <c r="BQ210" s="7"/>
      <c r="BR210" s="7"/>
      <c r="BS210" s="7"/>
      <c r="BT210" s="7"/>
      <c r="BU210" s="7"/>
      <c r="BV210" s="7"/>
      <c r="BW210" s="7"/>
      <c r="BX210" s="7"/>
      <c r="BY210" s="7"/>
      <c r="BZ210" s="7"/>
      <c r="CA210" s="7"/>
      <c r="CB210" s="7"/>
      <c r="CC210" s="7"/>
      <c r="CD210" s="7"/>
      <c r="CE210" s="7"/>
    </row>
    <row r="211" spans="16:83" x14ac:dyDescent="0.35">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c r="AO211" s="7"/>
      <c r="AP211" s="7"/>
      <c r="AQ211" s="7"/>
      <c r="AR211" s="7"/>
      <c r="AS211" s="7"/>
      <c r="AT211" s="7"/>
      <c r="AU211" s="7"/>
      <c r="AV211" s="7"/>
      <c r="AW211" s="7"/>
      <c r="AX211" s="7"/>
      <c r="AY211" s="7"/>
      <c r="AZ211" s="7"/>
      <c r="BA211" s="7"/>
      <c r="BB211" s="7"/>
      <c r="BC211" s="7"/>
      <c r="BD211" s="7"/>
      <c r="BE211" s="7"/>
      <c r="BF211" s="7"/>
      <c r="BG211" s="7"/>
      <c r="BH211" s="7"/>
      <c r="BI211" s="7"/>
      <c r="BJ211" s="7"/>
      <c r="BK211" s="7"/>
      <c r="BL211" s="7"/>
      <c r="BM211" s="7"/>
      <c r="BN211" s="7"/>
      <c r="BO211" s="7"/>
      <c r="BP211" s="7"/>
      <c r="BQ211" s="7"/>
      <c r="BR211" s="7"/>
      <c r="BS211" s="7"/>
      <c r="BT211" s="7"/>
      <c r="BU211" s="7"/>
      <c r="BV211" s="7"/>
      <c r="BW211" s="7"/>
      <c r="BX211" s="7"/>
      <c r="BY211" s="7"/>
      <c r="BZ211" s="7"/>
      <c r="CA211" s="7"/>
      <c r="CB211" s="7"/>
      <c r="CC211" s="7"/>
      <c r="CD211" s="7"/>
      <c r="CE211" s="7"/>
    </row>
    <row r="212" spans="16:83" x14ac:dyDescent="0.35">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c r="AO212" s="7"/>
      <c r="AP212" s="7"/>
      <c r="AQ212" s="7"/>
      <c r="AR212" s="7"/>
      <c r="AS212" s="7"/>
      <c r="AT212" s="7"/>
      <c r="AU212" s="7"/>
      <c r="AV212" s="7"/>
      <c r="AW212" s="7"/>
      <c r="AX212" s="7"/>
      <c r="AY212" s="7"/>
      <c r="AZ212" s="7"/>
      <c r="BA212" s="7"/>
      <c r="BB212" s="7"/>
      <c r="BC212" s="7"/>
      <c r="BD212" s="7"/>
      <c r="BE212" s="7"/>
      <c r="BF212" s="7"/>
      <c r="BG212" s="7"/>
      <c r="BH212" s="7"/>
      <c r="BI212" s="7"/>
      <c r="BJ212" s="7"/>
      <c r="BK212" s="7"/>
      <c r="BL212" s="7"/>
      <c r="BM212" s="7"/>
      <c r="BN212" s="7"/>
      <c r="BO212" s="7"/>
      <c r="BP212" s="7"/>
      <c r="BQ212" s="7"/>
      <c r="BR212" s="7"/>
      <c r="BS212" s="7"/>
      <c r="BT212" s="7"/>
      <c r="BU212" s="7"/>
      <c r="BV212" s="7"/>
      <c r="BW212" s="7"/>
      <c r="BX212" s="7"/>
      <c r="BY212" s="7"/>
      <c r="BZ212" s="7"/>
      <c r="CA212" s="7"/>
      <c r="CB212" s="7"/>
      <c r="CC212" s="7"/>
      <c r="CD212" s="7"/>
      <c r="CE212" s="7"/>
    </row>
    <row r="213" spans="16:83" x14ac:dyDescent="0.35">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c r="AO213" s="7"/>
      <c r="AP213" s="7"/>
      <c r="AQ213" s="7"/>
      <c r="AR213" s="7"/>
      <c r="AS213" s="7"/>
      <c r="AT213" s="7"/>
      <c r="AU213" s="7"/>
      <c r="AV213" s="7"/>
      <c r="AW213" s="7"/>
      <c r="AX213" s="7"/>
      <c r="AY213" s="7"/>
      <c r="AZ213" s="7"/>
      <c r="BA213" s="7"/>
      <c r="BB213" s="7"/>
      <c r="BC213" s="7"/>
      <c r="BD213" s="7"/>
      <c r="BE213" s="7"/>
      <c r="BF213" s="7"/>
      <c r="BG213" s="7"/>
      <c r="BH213" s="7"/>
      <c r="BI213" s="7"/>
      <c r="BJ213" s="7"/>
      <c r="BK213" s="7"/>
      <c r="BL213" s="7"/>
      <c r="BM213" s="7"/>
      <c r="BN213" s="7"/>
      <c r="BO213" s="7"/>
      <c r="BP213" s="7"/>
      <c r="BQ213" s="7"/>
      <c r="BR213" s="7"/>
      <c r="BS213" s="7"/>
      <c r="BT213" s="7"/>
      <c r="BU213" s="7"/>
      <c r="BV213" s="7"/>
      <c r="BW213" s="7"/>
      <c r="BX213" s="7"/>
      <c r="BY213" s="7"/>
      <c r="BZ213" s="7"/>
      <c r="CA213" s="7"/>
      <c r="CB213" s="7"/>
      <c r="CC213" s="7"/>
      <c r="CD213" s="7"/>
      <c r="CE213" s="7"/>
    </row>
    <row r="214" spans="16:83" x14ac:dyDescent="0.35">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c r="AO214" s="7"/>
      <c r="AP214" s="7"/>
      <c r="AQ214" s="7"/>
      <c r="AR214" s="7"/>
      <c r="AS214" s="7"/>
      <c r="AT214" s="7"/>
      <c r="AU214" s="7"/>
      <c r="AV214" s="7"/>
      <c r="AW214" s="7"/>
      <c r="AX214" s="7"/>
      <c r="AY214" s="7"/>
      <c r="AZ214" s="7"/>
      <c r="BA214" s="7"/>
      <c r="BB214" s="7"/>
      <c r="BC214" s="7"/>
      <c r="BD214" s="7"/>
      <c r="BE214" s="7"/>
      <c r="BF214" s="7"/>
      <c r="BG214" s="7"/>
      <c r="BH214" s="7"/>
      <c r="BI214" s="7"/>
      <c r="BJ214" s="7"/>
      <c r="BK214" s="7"/>
      <c r="BL214" s="7"/>
      <c r="BM214" s="7"/>
      <c r="BN214" s="7"/>
      <c r="BO214" s="7"/>
      <c r="BP214" s="7"/>
      <c r="BQ214" s="7"/>
      <c r="BR214" s="7"/>
      <c r="BS214" s="7"/>
      <c r="BT214" s="7"/>
      <c r="BU214" s="7"/>
      <c r="BV214" s="7"/>
      <c r="BW214" s="7"/>
      <c r="BX214" s="7"/>
      <c r="BY214" s="7"/>
      <c r="BZ214" s="7"/>
      <c r="CA214" s="7"/>
      <c r="CB214" s="7"/>
      <c r="CC214" s="7"/>
      <c r="CD214" s="7"/>
      <c r="CE214" s="7"/>
    </row>
    <row r="215" spans="16:83" x14ac:dyDescent="0.35">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c r="AO215" s="7"/>
      <c r="AP215" s="7"/>
      <c r="AQ215" s="7"/>
      <c r="AR215" s="7"/>
      <c r="AS215" s="7"/>
      <c r="AT215" s="7"/>
      <c r="AU215" s="7"/>
      <c r="AV215" s="7"/>
      <c r="AW215" s="7"/>
      <c r="AX215" s="7"/>
      <c r="AY215" s="7"/>
      <c r="AZ215" s="7"/>
      <c r="BA215" s="7"/>
      <c r="BB215" s="7"/>
      <c r="BC215" s="7"/>
      <c r="BD215" s="7"/>
      <c r="BE215" s="7"/>
      <c r="BF215" s="7"/>
      <c r="BG215" s="7"/>
      <c r="BH215" s="7"/>
      <c r="BI215" s="7"/>
      <c r="BJ215" s="7"/>
      <c r="BK215" s="7"/>
      <c r="BL215" s="7"/>
      <c r="BM215" s="7"/>
      <c r="BN215" s="7"/>
      <c r="BO215" s="7"/>
      <c r="BP215" s="7"/>
      <c r="BQ215" s="7"/>
      <c r="BR215" s="7"/>
      <c r="BS215" s="7"/>
      <c r="BT215" s="7"/>
      <c r="BU215" s="7"/>
      <c r="BV215" s="7"/>
      <c r="BW215" s="7"/>
      <c r="BX215" s="7"/>
      <c r="BY215" s="7"/>
      <c r="BZ215" s="7"/>
      <c r="CA215" s="7"/>
      <c r="CB215" s="7"/>
      <c r="CC215" s="7"/>
      <c r="CD215" s="7"/>
      <c r="CE215" s="7"/>
    </row>
    <row r="216" spans="16:83" x14ac:dyDescent="0.35">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c r="AO216" s="7"/>
      <c r="AP216" s="7"/>
      <c r="AQ216" s="7"/>
      <c r="AR216" s="7"/>
      <c r="AS216" s="7"/>
      <c r="AT216" s="7"/>
      <c r="AU216" s="7"/>
      <c r="AV216" s="7"/>
      <c r="AW216" s="7"/>
      <c r="AX216" s="7"/>
      <c r="AY216" s="7"/>
      <c r="AZ216" s="7"/>
      <c r="BA216" s="7"/>
      <c r="BB216" s="7"/>
      <c r="BC216" s="7"/>
      <c r="BD216" s="7"/>
      <c r="BE216" s="7"/>
      <c r="BF216" s="7"/>
      <c r="BG216" s="7"/>
      <c r="BH216" s="7"/>
      <c r="BI216" s="7"/>
      <c r="BJ216" s="7"/>
      <c r="BK216" s="7"/>
      <c r="BL216" s="7"/>
      <c r="BM216" s="7"/>
      <c r="BN216" s="7"/>
      <c r="BO216" s="7"/>
      <c r="BP216" s="7"/>
      <c r="BQ216" s="7"/>
      <c r="BR216" s="7"/>
      <c r="BS216" s="7"/>
      <c r="BT216" s="7"/>
      <c r="BU216" s="7"/>
      <c r="BV216" s="7"/>
      <c r="BW216" s="7"/>
      <c r="BX216" s="7"/>
      <c r="BY216" s="7"/>
      <c r="BZ216" s="7"/>
      <c r="CA216" s="7"/>
      <c r="CB216" s="7"/>
      <c r="CC216" s="7"/>
      <c r="CD216" s="7"/>
      <c r="CE216" s="7"/>
    </row>
    <row r="217" spans="16:83" x14ac:dyDescent="0.35">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c r="AO217" s="7"/>
      <c r="AP217" s="7"/>
      <c r="AQ217" s="7"/>
      <c r="AR217" s="7"/>
      <c r="AS217" s="7"/>
      <c r="AT217" s="7"/>
      <c r="AU217" s="7"/>
      <c r="AV217" s="7"/>
      <c r="AW217" s="7"/>
      <c r="AX217" s="7"/>
      <c r="AY217" s="7"/>
      <c r="AZ217" s="7"/>
      <c r="BA217" s="7"/>
      <c r="BB217" s="7"/>
      <c r="BC217" s="7"/>
      <c r="BD217" s="7"/>
      <c r="BE217" s="7"/>
      <c r="BF217" s="7"/>
      <c r="BG217" s="7"/>
      <c r="BH217" s="7"/>
      <c r="BI217" s="7"/>
      <c r="BJ217" s="7"/>
      <c r="BK217" s="7"/>
      <c r="BL217" s="7"/>
      <c r="BM217" s="7"/>
      <c r="BN217" s="7"/>
      <c r="BO217" s="7"/>
      <c r="BP217" s="7"/>
      <c r="BQ217" s="7"/>
      <c r="BR217" s="7"/>
      <c r="BS217" s="7"/>
      <c r="BT217" s="7"/>
      <c r="BU217" s="7"/>
      <c r="BV217" s="7"/>
      <c r="BW217" s="7"/>
      <c r="BX217" s="7"/>
      <c r="BY217" s="7"/>
      <c r="BZ217" s="7"/>
      <c r="CA217" s="7"/>
      <c r="CB217" s="7"/>
      <c r="CC217" s="7"/>
      <c r="CD217" s="7"/>
      <c r="CE217" s="7"/>
    </row>
    <row r="218" spans="16:83" x14ac:dyDescent="0.35">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c r="AO218" s="7"/>
      <c r="AP218" s="7"/>
      <c r="AQ218" s="7"/>
      <c r="AR218" s="7"/>
      <c r="AS218" s="7"/>
      <c r="AT218" s="7"/>
      <c r="AU218" s="7"/>
      <c r="AV218" s="7"/>
      <c r="AW218" s="7"/>
      <c r="AX218" s="7"/>
      <c r="AY218" s="7"/>
      <c r="AZ218" s="7"/>
      <c r="BA218" s="7"/>
      <c r="BB218" s="7"/>
      <c r="BC218" s="7"/>
      <c r="BD218" s="7"/>
      <c r="BE218" s="7"/>
      <c r="BF218" s="7"/>
      <c r="BG218" s="7"/>
      <c r="BH218" s="7"/>
      <c r="BI218" s="7"/>
      <c r="BJ218" s="7"/>
      <c r="BK218" s="7"/>
      <c r="BL218" s="7"/>
      <c r="BM218" s="7"/>
      <c r="BN218" s="7"/>
      <c r="BO218" s="7"/>
      <c r="BP218" s="7"/>
      <c r="BQ218" s="7"/>
      <c r="BR218" s="7"/>
      <c r="BS218" s="7"/>
      <c r="BT218" s="7"/>
      <c r="BU218" s="7"/>
      <c r="BV218" s="7"/>
      <c r="BW218" s="7"/>
      <c r="BX218" s="7"/>
      <c r="BY218" s="7"/>
      <c r="BZ218" s="7"/>
      <c r="CA218" s="7"/>
      <c r="CB218" s="7"/>
      <c r="CC218" s="7"/>
      <c r="CD218" s="7"/>
      <c r="CE218" s="7"/>
    </row>
    <row r="219" spans="16:83" x14ac:dyDescent="0.35">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c r="AO219" s="7"/>
      <c r="AP219" s="7"/>
      <c r="AQ219" s="7"/>
      <c r="AR219" s="7"/>
      <c r="AS219" s="7"/>
      <c r="AT219" s="7"/>
      <c r="AU219" s="7"/>
      <c r="AV219" s="7"/>
      <c r="AW219" s="7"/>
      <c r="AX219" s="7"/>
      <c r="AY219" s="7"/>
      <c r="AZ219" s="7"/>
      <c r="BA219" s="7"/>
      <c r="BB219" s="7"/>
      <c r="BC219" s="7"/>
      <c r="BD219" s="7"/>
      <c r="BE219" s="7"/>
      <c r="BF219" s="7"/>
      <c r="BG219" s="7"/>
      <c r="BH219" s="7"/>
      <c r="BI219" s="7"/>
      <c r="BJ219" s="7"/>
      <c r="BK219" s="7"/>
      <c r="BL219" s="7"/>
      <c r="BM219" s="7"/>
      <c r="BN219" s="7"/>
      <c r="BO219" s="7"/>
      <c r="BP219" s="7"/>
      <c r="BQ219" s="7"/>
      <c r="BR219" s="7"/>
      <c r="BS219" s="7"/>
      <c r="BT219" s="7"/>
      <c r="BU219" s="7"/>
      <c r="BV219" s="7"/>
      <c r="BW219" s="7"/>
      <c r="BX219" s="7"/>
      <c r="BY219" s="7"/>
      <c r="BZ219" s="7"/>
      <c r="CA219" s="7"/>
      <c r="CB219" s="7"/>
      <c r="CC219" s="7"/>
      <c r="CD219" s="7"/>
      <c r="CE219" s="7"/>
    </row>
    <row r="220" spans="16:83" x14ac:dyDescent="0.35">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c r="AO220" s="7"/>
      <c r="AP220" s="7"/>
      <c r="AQ220" s="7"/>
      <c r="AR220" s="7"/>
      <c r="AS220" s="7"/>
      <c r="AT220" s="7"/>
      <c r="AU220" s="7"/>
      <c r="AV220" s="7"/>
      <c r="AW220" s="7"/>
      <c r="AX220" s="7"/>
      <c r="AY220" s="7"/>
      <c r="AZ220" s="7"/>
      <c r="BA220" s="7"/>
      <c r="BB220" s="7"/>
      <c r="BC220" s="7"/>
      <c r="BD220" s="7"/>
      <c r="BE220" s="7"/>
      <c r="BF220" s="7"/>
      <c r="BG220" s="7"/>
      <c r="BH220" s="7"/>
      <c r="BI220" s="7"/>
      <c r="BJ220" s="7"/>
      <c r="BK220" s="7"/>
      <c r="BL220" s="7"/>
      <c r="BM220" s="7"/>
      <c r="BN220" s="7"/>
      <c r="BO220" s="7"/>
      <c r="BP220" s="7"/>
      <c r="BQ220" s="7"/>
      <c r="BR220" s="7"/>
      <c r="BS220" s="7"/>
      <c r="BT220" s="7"/>
      <c r="BU220" s="7"/>
      <c r="BV220" s="7"/>
      <c r="BW220" s="7"/>
      <c r="BX220" s="7"/>
      <c r="BY220" s="7"/>
      <c r="BZ220" s="7"/>
      <c r="CA220" s="7"/>
      <c r="CB220" s="7"/>
      <c r="CC220" s="7"/>
      <c r="CD220" s="7"/>
      <c r="CE220" s="7"/>
    </row>
    <row r="221" spans="16:83" x14ac:dyDescent="0.35">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c r="AT221" s="7"/>
      <c r="AU221" s="7"/>
      <c r="AV221" s="7"/>
      <c r="AW221" s="7"/>
      <c r="AX221" s="7"/>
      <c r="AY221" s="7"/>
      <c r="AZ221" s="7"/>
      <c r="BA221" s="7"/>
      <c r="BB221" s="7"/>
      <c r="BC221" s="7"/>
      <c r="BD221" s="7"/>
      <c r="BE221" s="7"/>
      <c r="BF221" s="7"/>
      <c r="BG221" s="7"/>
      <c r="BH221" s="7"/>
      <c r="BI221" s="7"/>
      <c r="BJ221" s="7"/>
      <c r="BK221" s="7"/>
      <c r="BL221" s="7"/>
      <c r="BM221" s="7"/>
      <c r="BN221" s="7"/>
      <c r="BO221" s="7"/>
      <c r="BP221" s="7"/>
      <c r="BQ221" s="7"/>
      <c r="BR221" s="7"/>
      <c r="BS221" s="7"/>
      <c r="BT221" s="7"/>
      <c r="BU221" s="7"/>
      <c r="BV221" s="7"/>
      <c r="BW221" s="7"/>
      <c r="BX221" s="7"/>
      <c r="BY221" s="7"/>
      <c r="BZ221" s="7"/>
      <c r="CA221" s="7"/>
      <c r="CB221" s="7"/>
      <c r="CC221" s="7"/>
      <c r="CD221" s="7"/>
      <c r="CE221" s="7"/>
    </row>
    <row r="222" spans="16:83" x14ac:dyDescent="0.35">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c r="AO222" s="7"/>
      <c r="AP222" s="7"/>
      <c r="AQ222" s="7"/>
      <c r="AR222" s="7"/>
      <c r="AS222" s="7"/>
      <c r="AT222" s="7"/>
      <c r="AU222" s="7"/>
      <c r="AV222" s="7"/>
      <c r="AW222" s="7"/>
      <c r="AX222" s="7"/>
      <c r="AY222" s="7"/>
      <c r="AZ222" s="7"/>
      <c r="BA222" s="7"/>
      <c r="BB222" s="7"/>
      <c r="BC222" s="7"/>
      <c r="BD222" s="7"/>
      <c r="BE222" s="7"/>
      <c r="BF222" s="7"/>
      <c r="BG222" s="7"/>
      <c r="BH222" s="7"/>
      <c r="BI222" s="7"/>
      <c r="BJ222" s="7"/>
      <c r="BK222" s="7"/>
      <c r="BL222" s="7"/>
      <c r="BM222" s="7"/>
      <c r="BN222" s="7"/>
      <c r="BO222" s="7"/>
      <c r="BP222" s="7"/>
      <c r="BQ222" s="7"/>
      <c r="BR222" s="7"/>
      <c r="BS222" s="7"/>
      <c r="BT222" s="7"/>
      <c r="BU222" s="7"/>
      <c r="BV222" s="7"/>
      <c r="BW222" s="7"/>
      <c r="BX222" s="7"/>
      <c r="BY222" s="7"/>
      <c r="BZ222" s="7"/>
      <c r="CA222" s="7"/>
      <c r="CB222" s="7"/>
      <c r="CC222" s="7"/>
      <c r="CD222" s="7"/>
      <c r="CE222" s="7"/>
    </row>
    <row r="223" spans="16:83" x14ac:dyDescent="0.35">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c r="AO223" s="7"/>
      <c r="AP223" s="7"/>
      <c r="AQ223" s="7"/>
      <c r="AR223" s="7"/>
      <c r="AS223" s="7"/>
      <c r="AT223" s="7"/>
      <c r="AU223" s="7"/>
      <c r="AV223" s="7"/>
      <c r="AW223" s="7"/>
      <c r="AX223" s="7"/>
      <c r="AY223" s="7"/>
      <c r="AZ223" s="7"/>
      <c r="BA223" s="7"/>
      <c r="BB223" s="7"/>
      <c r="BC223" s="7"/>
      <c r="BD223" s="7"/>
      <c r="BE223" s="7"/>
      <c r="BF223" s="7"/>
      <c r="BG223" s="7"/>
      <c r="BH223" s="7"/>
      <c r="BI223" s="7"/>
      <c r="BJ223" s="7"/>
      <c r="BK223" s="7"/>
      <c r="BL223" s="7"/>
      <c r="BM223" s="7"/>
      <c r="BN223" s="7"/>
      <c r="BO223" s="7"/>
      <c r="BP223" s="7"/>
      <c r="BQ223" s="7"/>
      <c r="BR223" s="7"/>
      <c r="BS223" s="7"/>
      <c r="BT223" s="7"/>
      <c r="BU223" s="7"/>
      <c r="BV223" s="7"/>
      <c r="BW223" s="7"/>
      <c r="BX223" s="7"/>
      <c r="BY223" s="7"/>
      <c r="BZ223" s="7"/>
      <c r="CA223" s="7"/>
      <c r="CB223" s="7"/>
      <c r="CC223" s="7"/>
      <c r="CD223" s="7"/>
      <c r="CE223" s="7"/>
    </row>
    <row r="224" spans="16:83" x14ac:dyDescent="0.35">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c r="AO224" s="7"/>
      <c r="AP224" s="7"/>
      <c r="AQ224" s="7"/>
      <c r="AR224" s="7"/>
      <c r="AS224" s="7"/>
      <c r="AT224" s="7"/>
      <c r="AU224" s="7"/>
      <c r="AV224" s="7"/>
      <c r="AW224" s="7"/>
      <c r="AX224" s="7"/>
      <c r="AY224" s="7"/>
      <c r="AZ224" s="7"/>
      <c r="BA224" s="7"/>
      <c r="BB224" s="7"/>
      <c r="BC224" s="7"/>
      <c r="BD224" s="7"/>
      <c r="BE224" s="7"/>
      <c r="BF224" s="7"/>
      <c r="BG224" s="7"/>
      <c r="BH224" s="7"/>
      <c r="BI224" s="7"/>
      <c r="BJ224" s="7"/>
      <c r="BK224" s="7"/>
      <c r="BL224" s="7"/>
      <c r="BM224" s="7"/>
      <c r="BN224" s="7"/>
      <c r="BO224" s="7"/>
      <c r="BP224" s="7"/>
      <c r="BQ224" s="7"/>
      <c r="BR224" s="7"/>
      <c r="BS224" s="7"/>
      <c r="BT224" s="7"/>
      <c r="BU224" s="7"/>
      <c r="BV224" s="7"/>
      <c r="BW224" s="7"/>
      <c r="BX224" s="7"/>
      <c r="BY224" s="7"/>
      <c r="BZ224" s="7"/>
      <c r="CA224" s="7"/>
      <c r="CB224" s="7"/>
      <c r="CC224" s="7"/>
      <c r="CD224" s="7"/>
      <c r="CE224" s="7"/>
    </row>
    <row r="225" spans="16:83" x14ac:dyDescent="0.35">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c r="AO225" s="7"/>
      <c r="AP225" s="7"/>
      <c r="AQ225" s="7"/>
      <c r="AR225" s="7"/>
      <c r="AS225" s="7"/>
      <c r="AT225" s="7"/>
      <c r="AU225" s="7"/>
      <c r="AV225" s="7"/>
      <c r="AW225" s="7"/>
      <c r="AX225" s="7"/>
      <c r="AY225" s="7"/>
      <c r="AZ225" s="7"/>
      <c r="BA225" s="7"/>
      <c r="BB225" s="7"/>
      <c r="BC225" s="7"/>
      <c r="BD225" s="7"/>
      <c r="BE225" s="7"/>
      <c r="BF225" s="7"/>
      <c r="BG225" s="7"/>
      <c r="BH225" s="7"/>
      <c r="BI225" s="7"/>
      <c r="BJ225" s="7"/>
      <c r="BK225" s="7"/>
      <c r="BL225" s="7"/>
      <c r="BM225" s="7"/>
      <c r="BN225" s="7"/>
      <c r="BO225" s="7"/>
      <c r="BP225" s="7"/>
      <c r="BQ225" s="7"/>
      <c r="BR225" s="7"/>
      <c r="BS225" s="7"/>
      <c r="BT225" s="7"/>
      <c r="BU225" s="7"/>
      <c r="BV225" s="7"/>
      <c r="BW225" s="7"/>
      <c r="BX225" s="7"/>
      <c r="BY225" s="7"/>
      <c r="BZ225" s="7"/>
      <c r="CA225" s="7"/>
      <c r="CB225" s="7"/>
      <c r="CC225" s="7"/>
      <c r="CD225" s="7"/>
      <c r="CE225" s="7"/>
    </row>
    <row r="226" spans="16:83" x14ac:dyDescent="0.35">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c r="AO226" s="7"/>
      <c r="AP226" s="7"/>
      <c r="AQ226" s="7"/>
      <c r="AR226" s="7"/>
      <c r="AS226" s="7"/>
      <c r="AT226" s="7"/>
      <c r="AU226" s="7"/>
      <c r="AV226" s="7"/>
      <c r="AW226" s="7"/>
      <c r="AX226" s="7"/>
      <c r="AY226" s="7"/>
      <c r="AZ226" s="7"/>
      <c r="BA226" s="7"/>
      <c r="BB226" s="7"/>
      <c r="BC226" s="7"/>
      <c r="BD226" s="7"/>
      <c r="BE226" s="7"/>
      <c r="BF226" s="7"/>
      <c r="BG226" s="7"/>
      <c r="BH226" s="7"/>
      <c r="BI226" s="7"/>
      <c r="BJ226" s="7"/>
      <c r="BK226" s="7"/>
      <c r="BL226" s="7"/>
      <c r="BM226" s="7"/>
      <c r="BN226" s="7"/>
      <c r="BO226" s="7"/>
      <c r="BP226" s="7"/>
      <c r="BQ226" s="7"/>
      <c r="BR226" s="7"/>
      <c r="BS226" s="7"/>
      <c r="BT226" s="7"/>
      <c r="BU226" s="7"/>
      <c r="BV226" s="7"/>
      <c r="BW226" s="7"/>
      <c r="BX226" s="7"/>
      <c r="BY226" s="7"/>
      <c r="BZ226" s="7"/>
      <c r="CA226" s="7"/>
      <c r="CB226" s="7"/>
      <c r="CC226" s="7"/>
      <c r="CD226" s="7"/>
      <c r="CE226" s="7"/>
    </row>
    <row r="227" spans="16:83" x14ac:dyDescent="0.35">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c r="AO227" s="7"/>
      <c r="AP227" s="7"/>
      <c r="AQ227" s="7"/>
      <c r="AR227" s="7"/>
      <c r="AS227" s="7"/>
      <c r="AT227" s="7"/>
      <c r="AU227" s="7"/>
      <c r="AV227" s="7"/>
      <c r="AW227" s="7"/>
      <c r="AX227" s="7"/>
      <c r="AY227" s="7"/>
      <c r="AZ227" s="7"/>
      <c r="BA227" s="7"/>
      <c r="BB227" s="7"/>
      <c r="BC227" s="7"/>
      <c r="BD227" s="7"/>
      <c r="BE227" s="7"/>
      <c r="BF227" s="7"/>
      <c r="BG227" s="7"/>
      <c r="BH227" s="7"/>
      <c r="BI227" s="7"/>
      <c r="BJ227" s="7"/>
      <c r="BK227" s="7"/>
      <c r="BL227" s="7"/>
      <c r="BM227" s="7"/>
      <c r="BN227" s="7"/>
      <c r="BO227" s="7"/>
      <c r="BP227" s="7"/>
      <c r="BQ227" s="7"/>
      <c r="BR227" s="7"/>
      <c r="BS227" s="7"/>
      <c r="BT227" s="7"/>
      <c r="BU227" s="7"/>
      <c r="BV227" s="7"/>
      <c r="BW227" s="7"/>
      <c r="BX227" s="7"/>
      <c r="BY227" s="7"/>
      <c r="BZ227" s="7"/>
      <c r="CA227" s="7"/>
      <c r="CB227" s="7"/>
      <c r="CC227" s="7"/>
      <c r="CD227" s="7"/>
      <c r="CE227" s="7"/>
    </row>
    <row r="228" spans="16:83" x14ac:dyDescent="0.35">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c r="AO228" s="7"/>
      <c r="AP228" s="7"/>
      <c r="AQ228" s="7"/>
      <c r="AR228" s="7"/>
      <c r="AS228" s="7"/>
      <c r="AT228" s="7"/>
      <c r="AU228" s="7"/>
      <c r="AV228" s="7"/>
      <c r="AW228" s="7"/>
      <c r="AX228" s="7"/>
      <c r="AY228" s="7"/>
      <c r="AZ228" s="7"/>
      <c r="BA228" s="7"/>
      <c r="BB228" s="7"/>
      <c r="BC228" s="7"/>
      <c r="BD228" s="7"/>
      <c r="BE228" s="7"/>
      <c r="BF228" s="7"/>
      <c r="BG228" s="7"/>
      <c r="BH228" s="7"/>
      <c r="BI228" s="7"/>
      <c r="BJ228" s="7"/>
      <c r="BK228" s="7"/>
      <c r="BL228" s="7"/>
      <c r="BM228" s="7"/>
      <c r="BN228" s="7"/>
      <c r="BO228" s="7"/>
      <c r="BP228" s="7"/>
      <c r="BQ228" s="7"/>
      <c r="BR228" s="7"/>
      <c r="BS228" s="7"/>
      <c r="BT228" s="7"/>
      <c r="BU228" s="7"/>
      <c r="BV228" s="7"/>
      <c r="BW228" s="7"/>
      <c r="BX228" s="7"/>
      <c r="BY228" s="7"/>
      <c r="BZ228" s="7"/>
      <c r="CA228" s="7"/>
      <c r="CB228" s="7"/>
      <c r="CC228" s="7"/>
      <c r="CD228" s="7"/>
      <c r="CE228" s="7"/>
    </row>
    <row r="229" spans="16:83" x14ac:dyDescent="0.35">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c r="AO229" s="7"/>
      <c r="AP229" s="7"/>
      <c r="AQ229" s="7"/>
      <c r="AR229" s="7"/>
      <c r="AS229" s="7"/>
      <c r="AT229" s="7"/>
      <c r="AU229" s="7"/>
      <c r="AV229" s="7"/>
      <c r="AW229" s="7"/>
      <c r="AX229" s="7"/>
      <c r="AY229" s="7"/>
      <c r="AZ229" s="7"/>
      <c r="BA229" s="7"/>
      <c r="BB229" s="7"/>
      <c r="BC229" s="7"/>
      <c r="BD229" s="7"/>
      <c r="BE229" s="7"/>
      <c r="BF229" s="7"/>
      <c r="BG229" s="7"/>
      <c r="BH229" s="7"/>
      <c r="BI229" s="7"/>
      <c r="BJ229" s="7"/>
      <c r="BK229" s="7"/>
      <c r="BL229" s="7"/>
      <c r="BM229" s="7"/>
      <c r="BN229" s="7"/>
      <c r="BO229" s="7"/>
      <c r="BP229" s="7"/>
      <c r="BQ229" s="7"/>
      <c r="BR229" s="7"/>
      <c r="BS229" s="7"/>
      <c r="BT229" s="7"/>
      <c r="BU229" s="7"/>
      <c r="BV229" s="7"/>
      <c r="BW229" s="7"/>
      <c r="BX229" s="7"/>
      <c r="BY229" s="7"/>
      <c r="BZ229" s="7"/>
      <c r="CA229" s="7"/>
      <c r="CB229" s="7"/>
      <c r="CC229" s="7"/>
      <c r="CD229" s="7"/>
      <c r="CE229" s="7"/>
    </row>
    <row r="230" spans="16:83" x14ac:dyDescent="0.35">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c r="AQ230" s="7"/>
      <c r="AR230" s="7"/>
      <c r="AS230" s="7"/>
      <c r="AT230" s="7"/>
      <c r="AU230" s="7"/>
      <c r="AV230" s="7"/>
      <c r="AW230" s="7"/>
      <c r="AX230" s="7"/>
      <c r="AY230" s="7"/>
      <c r="AZ230" s="7"/>
      <c r="BA230" s="7"/>
      <c r="BB230" s="7"/>
      <c r="BC230" s="7"/>
      <c r="BD230" s="7"/>
      <c r="BE230" s="7"/>
      <c r="BF230" s="7"/>
      <c r="BG230" s="7"/>
      <c r="BH230" s="7"/>
      <c r="BI230" s="7"/>
      <c r="BJ230" s="7"/>
      <c r="BK230" s="7"/>
      <c r="BL230" s="7"/>
      <c r="BM230" s="7"/>
      <c r="BN230" s="7"/>
      <c r="BO230" s="7"/>
      <c r="BP230" s="7"/>
      <c r="BQ230" s="7"/>
      <c r="BR230" s="7"/>
      <c r="BS230" s="7"/>
      <c r="BT230" s="7"/>
      <c r="BU230" s="7"/>
      <c r="BV230" s="7"/>
      <c r="BW230" s="7"/>
      <c r="BX230" s="7"/>
      <c r="BY230" s="7"/>
      <c r="BZ230" s="7"/>
      <c r="CA230" s="7"/>
      <c r="CB230" s="7"/>
      <c r="CC230" s="7"/>
      <c r="CD230" s="7"/>
      <c r="CE230" s="7"/>
    </row>
    <row r="231" spans="16:83" x14ac:dyDescent="0.35">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c r="AS231" s="7"/>
      <c r="AT231" s="7"/>
      <c r="AU231" s="7"/>
      <c r="AV231" s="7"/>
      <c r="AW231" s="7"/>
      <c r="AX231" s="7"/>
      <c r="AY231" s="7"/>
      <c r="AZ231" s="7"/>
      <c r="BA231" s="7"/>
      <c r="BB231" s="7"/>
      <c r="BC231" s="7"/>
      <c r="BD231" s="7"/>
      <c r="BE231" s="7"/>
      <c r="BF231" s="7"/>
      <c r="BG231" s="7"/>
      <c r="BH231" s="7"/>
      <c r="BI231" s="7"/>
      <c r="BJ231" s="7"/>
      <c r="BK231" s="7"/>
      <c r="BL231" s="7"/>
      <c r="BM231" s="7"/>
      <c r="BN231" s="7"/>
      <c r="BO231" s="7"/>
      <c r="BP231" s="7"/>
      <c r="BQ231" s="7"/>
      <c r="BR231" s="7"/>
      <c r="BS231" s="7"/>
      <c r="BT231" s="7"/>
      <c r="BU231" s="7"/>
      <c r="BV231" s="7"/>
      <c r="BW231" s="7"/>
      <c r="BX231" s="7"/>
      <c r="BY231" s="7"/>
      <c r="BZ231" s="7"/>
      <c r="CA231" s="7"/>
      <c r="CB231" s="7"/>
      <c r="CC231" s="7"/>
      <c r="CD231" s="7"/>
      <c r="CE231" s="7"/>
    </row>
    <row r="232" spans="16:83" x14ac:dyDescent="0.35">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c r="AT232" s="7"/>
      <c r="AU232" s="7"/>
      <c r="AV232" s="7"/>
      <c r="AW232" s="7"/>
      <c r="AX232" s="7"/>
      <c r="AY232" s="7"/>
      <c r="AZ232" s="7"/>
      <c r="BA232" s="7"/>
      <c r="BB232" s="7"/>
      <c r="BC232" s="7"/>
      <c r="BD232" s="7"/>
      <c r="BE232" s="7"/>
      <c r="BF232" s="7"/>
      <c r="BG232" s="7"/>
      <c r="BH232" s="7"/>
      <c r="BI232" s="7"/>
      <c r="BJ232" s="7"/>
      <c r="BK232" s="7"/>
      <c r="BL232" s="7"/>
      <c r="BM232" s="7"/>
      <c r="BN232" s="7"/>
      <c r="BO232" s="7"/>
      <c r="BP232" s="7"/>
      <c r="BQ232" s="7"/>
      <c r="BR232" s="7"/>
      <c r="BS232" s="7"/>
      <c r="BT232" s="7"/>
      <c r="BU232" s="7"/>
      <c r="BV232" s="7"/>
      <c r="BW232" s="7"/>
      <c r="BX232" s="7"/>
      <c r="BY232" s="7"/>
      <c r="BZ232" s="7"/>
      <c r="CA232" s="7"/>
      <c r="CB232" s="7"/>
      <c r="CC232" s="7"/>
      <c r="CD232" s="7"/>
      <c r="CE232" s="7"/>
    </row>
    <row r="233" spans="16:83" x14ac:dyDescent="0.35">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c r="AO233" s="7"/>
      <c r="AP233" s="7"/>
      <c r="AQ233" s="7"/>
      <c r="AR233" s="7"/>
      <c r="AS233" s="7"/>
      <c r="AT233" s="7"/>
      <c r="AU233" s="7"/>
      <c r="AV233" s="7"/>
      <c r="AW233" s="7"/>
      <c r="AX233" s="7"/>
      <c r="AY233" s="7"/>
      <c r="AZ233" s="7"/>
      <c r="BA233" s="7"/>
      <c r="BB233" s="7"/>
      <c r="BC233" s="7"/>
      <c r="BD233" s="7"/>
      <c r="BE233" s="7"/>
      <c r="BF233" s="7"/>
      <c r="BG233" s="7"/>
      <c r="BH233" s="7"/>
      <c r="BI233" s="7"/>
      <c r="BJ233" s="7"/>
      <c r="BK233" s="7"/>
      <c r="BL233" s="7"/>
      <c r="BM233" s="7"/>
      <c r="BN233" s="7"/>
      <c r="BO233" s="7"/>
      <c r="BP233" s="7"/>
      <c r="BQ233" s="7"/>
      <c r="BR233" s="7"/>
      <c r="BS233" s="7"/>
      <c r="BT233" s="7"/>
      <c r="BU233" s="7"/>
      <c r="BV233" s="7"/>
      <c r="BW233" s="7"/>
      <c r="BX233" s="7"/>
      <c r="BY233" s="7"/>
      <c r="BZ233" s="7"/>
      <c r="CA233" s="7"/>
      <c r="CB233" s="7"/>
      <c r="CC233" s="7"/>
      <c r="CD233" s="7"/>
      <c r="CE233" s="7"/>
    </row>
    <row r="234" spans="16:83" x14ac:dyDescent="0.35">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c r="AQ234" s="7"/>
      <c r="AR234" s="7"/>
      <c r="AS234" s="7"/>
      <c r="AT234" s="7"/>
      <c r="AU234" s="7"/>
      <c r="AV234" s="7"/>
      <c r="AW234" s="7"/>
      <c r="AX234" s="7"/>
      <c r="AY234" s="7"/>
      <c r="AZ234" s="7"/>
      <c r="BA234" s="7"/>
      <c r="BB234" s="7"/>
      <c r="BC234" s="7"/>
      <c r="BD234" s="7"/>
      <c r="BE234" s="7"/>
      <c r="BF234" s="7"/>
      <c r="BG234" s="7"/>
      <c r="BH234" s="7"/>
      <c r="BI234" s="7"/>
      <c r="BJ234" s="7"/>
      <c r="BK234" s="7"/>
      <c r="BL234" s="7"/>
      <c r="BM234" s="7"/>
      <c r="BN234" s="7"/>
      <c r="BO234" s="7"/>
      <c r="BP234" s="7"/>
      <c r="BQ234" s="7"/>
      <c r="BR234" s="7"/>
      <c r="BS234" s="7"/>
      <c r="BT234" s="7"/>
      <c r="BU234" s="7"/>
      <c r="BV234" s="7"/>
      <c r="BW234" s="7"/>
      <c r="BX234" s="7"/>
      <c r="BY234" s="7"/>
      <c r="BZ234" s="7"/>
      <c r="CA234" s="7"/>
      <c r="CB234" s="7"/>
      <c r="CC234" s="7"/>
      <c r="CD234" s="7"/>
      <c r="CE234" s="7"/>
    </row>
    <row r="235" spans="16:83" x14ac:dyDescent="0.35">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c r="AO235" s="7"/>
      <c r="AP235" s="7"/>
      <c r="AQ235" s="7"/>
      <c r="AR235" s="7"/>
      <c r="AS235" s="7"/>
      <c r="AT235" s="7"/>
      <c r="AU235" s="7"/>
      <c r="AV235" s="7"/>
      <c r="AW235" s="7"/>
      <c r="AX235" s="7"/>
      <c r="AY235" s="7"/>
      <c r="AZ235" s="7"/>
      <c r="BA235" s="7"/>
      <c r="BB235" s="7"/>
      <c r="BC235" s="7"/>
      <c r="BD235" s="7"/>
      <c r="BE235" s="7"/>
      <c r="BF235" s="7"/>
      <c r="BG235" s="7"/>
      <c r="BH235" s="7"/>
      <c r="BI235" s="7"/>
      <c r="BJ235" s="7"/>
      <c r="BK235" s="7"/>
      <c r="BL235" s="7"/>
      <c r="BM235" s="7"/>
      <c r="BN235" s="7"/>
      <c r="BO235" s="7"/>
      <c r="BP235" s="7"/>
      <c r="BQ235" s="7"/>
      <c r="BR235" s="7"/>
      <c r="BS235" s="7"/>
      <c r="BT235" s="7"/>
      <c r="BU235" s="7"/>
      <c r="BV235" s="7"/>
      <c r="BW235" s="7"/>
      <c r="BX235" s="7"/>
      <c r="BY235" s="7"/>
      <c r="BZ235" s="7"/>
      <c r="CA235" s="7"/>
      <c r="CB235" s="7"/>
      <c r="CC235" s="7"/>
      <c r="CD235" s="7"/>
      <c r="CE235" s="7"/>
    </row>
    <row r="236" spans="16:83" x14ac:dyDescent="0.35">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7"/>
      <c r="AP236" s="7"/>
      <c r="AQ236" s="7"/>
      <c r="AR236" s="7"/>
      <c r="AS236" s="7"/>
      <c r="AT236" s="7"/>
      <c r="AU236" s="7"/>
      <c r="AV236" s="7"/>
      <c r="AW236" s="7"/>
      <c r="AX236" s="7"/>
      <c r="AY236" s="7"/>
      <c r="AZ236" s="7"/>
      <c r="BA236" s="7"/>
      <c r="BB236" s="7"/>
      <c r="BC236" s="7"/>
      <c r="BD236" s="7"/>
      <c r="BE236" s="7"/>
      <c r="BF236" s="7"/>
      <c r="BG236" s="7"/>
      <c r="BH236" s="7"/>
      <c r="BI236" s="7"/>
      <c r="BJ236" s="7"/>
      <c r="BK236" s="7"/>
      <c r="BL236" s="7"/>
      <c r="BM236" s="7"/>
      <c r="BN236" s="7"/>
      <c r="BO236" s="7"/>
      <c r="BP236" s="7"/>
      <c r="BQ236" s="7"/>
      <c r="BR236" s="7"/>
      <c r="BS236" s="7"/>
      <c r="BT236" s="7"/>
      <c r="BU236" s="7"/>
      <c r="BV236" s="7"/>
      <c r="BW236" s="7"/>
      <c r="BX236" s="7"/>
      <c r="BY236" s="7"/>
      <c r="BZ236" s="7"/>
      <c r="CA236" s="7"/>
      <c r="CB236" s="7"/>
      <c r="CC236" s="7"/>
      <c r="CD236" s="7"/>
      <c r="CE236" s="7"/>
    </row>
    <row r="237" spans="16:83" x14ac:dyDescent="0.35">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c r="AQ237" s="7"/>
      <c r="AR237" s="7"/>
      <c r="AS237" s="7"/>
      <c r="AT237" s="7"/>
      <c r="AU237" s="7"/>
      <c r="AV237" s="7"/>
      <c r="AW237" s="7"/>
      <c r="AX237" s="7"/>
      <c r="AY237" s="7"/>
      <c r="AZ237" s="7"/>
      <c r="BA237" s="7"/>
      <c r="BB237" s="7"/>
      <c r="BC237" s="7"/>
      <c r="BD237" s="7"/>
      <c r="BE237" s="7"/>
      <c r="BF237" s="7"/>
      <c r="BG237" s="7"/>
      <c r="BH237" s="7"/>
      <c r="BI237" s="7"/>
      <c r="BJ237" s="7"/>
      <c r="BK237" s="7"/>
      <c r="BL237" s="7"/>
      <c r="BM237" s="7"/>
      <c r="BN237" s="7"/>
      <c r="BO237" s="7"/>
      <c r="BP237" s="7"/>
      <c r="BQ237" s="7"/>
      <c r="BR237" s="7"/>
      <c r="BS237" s="7"/>
      <c r="BT237" s="7"/>
      <c r="BU237" s="7"/>
      <c r="BV237" s="7"/>
      <c r="BW237" s="7"/>
      <c r="BX237" s="7"/>
      <c r="BY237" s="7"/>
      <c r="BZ237" s="7"/>
      <c r="CA237" s="7"/>
      <c r="CB237" s="7"/>
      <c r="CC237" s="7"/>
      <c r="CD237" s="7"/>
      <c r="CE237" s="7"/>
    </row>
    <row r="238" spans="16:83" x14ac:dyDescent="0.35">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7"/>
      <c r="AR238" s="7"/>
      <c r="AS238" s="7"/>
      <c r="AT238" s="7"/>
      <c r="AU238" s="7"/>
      <c r="AV238" s="7"/>
      <c r="AW238" s="7"/>
      <c r="AX238" s="7"/>
      <c r="AY238" s="7"/>
      <c r="AZ238" s="7"/>
      <c r="BA238" s="7"/>
      <c r="BB238" s="7"/>
      <c r="BC238" s="7"/>
      <c r="BD238" s="7"/>
      <c r="BE238" s="7"/>
      <c r="BF238" s="7"/>
      <c r="BG238" s="7"/>
      <c r="BH238" s="7"/>
      <c r="BI238" s="7"/>
      <c r="BJ238" s="7"/>
      <c r="BK238" s="7"/>
      <c r="BL238" s="7"/>
      <c r="BM238" s="7"/>
      <c r="BN238" s="7"/>
      <c r="BO238" s="7"/>
      <c r="BP238" s="7"/>
      <c r="BQ238" s="7"/>
      <c r="BR238" s="7"/>
      <c r="BS238" s="7"/>
      <c r="BT238" s="7"/>
      <c r="BU238" s="7"/>
      <c r="BV238" s="7"/>
      <c r="BW238" s="7"/>
      <c r="BX238" s="7"/>
      <c r="BY238" s="7"/>
      <c r="BZ238" s="7"/>
      <c r="CA238" s="7"/>
      <c r="CB238" s="7"/>
      <c r="CC238" s="7"/>
      <c r="CD238" s="7"/>
      <c r="CE238" s="7"/>
    </row>
    <row r="239" spans="16:83" x14ac:dyDescent="0.35">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c r="AT239" s="7"/>
      <c r="AU239" s="7"/>
      <c r="AV239" s="7"/>
      <c r="AW239" s="7"/>
      <c r="AX239" s="7"/>
      <c r="AY239" s="7"/>
      <c r="AZ239" s="7"/>
      <c r="BA239" s="7"/>
      <c r="BB239" s="7"/>
      <c r="BC239" s="7"/>
      <c r="BD239" s="7"/>
      <c r="BE239" s="7"/>
      <c r="BF239" s="7"/>
      <c r="BG239" s="7"/>
      <c r="BH239" s="7"/>
      <c r="BI239" s="7"/>
      <c r="BJ239" s="7"/>
      <c r="BK239" s="7"/>
      <c r="BL239" s="7"/>
      <c r="BM239" s="7"/>
      <c r="BN239" s="7"/>
      <c r="BO239" s="7"/>
      <c r="BP239" s="7"/>
      <c r="BQ239" s="7"/>
      <c r="BR239" s="7"/>
      <c r="BS239" s="7"/>
      <c r="BT239" s="7"/>
      <c r="BU239" s="7"/>
      <c r="BV239" s="7"/>
      <c r="BW239" s="7"/>
      <c r="BX239" s="7"/>
      <c r="BY239" s="7"/>
      <c r="BZ239" s="7"/>
      <c r="CA239" s="7"/>
      <c r="CB239" s="7"/>
      <c r="CC239" s="7"/>
      <c r="CD239" s="7"/>
      <c r="CE239" s="7"/>
    </row>
    <row r="240" spans="16:83" x14ac:dyDescent="0.35">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c r="AS240" s="7"/>
      <c r="AT240" s="7"/>
      <c r="AU240" s="7"/>
      <c r="AV240" s="7"/>
      <c r="AW240" s="7"/>
      <c r="AX240" s="7"/>
      <c r="AY240" s="7"/>
      <c r="AZ240" s="7"/>
      <c r="BA240" s="7"/>
      <c r="BB240" s="7"/>
      <c r="BC240" s="7"/>
      <c r="BD240" s="7"/>
      <c r="BE240" s="7"/>
      <c r="BF240" s="7"/>
      <c r="BG240" s="7"/>
      <c r="BH240" s="7"/>
      <c r="BI240" s="7"/>
      <c r="BJ240" s="7"/>
      <c r="BK240" s="7"/>
      <c r="BL240" s="7"/>
      <c r="BM240" s="7"/>
      <c r="BN240" s="7"/>
      <c r="BO240" s="7"/>
      <c r="BP240" s="7"/>
      <c r="BQ240" s="7"/>
      <c r="BR240" s="7"/>
      <c r="BS240" s="7"/>
      <c r="BT240" s="7"/>
      <c r="BU240" s="7"/>
      <c r="BV240" s="7"/>
      <c r="BW240" s="7"/>
      <c r="BX240" s="7"/>
      <c r="BY240" s="7"/>
      <c r="BZ240" s="7"/>
      <c r="CA240" s="7"/>
      <c r="CB240" s="7"/>
      <c r="CC240" s="7"/>
      <c r="CD240" s="7"/>
      <c r="CE240" s="7"/>
    </row>
    <row r="241" spans="16:83" x14ac:dyDescent="0.35">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c r="AO241" s="7"/>
      <c r="AP241" s="7"/>
      <c r="AQ241" s="7"/>
      <c r="AR241" s="7"/>
      <c r="AS241" s="7"/>
      <c r="AT241" s="7"/>
      <c r="AU241" s="7"/>
      <c r="AV241" s="7"/>
      <c r="AW241" s="7"/>
      <c r="AX241" s="7"/>
      <c r="AY241" s="7"/>
      <c r="AZ241" s="7"/>
      <c r="BA241" s="7"/>
      <c r="BB241" s="7"/>
      <c r="BC241" s="7"/>
      <c r="BD241" s="7"/>
      <c r="BE241" s="7"/>
      <c r="BF241" s="7"/>
      <c r="BG241" s="7"/>
      <c r="BH241" s="7"/>
      <c r="BI241" s="7"/>
      <c r="BJ241" s="7"/>
      <c r="BK241" s="7"/>
      <c r="BL241" s="7"/>
      <c r="BM241" s="7"/>
      <c r="BN241" s="7"/>
      <c r="BO241" s="7"/>
      <c r="BP241" s="7"/>
      <c r="BQ241" s="7"/>
      <c r="BR241" s="7"/>
      <c r="BS241" s="7"/>
      <c r="BT241" s="7"/>
      <c r="BU241" s="7"/>
      <c r="BV241" s="7"/>
      <c r="BW241" s="7"/>
      <c r="BX241" s="7"/>
      <c r="BY241" s="7"/>
      <c r="BZ241" s="7"/>
      <c r="CA241" s="7"/>
      <c r="CB241" s="7"/>
      <c r="CC241" s="7"/>
      <c r="CD241" s="7"/>
      <c r="CE241" s="7"/>
    </row>
    <row r="242" spans="16:83" x14ac:dyDescent="0.35">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c r="AX242" s="7"/>
      <c r="AY242" s="7"/>
      <c r="AZ242" s="7"/>
      <c r="BA242" s="7"/>
      <c r="BB242" s="7"/>
      <c r="BC242" s="7"/>
      <c r="BD242" s="7"/>
      <c r="BE242" s="7"/>
      <c r="BF242" s="7"/>
      <c r="BG242" s="7"/>
      <c r="BH242" s="7"/>
      <c r="BI242" s="7"/>
      <c r="BJ242" s="7"/>
      <c r="BK242" s="7"/>
      <c r="BL242" s="7"/>
      <c r="BM242" s="7"/>
      <c r="BN242" s="7"/>
      <c r="BO242" s="7"/>
      <c r="BP242" s="7"/>
      <c r="BQ242" s="7"/>
      <c r="BR242" s="7"/>
      <c r="BS242" s="7"/>
      <c r="BT242" s="7"/>
      <c r="BU242" s="7"/>
      <c r="BV242" s="7"/>
      <c r="BW242" s="7"/>
      <c r="BX242" s="7"/>
      <c r="BY242" s="7"/>
      <c r="BZ242" s="7"/>
      <c r="CA242" s="7"/>
      <c r="CB242" s="7"/>
      <c r="CC242" s="7"/>
      <c r="CD242" s="7"/>
      <c r="CE242" s="7"/>
    </row>
    <row r="243" spans="16:83" x14ac:dyDescent="0.35">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c r="AO243" s="7"/>
      <c r="AP243" s="7"/>
      <c r="AQ243" s="7"/>
      <c r="AR243" s="7"/>
      <c r="AS243" s="7"/>
      <c r="AT243" s="7"/>
      <c r="AU243" s="7"/>
      <c r="AV243" s="7"/>
      <c r="AW243" s="7"/>
      <c r="AX243" s="7"/>
      <c r="AY243" s="7"/>
      <c r="AZ243" s="7"/>
      <c r="BA243" s="7"/>
      <c r="BB243" s="7"/>
      <c r="BC243" s="7"/>
      <c r="BD243" s="7"/>
      <c r="BE243" s="7"/>
      <c r="BF243" s="7"/>
      <c r="BG243" s="7"/>
      <c r="BH243" s="7"/>
      <c r="BI243" s="7"/>
      <c r="BJ243" s="7"/>
      <c r="BK243" s="7"/>
      <c r="BL243" s="7"/>
      <c r="BM243" s="7"/>
      <c r="BN243" s="7"/>
      <c r="BO243" s="7"/>
      <c r="BP243" s="7"/>
      <c r="BQ243" s="7"/>
      <c r="BR243" s="7"/>
      <c r="BS243" s="7"/>
      <c r="BT243" s="7"/>
      <c r="BU243" s="7"/>
      <c r="BV243" s="7"/>
      <c r="BW243" s="7"/>
      <c r="BX243" s="7"/>
      <c r="BY243" s="7"/>
      <c r="BZ243" s="7"/>
      <c r="CA243" s="7"/>
      <c r="CB243" s="7"/>
      <c r="CC243" s="7"/>
      <c r="CD243" s="7"/>
      <c r="CE243" s="7"/>
    </row>
    <row r="244" spans="16:83" x14ac:dyDescent="0.35">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c r="AT244" s="7"/>
      <c r="AU244" s="7"/>
      <c r="AV244" s="7"/>
      <c r="AW244" s="7"/>
      <c r="AX244" s="7"/>
      <c r="AY244" s="7"/>
      <c r="AZ244" s="7"/>
      <c r="BA244" s="7"/>
      <c r="BB244" s="7"/>
      <c r="BC244" s="7"/>
      <c r="BD244" s="7"/>
      <c r="BE244" s="7"/>
      <c r="BF244" s="7"/>
      <c r="BG244" s="7"/>
      <c r="BH244" s="7"/>
      <c r="BI244" s="7"/>
      <c r="BJ244" s="7"/>
      <c r="BK244" s="7"/>
      <c r="BL244" s="7"/>
      <c r="BM244" s="7"/>
      <c r="BN244" s="7"/>
      <c r="BO244" s="7"/>
      <c r="BP244" s="7"/>
      <c r="BQ244" s="7"/>
      <c r="BR244" s="7"/>
      <c r="BS244" s="7"/>
      <c r="BT244" s="7"/>
      <c r="BU244" s="7"/>
      <c r="BV244" s="7"/>
      <c r="BW244" s="7"/>
      <c r="BX244" s="7"/>
      <c r="BY244" s="7"/>
      <c r="BZ244" s="7"/>
      <c r="CA244" s="7"/>
      <c r="CB244" s="7"/>
      <c r="CC244" s="7"/>
      <c r="CD244" s="7"/>
      <c r="CE244" s="7"/>
    </row>
    <row r="245" spans="16:83" x14ac:dyDescent="0.35">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c r="AO245" s="7"/>
      <c r="AP245" s="7"/>
      <c r="AQ245" s="7"/>
      <c r="AR245" s="7"/>
      <c r="AS245" s="7"/>
      <c r="AT245" s="7"/>
      <c r="AU245" s="7"/>
      <c r="AV245" s="7"/>
      <c r="AW245" s="7"/>
      <c r="AX245" s="7"/>
      <c r="AY245" s="7"/>
      <c r="AZ245" s="7"/>
      <c r="BA245" s="7"/>
      <c r="BB245" s="7"/>
      <c r="BC245" s="7"/>
      <c r="BD245" s="7"/>
      <c r="BE245" s="7"/>
      <c r="BF245" s="7"/>
      <c r="BG245" s="7"/>
      <c r="BH245" s="7"/>
      <c r="BI245" s="7"/>
      <c r="BJ245" s="7"/>
      <c r="BK245" s="7"/>
      <c r="BL245" s="7"/>
      <c r="BM245" s="7"/>
      <c r="BN245" s="7"/>
      <c r="BO245" s="7"/>
      <c r="BP245" s="7"/>
      <c r="BQ245" s="7"/>
      <c r="BR245" s="7"/>
      <c r="BS245" s="7"/>
      <c r="BT245" s="7"/>
      <c r="BU245" s="7"/>
      <c r="BV245" s="7"/>
      <c r="BW245" s="7"/>
      <c r="BX245" s="7"/>
      <c r="BY245" s="7"/>
      <c r="BZ245" s="7"/>
      <c r="CA245" s="7"/>
      <c r="CB245" s="7"/>
      <c r="CC245" s="7"/>
      <c r="CD245" s="7"/>
      <c r="CE245" s="7"/>
    </row>
    <row r="246" spans="16:83" x14ac:dyDescent="0.35">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c r="AT246" s="7"/>
      <c r="AU246" s="7"/>
      <c r="AV246" s="7"/>
      <c r="AW246" s="7"/>
      <c r="AX246" s="7"/>
      <c r="AY246" s="7"/>
      <c r="AZ246" s="7"/>
      <c r="BA246" s="7"/>
      <c r="BB246" s="7"/>
      <c r="BC246" s="7"/>
      <c r="BD246" s="7"/>
      <c r="BE246" s="7"/>
      <c r="BF246" s="7"/>
      <c r="BG246" s="7"/>
      <c r="BH246" s="7"/>
      <c r="BI246" s="7"/>
      <c r="BJ246" s="7"/>
      <c r="BK246" s="7"/>
      <c r="BL246" s="7"/>
      <c r="BM246" s="7"/>
      <c r="BN246" s="7"/>
      <c r="BO246" s="7"/>
      <c r="BP246" s="7"/>
      <c r="BQ246" s="7"/>
      <c r="BR246" s="7"/>
      <c r="BS246" s="7"/>
      <c r="BT246" s="7"/>
      <c r="BU246" s="7"/>
      <c r="BV246" s="7"/>
      <c r="BW246" s="7"/>
      <c r="BX246" s="7"/>
      <c r="BY246" s="7"/>
      <c r="BZ246" s="7"/>
      <c r="CA246" s="7"/>
      <c r="CB246" s="7"/>
      <c r="CC246" s="7"/>
      <c r="CD246" s="7"/>
      <c r="CE246" s="7"/>
    </row>
    <row r="247" spans="16:83" x14ac:dyDescent="0.35">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c r="AO247" s="7"/>
      <c r="AP247" s="7"/>
      <c r="AQ247" s="7"/>
      <c r="AR247" s="7"/>
      <c r="AS247" s="7"/>
      <c r="AT247" s="7"/>
      <c r="AU247" s="7"/>
      <c r="AV247" s="7"/>
      <c r="AW247" s="7"/>
      <c r="AX247" s="7"/>
      <c r="AY247" s="7"/>
      <c r="AZ247" s="7"/>
      <c r="BA247" s="7"/>
      <c r="BB247" s="7"/>
      <c r="BC247" s="7"/>
      <c r="BD247" s="7"/>
      <c r="BE247" s="7"/>
      <c r="BF247" s="7"/>
      <c r="BG247" s="7"/>
      <c r="BH247" s="7"/>
      <c r="BI247" s="7"/>
      <c r="BJ247" s="7"/>
      <c r="BK247" s="7"/>
      <c r="BL247" s="7"/>
      <c r="BM247" s="7"/>
      <c r="BN247" s="7"/>
      <c r="BO247" s="7"/>
      <c r="BP247" s="7"/>
      <c r="BQ247" s="7"/>
      <c r="BR247" s="7"/>
      <c r="BS247" s="7"/>
      <c r="BT247" s="7"/>
      <c r="BU247" s="7"/>
      <c r="BV247" s="7"/>
      <c r="BW247" s="7"/>
      <c r="BX247" s="7"/>
      <c r="BY247" s="7"/>
      <c r="BZ247" s="7"/>
      <c r="CA247" s="7"/>
      <c r="CB247" s="7"/>
      <c r="CC247" s="7"/>
      <c r="CD247" s="7"/>
      <c r="CE247" s="7"/>
    </row>
    <row r="248" spans="16:83" x14ac:dyDescent="0.35">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7"/>
      <c r="AP248" s="7"/>
      <c r="AQ248" s="7"/>
      <c r="AR248" s="7"/>
      <c r="AS248" s="7"/>
      <c r="AT248" s="7"/>
      <c r="AU248" s="7"/>
      <c r="AV248" s="7"/>
      <c r="AW248" s="7"/>
      <c r="AX248" s="7"/>
      <c r="AY248" s="7"/>
      <c r="AZ248" s="7"/>
      <c r="BA248" s="7"/>
      <c r="BB248" s="7"/>
      <c r="BC248" s="7"/>
      <c r="BD248" s="7"/>
      <c r="BE248" s="7"/>
      <c r="BF248" s="7"/>
      <c r="BG248" s="7"/>
      <c r="BH248" s="7"/>
      <c r="BI248" s="7"/>
      <c r="BJ248" s="7"/>
      <c r="BK248" s="7"/>
      <c r="BL248" s="7"/>
      <c r="BM248" s="7"/>
      <c r="BN248" s="7"/>
      <c r="BO248" s="7"/>
      <c r="BP248" s="7"/>
      <c r="BQ248" s="7"/>
      <c r="BR248" s="7"/>
      <c r="BS248" s="7"/>
      <c r="BT248" s="7"/>
      <c r="BU248" s="7"/>
      <c r="BV248" s="7"/>
      <c r="BW248" s="7"/>
      <c r="BX248" s="7"/>
      <c r="BY248" s="7"/>
      <c r="BZ248" s="7"/>
      <c r="CA248" s="7"/>
      <c r="CB248" s="7"/>
      <c r="CC248" s="7"/>
      <c r="CD248" s="7"/>
      <c r="CE248" s="7"/>
    </row>
    <row r="249" spans="16:83" x14ac:dyDescent="0.35">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c r="AO249" s="7"/>
      <c r="AP249" s="7"/>
      <c r="AQ249" s="7"/>
      <c r="AR249" s="7"/>
      <c r="AS249" s="7"/>
      <c r="AT249" s="7"/>
      <c r="AU249" s="7"/>
      <c r="AV249" s="7"/>
      <c r="AW249" s="7"/>
      <c r="AX249" s="7"/>
      <c r="AY249" s="7"/>
      <c r="AZ249" s="7"/>
      <c r="BA249" s="7"/>
      <c r="BB249" s="7"/>
      <c r="BC249" s="7"/>
      <c r="BD249" s="7"/>
      <c r="BE249" s="7"/>
      <c r="BF249" s="7"/>
      <c r="BG249" s="7"/>
      <c r="BH249" s="7"/>
      <c r="BI249" s="7"/>
      <c r="BJ249" s="7"/>
      <c r="BK249" s="7"/>
      <c r="BL249" s="7"/>
      <c r="BM249" s="7"/>
      <c r="BN249" s="7"/>
      <c r="BO249" s="7"/>
      <c r="BP249" s="7"/>
      <c r="BQ249" s="7"/>
      <c r="BR249" s="7"/>
      <c r="BS249" s="7"/>
      <c r="BT249" s="7"/>
      <c r="BU249" s="7"/>
      <c r="BV249" s="7"/>
      <c r="BW249" s="7"/>
      <c r="BX249" s="7"/>
      <c r="BY249" s="7"/>
      <c r="BZ249" s="7"/>
      <c r="CA249" s="7"/>
      <c r="CB249" s="7"/>
      <c r="CC249" s="7"/>
      <c r="CD249" s="7"/>
      <c r="CE249" s="7"/>
    </row>
  </sheetData>
  <mergeCells count="6">
    <mergeCell ref="B1:C1"/>
    <mergeCell ref="F2:N4"/>
    <mergeCell ref="B2:E4"/>
    <mergeCell ref="P5:P73"/>
    <mergeCell ref="P141:P150"/>
    <mergeCell ref="P85:P132"/>
  </mergeCells>
  <conditionalFormatting sqref="R4:V4">
    <cfRule type="cellIs" dxfId="5" priority="1" operator="equal">
      <formula>#REF!</formula>
    </cfRule>
  </conditionalFormatting>
  <conditionalFormatting sqref="W2:CE2">
    <cfRule type="cellIs" dxfId="4" priority="4" operator="equal">
      <formula>#REF!</formula>
    </cfRule>
  </conditionalFormatting>
  <conditionalFormatting sqref="W3:CE4">
    <cfRule type="cellIs" dxfId="3" priority="6" operator="equal">
      <formula>#REF!</formula>
    </cfRule>
  </conditionalFormatting>
  <conditionalFormatting sqref="W141:CE141">
    <cfRule type="cellIs" dxfId="2" priority="5" operator="equal">
      <formula>#REF!</formula>
    </cfRule>
  </conditionalFormatting>
  <hyperlinks>
    <hyperlink ref="B1" r:id="rId1" tooltip="Click to view a video on this section" xr:uid="{510E8629-0627-4489-827F-41E39F7F0818}"/>
  </hyperlinks>
  <pageMargins left="0.7" right="0.7" top="0.75" bottom="0.75" header="0.3" footer="0.3"/>
  <pageSetup orientation="portrait" horizontalDpi="4294967293" verticalDpi="0" r:id="rId2"/>
  <drawing r:id="rId3"/>
  <legacyDrawing r:id="rId4"/>
  <mc:AlternateContent xmlns:mc="http://schemas.openxmlformats.org/markup-compatibility/2006">
    <mc:Choice Requires="x14">
      <controls>
        <mc:AlternateContent xmlns:mc="http://schemas.openxmlformats.org/markup-compatibility/2006">
          <mc:Choice Requires="x14">
            <control shapeId="5126" r:id="rId5" name="Button 6">
              <controlPr defaultSize="0" print="0" autoFill="0" autoPict="0" macro="[0]!UnhideRenoTableRows">
                <anchor moveWithCells="1" sizeWithCells="1">
                  <from>
                    <xdr:col>16</xdr:col>
                    <xdr:colOff>19050</xdr:colOff>
                    <xdr:row>2</xdr:row>
                    <xdr:rowOff>127000</xdr:rowOff>
                  </from>
                  <to>
                    <xdr:col>16</xdr:col>
                    <xdr:colOff>971550</xdr:colOff>
                    <xdr:row>3</xdr:row>
                    <xdr:rowOff>139700</xdr:rowOff>
                  </to>
                </anchor>
              </controlPr>
            </control>
          </mc:Choice>
        </mc:AlternateContent>
        <mc:AlternateContent xmlns:mc="http://schemas.openxmlformats.org/markup-compatibility/2006">
          <mc:Choice Requires="x14">
            <control shapeId="5127" r:id="rId6" name="Button 7">
              <controlPr defaultSize="0" print="0" autoFill="0" autoPict="0" macro="[0]!HideRenoTableRows">
                <anchor moveWithCells="1" sizeWithCells="1">
                  <from>
                    <xdr:col>16</xdr:col>
                    <xdr:colOff>12700</xdr:colOff>
                    <xdr:row>2</xdr:row>
                    <xdr:rowOff>57150</xdr:rowOff>
                  </from>
                  <to>
                    <xdr:col>16</xdr:col>
                    <xdr:colOff>965200</xdr:colOff>
                    <xdr:row>3</xdr:row>
                    <xdr:rowOff>133350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02D71-2001-4AF5-872F-D4C1ABBAF660}">
  <sheetPr codeName="Sheet6"/>
  <dimension ref="B1:D3"/>
  <sheetViews>
    <sheetView showGridLines="0" zoomScale="110" zoomScaleNormal="110" workbookViewId="0">
      <pane xSplit="1" ySplit="2" topLeftCell="B3" activePane="bottomRight" state="frozen"/>
      <selection pane="topRight" activeCell="B1" sqref="B1"/>
      <selection pane="bottomLeft" activeCell="A3" sqref="A3"/>
      <selection pane="bottomRight" activeCell="C6" sqref="C6"/>
    </sheetView>
  </sheetViews>
  <sheetFormatPr defaultRowHeight="14.5" x14ac:dyDescent="0.35"/>
  <cols>
    <col min="1" max="1" width="2.36328125" customWidth="1"/>
    <col min="2" max="2" width="6.1796875" bestFit="1" customWidth="1"/>
    <col min="3" max="3" width="11.26953125" customWidth="1"/>
    <col min="4" max="4" width="84.08984375" bestFit="1" customWidth="1"/>
  </cols>
  <sheetData>
    <row r="1" spans="2:4" ht="3" customHeight="1" x14ac:dyDescent="0.35"/>
    <row r="2" spans="2:4" x14ac:dyDescent="0.35">
      <c r="B2" s="868" t="s">
        <v>232</v>
      </c>
      <c r="C2" s="869" t="s">
        <v>233</v>
      </c>
      <c r="D2" s="870" t="s">
        <v>234</v>
      </c>
    </row>
    <row r="3" spans="2:4" ht="21" x14ac:dyDescent="0.35">
      <c r="B3" s="789">
        <v>1.01</v>
      </c>
      <c r="C3" s="790">
        <v>45037</v>
      </c>
      <c r="D3" s="791" t="s">
        <v>336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196E5-0738-4D90-9628-2273A132AE0C}">
  <sheetPr codeName="Sheet7"/>
  <dimension ref="A1:AG578"/>
  <sheetViews>
    <sheetView showGridLines="0" workbookViewId="0">
      <selection activeCell="L17" sqref="L17"/>
    </sheetView>
  </sheetViews>
  <sheetFormatPr defaultRowHeight="14.5" x14ac:dyDescent="0.35"/>
  <cols>
    <col min="1" max="1" width="2.81640625" customWidth="1"/>
    <col min="3" max="3" width="8.453125" customWidth="1"/>
    <col min="4" max="4" width="10.1796875" customWidth="1"/>
    <col min="5" max="5" width="9" customWidth="1"/>
    <col min="6" max="8" width="8.08984375" customWidth="1"/>
    <col min="9" max="9" width="9.90625" customWidth="1"/>
    <col min="10" max="16" width="8.08984375" customWidth="1"/>
    <col min="17" max="17" width="3.26953125" customWidth="1"/>
    <col min="18" max="18" width="2.81640625" customWidth="1"/>
    <col min="20" max="20" width="8.453125" customWidth="1"/>
    <col min="21" max="21" width="11.453125" bestFit="1" customWidth="1"/>
    <col min="22" max="24" width="9" customWidth="1"/>
    <col min="25" max="25" width="9.26953125" customWidth="1"/>
    <col min="26" max="26" width="9.453125" customWidth="1"/>
    <col min="27" max="29" width="9.36328125" bestFit="1" customWidth="1"/>
    <col min="30" max="30" width="10" customWidth="1"/>
  </cols>
  <sheetData>
    <row r="1" spans="1:33" ht="25" x14ac:dyDescent="0.35">
      <c r="A1" s="937" t="s">
        <v>201</v>
      </c>
      <c r="B1" s="937"/>
      <c r="C1" s="937"/>
      <c r="D1" s="937"/>
      <c r="E1" s="937"/>
      <c r="F1" s="937"/>
      <c r="G1" s="937"/>
      <c r="H1" s="937"/>
      <c r="I1" s="937"/>
      <c r="J1" s="937"/>
      <c r="K1" s="937"/>
      <c r="L1" s="937"/>
      <c r="M1" s="937"/>
      <c r="N1" s="937"/>
      <c r="O1" s="937"/>
      <c r="P1" s="937"/>
      <c r="R1" s="937" t="s">
        <v>80</v>
      </c>
      <c r="S1" s="937"/>
      <c r="T1" s="937"/>
      <c r="U1" s="937"/>
      <c r="V1" s="937"/>
      <c r="W1" s="937"/>
      <c r="X1" s="937"/>
      <c r="Y1" s="937"/>
      <c r="Z1" s="937"/>
      <c r="AA1" s="937"/>
      <c r="AB1" s="937"/>
      <c r="AC1" s="937"/>
      <c r="AD1" s="937"/>
      <c r="AE1" s="937"/>
      <c r="AF1" s="937"/>
      <c r="AG1" s="937"/>
    </row>
    <row r="2" spans="1:33" x14ac:dyDescent="0.35">
      <c r="A2" s="259"/>
      <c r="B2" s="259"/>
      <c r="C2" s="259"/>
      <c r="D2" s="259"/>
      <c r="E2" s="259"/>
      <c r="F2" s="657"/>
      <c r="G2" s="632" t="str">
        <f>IF(G3='UW Model'!$G$20,"SALE", IF(G3='UW Model'!$K$15,"REFI",""))</f>
        <v/>
      </c>
      <c r="H2" s="632" t="str">
        <f>IF(H3='UW Model'!$G$20,"SALE", IF(H3='UW Model'!$K$15,"REFI",""))</f>
        <v/>
      </c>
      <c r="I2" s="632" t="str">
        <f>IF(I3='UW Model'!$G$20,"SALE", IF(I3='UW Model'!$K$15,"REFI",""))</f>
        <v/>
      </c>
      <c r="J2" s="632" t="str">
        <f>IF(J3='UW Model'!$G$20,"SALE", IF(J3='UW Model'!$K$15,"REFI",""))</f>
        <v/>
      </c>
      <c r="K2" s="632" t="str">
        <f>IF(K3='UW Model'!$G$20,"SALE", IF(K3='UW Model'!$K$15,"REFI",""))</f>
        <v>SALE</v>
      </c>
      <c r="L2" s="632" t="str">
        <f>IF(L3='UW Model'!$G$20,"SALE", IF(L3='UW Model'!$K$15,"REFI",""))</f>
        <v/>
      </c>
      <c r="M2" s="632" t="str">
        <f>IF(M3='UW Model'!$G$20,"SALE", IF(M3='UW Model'!$K$15,"REFI",""))</f>
        <v/>
      </c>
      <c r="N2" s="632" t="str">
        <f>IF(N3='UW Model'!$G$20,"SALE", IF(N3='UW Model'!$K$15,"REFI",""))</f>
        <v/>
      </c>
      <c r="O2" s="632" t="str">
        <f>IF(O3='UW Model'!$G$20,"SALE", IF(O3='UW Model'!$K$15,"REFI",""))</f>
        <v/>
      </c>
      <c r="P2" s="632" t="str">
        <f>IF(P3='UW Model'!$G$20,"SALE", IF(P3='UW Model'!$K$15,"REFI",""))</f>
        <v/>
      </c>
      <c r="Q2" s="645"/>
      <c r="R2" s="259"/>
      <c r="S2" s="259"/>
      <c r="T2" s="630" t="s">
        <v>180</v>
      </c>
      <c r="U2" s="631">
        <f>'UW Model'!K15</f>
        <v>0</v>
      </c>
      <c r="V2" s="259"/>
      <c r="W2" s="241"/>
      <c r="X2" s="241"/>
      <c r="Y2" s="241"/>
      <c r="Z2" s="632" t="str">
        <f>IF(Z3='UW Model'!$G$20,"SALE", IF(Z3='UW Model'!$K$15,"REFI",""))</f>
        <v/>
      </c>
      <c r="AA2" s="632" t="str">
        <f>IF(AA3='UW Model'!$G$20,"SALE", IF(AA3='UW Model'!$K$15,"REFI",""))</f>
        <v/>
      </c>
      <c r="AB2" s="632" t="str">
        <f>IF(AB3='UW Model'!$G$20,"SALE", IF(AB3='UW Model'!$K$15,"REFI",""))</f>
        <v>SALE</v>
      </c>
      <c r="AC2" s="632" t="str">
        <f>IF(AC3='UW Model'!$G$20,"SALE", IF(AC3='UW Model'!$K$15,"REFI",""))</f>
        <v/>
      </c>
      <c r="AD2" s="632" t="str">
        <f>IF(AD3='UW Model'!$G$20,"SALE", IF(AD3='UW Model'!$K$15,"REFI",""))</f>
        <v/>
      </c>
      <c r="AE2" s="632" t="str">
        <f>IF(AE3='UW Model'!$G$20,"SALE", IF(AE3='UW Model'!$K$15,"REFI",""))</f>
        <v/>
      </c>
      <c r="AF2" s="632" t="str">
        <f>IF(AF3='UW Model'!$G$20,"SALE", IF(AF3='UW Model'!$K$15,"REFI",""))</f>
        <v/>
      </c>
      <c r="AG2" s="632" t="str">
        <f>IF(AG3='UW Model'!$G$20,"SALE", IF(AG3='UW Model'!$K$15,"REFI",""))</f>
        <v/>
      </c>
    </row>
    <row r="3" spans="1:33" x14ac:dyDescent="0.35">
      <c r="A3" s="244"/>
      <c r="B3" s="241"/>
      <c r="C3" s="633" t="s">
        <v>187</v>
      </c>
      <c r="D3" s="634">
        <f>'UW Model'!K7</f>
        <v>0</v>
      </c>
      <c r="E3" s="241"/>
      <c r="F3" s="635" t="s">
        <v>192</v>
      </c>
      <c r="G3" s="636">
        <v>1</v>
      </c>
      <c r="H3" s="636">
        <f t="shared" ref="H3:P3" si="0">G3+1</f>
        <v>2</v>
      </c>
      <c r="I3" s="636">
        <f t="shared" si="0"/>
        <v>3</v>
      </c>
      <c r="J3" s="636">
        <f t="shared" si="0"/>
        <v>4</v>
      </c>
      <c r="K3" s="636">
        <f t="shared" si="0"/>
        <v>5</v>
      </c>
      <c r="L3" s="636">
        <f t="shared" si="0"/>
        <v>6</v>
      </c>
      <c r="M3" s="636">
        <f t="shared" si="0"/>
        <v>7</v>
      </c>
      <c r="N3" s="636">
        <f t="shared" si="0"/>
        <v>8</v>
      </c>
      <c r="O3" s="636">
        <f t="shared" si="0"/>
        <v>9</v>
      </c>
      <c r="P3" s="636">
        <f t="shared" si="0"/>
        <v>10</v>
      </c>
      <c r="Q3" s="645"/>
      <c r="R3" s="241"/>
      <c r="S3" s="241"/>
      <c r="T3" s="633" t="s">
        <v>187</v>
      </c>
      <c r="U3" s="634" t="str">
        <f>'UW Model'!K14</f>
        <v>0</v>
      </c>
      <c r="V3" s="241"/>
      <c r="W3" s="635" t="s">
        <v>192</v>
      </c>
      <c r="X3" s="636">
        <v>1</v>
      </c>
      <c r="Y3" s="636">
        <f t="shared" ref="Y3" si="1">X3+1</f>
        <v>2</v>
      </c>
      <c r="Z3" s="636">
        <f t="shared" ref="Z3" si="2">Y3+1</f>
        <v>3</v>
      </c>
      <c r="AA3" s="636">
        <f t="shared" ref="AA3" si="3">Z3+1</f>
        <v>4</v>
      </c>
      <c r="AB3" s="636">
        <f t="shared" ref="AB3" si="4">AA3+1</f>
        <v>5</v>
      </c>
      <c r="AC3" s="636">
        <f t="shared" ref="AC3" si="5">AB3+1</f>
        <v>6</v>
      </c>
      <c r="AD3" s="636">
        <f t="shared" ref="AD3" si="6">AC3+1</f>
        <v>7</v>
      </c>
      <c r="AE3" s="636">
        <f t="shared" ref="AE3" si="7">AD3+1</f>
        <v>8</v>
      </c>
      <c r="AF3" s="636">
        <f t="shared" ref="AF3" si="8">AE3+1</f>
        <v>9</v>
      </c>
      <c r="AG3" s="636">
        <f t="shared" ref="AG3" si="9">AF3+1</f>
        <v>10</v>
      </c>
    </row>
    <row r="4" spans="1:33" x14ac:dyDescent="0.35">
      <c r="A4" s="244"/>
      <c r="B4" s="241"/>
      <c r="C4" s="633" t="s">
        <v>3</v>
      </c>
      <c r="D4" s="637">
        <f>'UW Model'!K9</f>
        <v>0</v>
      </c>
      <c r="E4" s="241"/>
      <c r="F4" s="638" t="s">
        <v>193</v>
      </c>
      <c r="G4" s="639">
        <f t="shared" ref="G4:P4" si="10">IFERROR(SUMIF($C$18:$C$137,G$3,$G$18:$G$137),0)</f>
        <v>0</v>
      </c>
      <c r="H4" s="639">
        <f t="shared" si="10"/>
        <v>0</v>
      </c>
      <c r="I4" s="639">
        <f t="shared" si="10"/>
        <v>0</v>
      </c>
      <c r="J4" s="639">
        <f t="shared" si="10"/>
        <v>0</v>
      </c>
      <c r="K4" s="639">
        <f t="shared" si="10"/>
        <v>0</v>
      </c>
      <c r="L4" s="639">
        <f t="shared" si="10"/>
        <v>0</v>
      </c>
      <c r="M4" s="639">
        <f t="shared" si="10"/>
        <v>0</v>
      </c>
      <c r="N4" s="639">
        <f t="shared" si="10"/>
        <v>0</v>
      </c>
      <c r="O4" s="639">
        <f t="shared" si="10"/>
        <v>0</v>
      </c>
      <c r="P4" s="639">
        <f t="shared" si="10"/>
        <v>0</v>
      </c>
      <c r="Q4" s="645"/>
      <c r="R4" s="241"/>
      <c r="S4" s="241"/>
      <c r="T4" s="633" t="s">
        <v>3</v>
      </c>
      <c r="U4" s="637">
        <f>'UW Model'!K17</f>
        <v>0.06</v>
      </c>
      <c r="V4" s="241"/>
      <c r="W4" s="638" t="s">
        <v>193</v>
      </c>
      <c r="X4" s="639">
        <f t="shared" ref="X4:AG4" si="11">SUMIF($T$18:$T$377,X$3,$X$18:$X$377)</f>
        <v>0</v>
      </c>
      <c r="Y4" s="639">
        <f t="shared" si="11"/>
        <v>0</v>
      </c>
      <c r="Z4" s="639">
        <f t="shared" si="11"/>
        <v>0</v>
      </c>
      <c r="AA4" s="639">
        <f t="shared" si="11"/>
        <v>0</v>
      </c>
      <c r="AB4" s="639">
        <f t="shared" si="11"/>
        <v>0</v>
      </c>
      <c r="AC4" s="639">
        <f t="shared" si="11"/>
        <v>0</v>
      </c>
      <c r="AD4" s="639">
        <f t="shared" si="11"/>
        <v>0</v>
      </c>
      <c r="AE4" s="639">
        <f t="shared" si="11"/>
        <v>0</v>
      </c>
      <c r="AF4" s="639">
        <f t="shared" si="11"/>
        <v>0</v>
      </c>
      <c r="AG4" s="639">
        <f t="shared" si="11"/>
        <v>0</v>
      </c>
    </row>
    <row r="5" spans="1:33" x14ac:dyDescent="0.35">
      <c r="A5" s="244"/>
      <c r="B5" s="241"/>
      <c r="C5" s="633" t="s">
        <v>188</v>
      </c>
      <c r="D5" s="631">
        <f>'UW Model'!K12</f>
        <v>30</v>
      </c>
      <c r="E5" s="241"/>
      <c r="F5" s="638" t="s">
        <v>194</v>
      </c>
      <c r="G5" s="639">
        <f t="shared" ref="G5:P5" si="12">IFERROR(SUMIF($C$18:$C$137,G$3,$E$18:$E$137),0)</f>
        <v>0</v>
      </c>
      <c r="H5" s="639">
        <f t="shared" si="12"/>
        <v>0</v>
      </c>
      <c r="I5" s="639">
        <f t="shared" si="12"/>
        <v>0</v>
      </c>
      <c r="J5" s="639">
        <f t="shared" si="12"/>
        <v>0</v>
      </c>
      <c r="K5" s="639">
        <f t="shared" si="12"/>
        <v>0</v>
      </c>
      <c r="L5" s="639">
        <f t="shared" si="12"/>
        <v>0</v>
      </c>
      <c r="M5" s="639">
        <f t="shared" si="12"/>
        <v>0</v>
      </c>
      <c r="N5" s="639">
        <f t="shared" si="12"/>
        <v>0</v>
      </c>
      <c r="O5" s="639">
        <f t="shared" si="12"/>
        <v>0</v>
      </c>
      <c r="P5" s="639">
        <f t="shared" si="12"/>
        <v>0</v>
      </c>
      <c r="Q5" s="645"/>
      <c r="R5" s="241"/>
      <c r="S5" s="241"/>
      <c r="T5" s="633" t="s">
        <v>188</v>
      </c>
      <c r="U5" s="631">
        <f>'UW Model'!K20</f>
        <v>30</v>
      </c>
      <c r="V5" s="241"/>
      <c r="W5" s="638" t="s">
        <v>194</v>
      </c>
      <c r="X5" s="639">
        <f t="shared" ref="X5:AG5" si="13">SUMIF($T$18:$T$377,X$3,$V$18:$V$377)</f>
        <v>0</v>
      </c>
      <c r="Y5" s="639">
        <f t="shared" si="13"/>
        <v>0</v>
      </c>
      <c r="Z5" s="639">
        <f t="shared" si="13"/>
        <v>0</v>
      </c>
      <c r="AA5" s="639">
        <f t="shared" si="13"/>
        <v>0</v>
      </c>
      <c r="AB5" s="639">
        <f t="shared" si="13"/>
        <v>0</v>
      </c>
      <c r="AC5" s="639">
        <f t="shared" si="13"/>
        <v>0</v>
      </c>
      <c r="AD5" s="639">
        <f t="shared" si="13"/>
        <v>0</v>
      </c>
      <c r="AE5" s="639">
        <f t="shared" si="13"/>
        <v>0</v>
      </c>
      <c r="AF5" s="639">
        <f t="shared" si="13"/>
        <v>0</v>
      </c>
      <c r="AG5" s="639">
        <f t="shared" si="13"/>
        <v>0</v>
      </c>
    </row>
    <row r="6" spans="1:33" x14ac:dyDescent="0.35">
      <c r="A6" s="244"/>
      <c r="B6" s="242"/>
      <c r="C6" s="640" t="s">
        <v>189</v>
      </c>
      <c r="D6" s="631">
        <f>'UW Model'!K11</f>
        <v>0</v>
      </c>
      <c r="E6" s="641" t="s">
        <v>249</v>
      </c>
      <c r="F6" s="638" t="s">
        <v>195</v>
      </c>
      <c r="G6" s="658">
        <f>IFERROR(VLOOKUP(G3*12,$B$16:$I$137,8,0),0)</f>
        <v>0</v>
      </c>
      <c r="H6" s="658">
        <f t="shared" ref="H6:P6" si="14">IFERROR(VLOOKUP(H3*12,$B$16:$I$137,8,0),0)</f>
        <v>0</v>
      </c>
      <c r="I6" s="658">
        <f t="shared" si="14"/>
        <v>0</v>
      </c>
      <c r="J6" s="658">
        <f t="shared" si="14"/>
        <v>0</v>
      </c>
      <c r="K6" s="658">
        <f t="shared" si="14"/>
        <v>0</v>
      </c>
      <c r="L6" s="658">
        <f t="shared" si="14"/>
        <v>0</v>
      </c>
      <c r="M6" s="658">
        <f t="shared" si="14"/>
        <v>0</v>
      </c>
      <c r="N6" s="658">
        <f t="shared" si="14"/>
        <v>0</v>
      </c>
      <c r="O6" s="658">
        <f t="shared" si="14"/>
        <v>0</v>
      </c>
      <c r="P6" s="658">
        <f t="shared" si="14"/>
        <v>0</v>
      </c>
      <c r="Q6" s="645"/>
      <c r="R6" s="241"/>
      <c r="S6" s="242"/>
      <c r="T6" s="640" t="s">
        <v>189</v>
      </c>
      <c r="U6" s="631">
        <f>'UW Model'!K19</f>
        <v>0</v>
      </c>
      <c r="V6" s="641"/>
      <c r="W6" s="638" t="s">
        <v>195</v>
      </c>
      <c r="X6" s="642">
        <f t="shared" ref="X6:AG6" si="15">IFERROR(INDEX($Z$18:$Z$377,MATCH(X3,$T$18:$T$377,0)+11),0)</f>
        <v>0</v>
      </c>
      <c r="Y6" s="642">
        <f t="shared" si="15"/>
        <v>0</v>
      </c>
      <c r="Z6" s="642">
        <f t="shared" si="15"/>
        <v>0</v>
      </c>
      <c r="AA6" s="642">
        <f t="shared" si="15"/>
        <v>0</v>
      </c>
      <c r="AB6" s="642">
        <f t="shared" si="15"/>
        <v>0</v>
      </c>
      <c r="AC6" s="642">
        <f t="shared" si="15"/>
        <v>0</v>
      </c>
      <c r="AD6" s="642">
        <f t="shared" si="15"/>
        <v>0</v>
      </c>
      <c r="AE6" s="642">
        <f t="shared" si="15"/>
        <v>0</v>
      </c>
      <c r="AF6" s="642">
        <f t="shared" si="15"/>
        <v>0</v>
      </c>
      <c r="AG6" s="642">
        <f t="shared" si="15"/>
        <v>0</v>
      </c>
    </row>
    <row r="7" spans="1:33" x14ac:dyDescent="0.35">
      <c r="A7" s="244"/>
      <c r="B7" s="241"/>
      <c r="C7" s="633" t="s">
        <v>190</v>
      </c>
      <c r="D7" s="643">
        <f>PMT(D4/12,(D5*12),-D3)</f>
        <v>0</v>
      </c>
      <c r="E7" s="644" t="s">
        <v>191</v>
      </c>
      <c r="F7" s="241" t="s">
        <v>73</v>
      </c>
      <c r="G7" s="241"/>
      <c r="H7" s="241"/>
      <c r="I7" s="242"/>
      <c r="J7" s="241"/>
      <c r="K7" s="241"/>
      <c r="L7" s="241"/>
      <c r="M7" s="243"/>
      <c r="N7" s="645"/>
      <c r="O7" s="645"/>
      <c r="P7" s="645"/>
      <c r="Q7" s="645"/>
      <c r="R7" s="241"/>
      <c r="S7" s="241"/>
      <c r="T7" s="633" t="s">
        <v>190</v>
      </c>
      <c r="U7" s="643">
        <f>PMT(U4/12,(U5*12),-U3)</f>
        <v>0</v>
      </c>
      <c r="V7" s="644"/>
      <c r="W7" s="241"/>
      <c r="X7" s="241"/>
      <c r="Y7" s="241"/>
      <c r="Z7" s="242"/>
      <c r="AA7" s="241"/>
      <c r="AB7" s="241"/>
      <c r="AC7" s="241"/>
      <c r="AD7" s="243"/>
      <c r="AE7" s="645"/>
      <c r="AF7" s="645"/>
      <c r="AG7" s="645"/>
    </row>
    <row r="8" spans="1:33" hidden="1" x14ac:dyDescent="0.35">
      <c r="A8" s="244"/>
      <c r="B8" s="244"/>
      <c r="C8" s="244"/>
      <c r="D8" s="244"/>
      <c r="E8" s="244"/>
      <c r="F8" s="244"/>
      <c r="G8" s="244"/>
      <c r="H8" s="244"/>
      <c r="I8" s="245"/>
      <c r="J8" s="244"/>
      <c r="K8" s="244"/>
      <c r="L8" s="244"/>
      <c r="M8" s="243"/>
      <c r="R8" s="241"/>
      <c r="S8" s="241"/>
      <c r="T8" s="646"/>
      <c r="U8" s="241"/>
      <c r="V8" s="241"/>
      <c r="W8" s="241"/>
      <c r="X8" s="241"/>
      <c r="Y8" s="241"/>
      <c r="Z8" s="242"/>
      <c r="AA8" s="241"/>
      <c r="AB8" s="241"/>
      <c r="AC8" s="241"/>
      <c r="AD8" s="243"/>
      <c r="AE8" s="645"/>
      <c r="AF8" s="645"/>
      <c r="AG8" s="645"/>
    </row>
    <row r="9" spans="1:33" hidden="1" x14ac:dyDescent="0.35">
      <c r="A9" s="244"/>
      <c r="B9" s="244"/>
      <c r="C9" s="244"/>
      <c r="D9" s="244"/>
      <c r="E9" s="244"/>
      <c r="F9" s="244"/>
      <c r="G9" s="244"/>
      <c r="H9" s="244"/>
      <c r="I9" s="245"/>
      <c r="J9" s="244"/>
      <c r="K9" s="244"/>
      <c r="L9" s="244"/>
      <c r="M9" s="243"/>
      <c r="R9" s="244"/>
      <c r="S9" s="244"/>
      <c r="T9" s="629"/>
      <c r="U9" s="244"/>
      <c r="V9" s="244"/>
      <c r="W9" s="244"/>
      <c r="X9" s="244"/>
      <c r="Y9" s="244"/>
      <c r="Z9" s="245"/>
      <c r="AA9" s="244"/>
      <c r="AB9" s="244"/>
      <c r="AC9" s="244"/>
      <c r="AD9" s="243"/>
    </row>
    <row r="10" spans="1:33" hidden="1" x14ac:dyDescent="0.35">
      <c r="A10" s="244"/>
      <c r="M10" s="243"/>
      <c r="R10" s="244"/>
      <c r="AD10" s="243"/>
    </row>
    <row r="11" spans="1:33" hidden="1" x14ac:dyDescent="0.35">
      <c r="A11" s="245"/>
      <c r="M11" s="243"/>
      <c r="R11" s="245"/>
      <c r="AD11" s="243"/>
    </row>
    <row r="12" spans="1:33" hidden="1" x14ac:dyDescent="0.35">
      <c r="A12" s="245"/>
      <c r="M12" s="243"/>
      <c r="R12" s="245"/>
      <c r="AD12" s="243"/>
    </row>
    <row r="13" spans="1:33" hidden="1" x14ac:dyDescent="0.35">
      <c r="A13" s="245"/>
      <c r="M13" s="243"/>
      <c r="R13" s="245"/>
      <c r="AD13" s="243"/>
    </row>
    <row r="14" spans="1:33" hidden="1" x14ac:dyDescent="0.35">
      <c r="A14" s="245"/>
      <c r="M14" s="243"/>
      <c r="R14" s="245"/>
      <c r="AD14" s="243"/>
    </row>
    <row r="15" spans="1:33" x14ac:dyDescent="0.35">
      <c r="A15" s="241"/>
      <c r="B15" s="241"/>
      <c r="C15" s="241"/>
      <c r="D15" s="241"/>
      <c r="E15" s="241"/>
      <c r="F15" s="241"/>
      <c r="G15" s="241"/>
      <c r="H15" s="241"/>
      <c r="I15" s="246"/>
      <c r="J15" s="241"/>
      <c r="K15" s="241"/>
      <c r="L15" s="241"/>
      <c r="M15" s="243"/>
      <c r="R15" s="241"/>
      <c r="S15" s="241"/>
      <c r="T15" s="241"/>
      <c r="U15" s="241"/>
      <c r="V15" s="241"/>
      <c r="W15" s="241"/>
      <c r="X15" s="241"/>
      <c r="Y15" s="241"/>
      <c r="Z15" s="246"/>
      <c r="AA15" s="241"/>
      <c r="AB15" s="241"/>
      <c r="AC15" s="241"/>
      <c r="AD15" s="243"/>
    </row>
    <row r="16" spans="1:33" ht="21" x14ac:dyDescent="0.35">
      <c r="A16" s="247"/>
      <c r="B16" s="647" t="s">
        <v>196</v>
      </c>
      <c r="C16" s="647" t="s">
        <v>197</v>
      </c>
      <c r="D16" s="648" t="s">
        <v>198</v>
      </c>
      <c r="E16" s="649" t="s">
        <v>194</v>
      </c>
      <c r="F16" s="648" t="s">
        <v>199</v>
      </c>
      <c r="G16" s="648" t="s">
        <v>193</v>
      </c>
      <c r="H16" s="648" t="s">
        <v>200</v>
      </c>
      <c r="I16" s="648" t="s">
        <v>195</v>
      </c>
      <c r="J16" s="248"/>
      <c r="K16" s="248"/>
      <c r="L16" s="248"/>
      <c r="M16" s="243"/>
      <c r="R16" s="247"/>
      <c r="S16" s="647" t="s">
        <v>196</v>
      </c>
      <c r="T16" s="647" t="s">
        <v>197</v>
      </c>
      <c r="U16" s="648" t="s">
        <v>198</v>
      </c>
      <c r="V16" s="649" t="s">
        <v>194</v>
      </c>
      <c r="W16" s="648" t="s">
        <v>199</v>
      </c>
      <c r="X16" s="648" t="s">
        <v>193</v>
      </c>
      <c r="Y16" s="648" t="s">
        <v>200</v>
      </c>
      <c r="Z16" s="648" t="s">
        <v>195</v>
      </c>
      <c r="AA16" s="248"/>
      <c r="AB16" s="248"/>
      <c r="AC16" s="248"/>
      <c r="AD16" s="243"/>
    </row>
    <row r="17" spans="1:30" x14ac:dyDescent="0.35">
      <c r="A17" s="243"/>
      <c r="B17" s="650"/>
      <c r="C17" s="650"/>
      <c r="D17" s="651"/>
      <c r="E17" s="652"/>
      <c r="F17" s="652"/>
      <c r="G17" s="652"/>
      <c r="H17" s="652"/>
      <c r="I17" s="653">
        <f>D3</f>
        <v>0</v>
      </c>
      <c r="J17" s="249"/>
      <c r="K17" s="241"/>
      <c r="L17" s="241"/>
      <c r="M17" s="241"/>
      <c r="R17" s="243"/>
      <c r="S17" s="650"/>
      <c r="T17" s="650"/>
      <c r="U17" s="651"/>
      <c r="V17" s="652"/>
      <c r="W17" s="652"/>
      <c r="X17" s="652"/>
      <c r="Y17" s="652"/>
      <c r="Z17" s="653" t="str">
        <f>U3</f>
        <v>0</v>
      </c>
      <c r="AA17" s="249"/>
      <c r="AB17" s="241"/>
      <c r="AC17" s="241"/>
      <c r="AD17" s="241"/>
    </row>
    <row r="18" spans="1:30" x14ac:dyDescent="0.35">
      <c r="A18" s="243"/>
      <c r="B18" s="250">
        <f t="shared" ref="B18:B29" si="16">IF(B17&gt;=$D$5*12+$D$6,"",B17+1)</f>
        <v>1</v>
      </c>
      <c r="C18" s="251">
        <f t="shared" ref="C18:C137" si="17">ROUNDUP(B18/12,0)</f>
        <v>1</v>
      </c>
      <c r="D18" s="252">
        <f t="shared" ref="D18:D137" si="18">IF(B18="","-",IF(B18&lt;=$D$6,E18,  $D$7))</f>
        <v>0</v>
      </c>
      <c r="E18" s="252">
        <f t="shared" ref="E18:E137" si="19">IF(B18="","-",$D$4/12*I17)</f>
        <v>0</v>
      </c>
      <c r="F18" s="252">
        <f t="shared" ref="F18:F137" si="20">IF(B18="","-",SUM($E$18:E18))</f>
        <v>0</v>
      </c>
      <c r="G18" s="252">
        <f t="shared" ref="G18:G137" si="21">IF(B18="","-",D18-E18)</f>
        <v>0</v>
      </c>
      <c r="H18" s="252">
        <f t="shared" ref="H18:H137" si="22">IF(B18="","-",SUM($G$18:G18))</f>
        <v>0</v>
      </c>
      <c r="I18" s="252">
        <f t="shared" ref="I18:I81" si="23">IF(B18="","-",I17-G18)</f>
        <v>0</v>
      </c>
      <c r="J18" s="246"/>
      <c r="K18" s="241"/>
      <c r="L18" s="241"/>
      <c r="M18" s="241"/>
      <c r="R18" s="243"/>
      <c r="S18" s="250">
        <f>IF(S17&gt;=$U$5*12+$U$6,"",S17+1)</f>
        <v>1</v>
      </c>
      <c r="T18" s="251">
        <f>ROUNDUP(S18/12,0)+$U$2</f>
        <v>1</v>
      </c>
      <c r="U18" s="252">
        <f>IF(S18="","-",IF(S18&lt;=$U$6,V18,  $U$7))</f>
        <v>0</v>
      </c>
      <c r="V18" s="252">
        <f>IF(S18="","-",$U$4/12*Z17)</f>
        <v>0</v>
      </c>
      <c r="W18" s="252">
        <f>IF(S18="","-",SUM($V$18:V18))</f>
        <v>0</v>
      </c>
      <c r="X18" s="252">
        <f>IF(S18="","-",U18-V18)</f>
        <v>0</v>
      </c>
      <c r="Y18" s="252">
        <f>IF(S18="","-",SUM($X$18:X18))</f>
        <v>0</v>
      </c>
      <c r="Z18" s="252">
        <f t="shared" ref="Z18:Z81" si="24">IF(S18="","-",Z17-X18)</f>
        <v>0</v>
      </c>
      <c r="AA18" s="246"/>
      <c r="AB18" s="241"/>
      <c r="AC18" s="241"/>
      <c r="AD18" s="241"/>
    </row>
    <row r="19" spans="1:30" x14ac:dyDescent="0.35">
      <c r="A19" s="243"/>
      <c r="B19" s="250">
        <f t="shared" si="16"/>
        <v>2</v>
      </c>
      <c r="C19" s="253">
        <f t="shared" si="17"/>
        <v>1</v>
      </c>
      <c r="D19" s="252">
        <f t="shared" si="18"/>
        <v>0</v>
      </c>
      <c r="E19" s="252">
        <f t="shared" si="19"/>
        <v>0</v>
      </c>
      <c r="F19" s="252">
        <f t="shared" si="20"/>
        <v>0</v>
      </c>
      <c r="G19" s="252">
        <f t="shared" si="21"/>
        <v>0</v>
      </c>
      <c r="H19" s="252">
        <f t="shared" si="22"/>
        <v>0</v>
      </c>
      <c r="I19" s="252">
        <f t="shared" si="23"/>
        <v>0</v>
      </c>
      <c r="J19" s="246"/>
      <c r="K19" s="241"/>
      <c r="L19" s="241"/>
      <c r="M19" s="241"/>
      <c r="R19" s="243"/>
      <c r="S19" s="250">
        <f t="shared" ref="S19:S82" si="25">IF(S18&gt;=$U$5*12+$U$6,"",S18+1)</f>
        <v>2</v>
      </c>
      <c r="T19" s="253">
        <f t="shared" ref="T19:T82" si="26">ROUNDUP(S19/12,0)+$U$2</f>
        <v>1</v>
      </c>
      <c r="U19" s="252">
        <f t="shared" ref="U19:U82" si="27">IF(S19="","-",IF(S19&lt;=$U$6,V19,  $U$7))</f>
        <v>0</v>
      </c>
      <c r="V19" s="252">
        <f t="shared" ref="V19:V82" si="28">IF(S19="","-",$U$4/12*Z18)</f>
        <v>0</v>
      </c>
      <c r="W19" s="252">
        <f>IF(S19="","-",SUM($V$18:V19))</f>
        <v>0</v>
      </c>
      <c r="X19" s="252">
        <f t="shared" ref="X19:X137" si="29">IF(S19="","-",U19-V19)</f>
        <v>0</v>
      </c>
      <c r="Y19" s="252">
        <f>IF(S19="","-",SUM($X$18:X19))</f>
        <v>0</v>
      </c>
      <c r="Z19" s="252">
        <f t="shared" si="24"/>
        <v>0</v>
      </c>
      <c r="AA19" s="246"/>
      <c r="AB19" s="241"/>
      <c r="AC19" s="241"/>
      <c r="AD19" s="241"/>
    </row>
    <row r="20" spans="1:30" x14ac:dyDescent="0.35">
      <c r="A20" s="243"/>
      <c r="B20" s="250">
        <f t="shared" si="16"/>
        <v>3</v>
      </c>
      <c r="C20" s="254">
        <f t="shared" si="17"/>
        <v>1</v>
      </c>
      <c r="D20" s="252">
        <f t="shared" si="18"/>
        <v>0</v>
      </c>
      <c r="E20" s="252">
        <f t="shared" si="19"/>
        <v>0</v>
      </c>
      <c r="F20" s="252">
        <f t="shared" si="20"/>
        <v>0</v>
      </c>
      <c r="G20" s="252">
        <f t="shared" si="21"/>
        <v>0</v>
      </c>
      <c r="H20" s="252">
        <f t="shared" si="22"/>
        <v>0</v>
      </c>
      <c r="I20" s="252">
        <f t="shared" si="23"/>
        <v>0</v>
      </c>
      <c r="J20" s="246"/>
      <c r="K20" s="241"/>
      <c r="L20" s="241"/>
      <c r="M20" s="241"/>
      <c r="R20" s="243"/>
      <c r="S20" s="250">
        <f t="shared" si="25"/>
        <v>3</v>
      </c>
      <c r="T20" s="254">
        <f t="shared" si="26"/>
        <v>1</v>
      </c>
      <c r="U20" s="252">
        <f t="shared" si="27"/>
        <v>0</v>
      </c>
      <c r="V20" s="252">
        <f t="shared" si="28"/>
        <v>0</v>
      </c>
      <c r="W20" s="252">
        <f>IF(S20="","-",SUM($V$18:V20))</f>
        <v>0</v>
      </c>
      <c r="X20" s="252">
        <f t="shared" si="29"/>
        <v>0</v>
      </c>
      <c r="Y20" s="252">
        <f>IF(S20="","-",SUM($X$18:X20))</f>
        <v>0</v>
      </c>
      <c r="Z20" s="252">
        <f t="shared" si="24"/>
        <v>0</v>
      </c>
      <c r="AA20" s="246"/>
      <c r="AB20" s="241"/>
      <c r="AC20" s="241"/>
      <c r="AD20" s="241"/>
    </row>
    <row r="21" spans="1:30" x14ac:dyDescent="0.35">
      <c r="A21" s="243"/>
      <c r="B21" s="250">
        <f t="shared" si="16"/>
        <v>4</v>
      </c>
      <c r="C21" s="254">
        <f t="shared" si="17"/>
        <v>1</v>
      </c>
      <c r="D21" s="252">
        <f t="shared" si="18"/>
        <v>0</v>
      </c>
      <c r="E21" s="252">
        <f t="shared" si="19"/>
        <v>0</v>
      </c>
      <c r="F21" s="252">
        <f t="shared" si="20"/>
        <v>0</v>
      </c>
      <c r="G21" s="252">
        <f t="shared" si="21"/>
        <v>0</v>
      </c>
      <c r="H21" s="252">
        <f t="shared" si="22"/>
        <v>0</v>
      </c>
      <c r="I21" s="252">
        <f t="shared" si="23"/>
        <v>0</v>
      </c>
      <c r="J21" s="246"/>
      <c r="K21" s="241"/>
      <c r="L21" s="241"/>
      <c r="M21" s="241"/>
      <c r="R21" s="243"/>
      <c r="S21" s="250">
        <f t="shared" si="25"/>
        <v>4</v>
      </c>
      <c r="T21" s="254">
        <f t="shared" si="26"/>
        <v>1</v>
      </c>
      <c r="U21" s="252">
        <f t="shared" si="27"/>
        <v>0</v>
      </c>
      <c r="V21" s="252">
        <f t="shared" si="28"/>
        <v>0</v>
      </c>
      <c r="W21" s="252">
        <f>IF(S21="","-",SUM($V$18:V21))</f>
        <v>0</v>
      </c>
      <c r="X21" s="252">
        <f t="shared" si="29"/>
        <v>0</v>
      </c>
      <c r="Y21" s="252">
        <f>IF(S21="","-",SUM($X$18:X21))</f>
        <v>0</v>
      </c>
      <c r="Z21" s="252">
        <f t="shared" si="24"/>
        <v>0</v>
      </c>
      <c r="AA21" s="246"/>
      <c r="AB21" s="241"/>
      <c r="AC21" s="241"/>
      <c r="AD21" s="241"/>
    </row>
    <row r="22" spans="1:30" x14ac:dyDescent="0.35">
      <c r="A22" s="243"/>
      <c r="B22" s="250">
        <f t="shared" si="16"/>
        <v>5</v>
      </c>
      <c r="C22" s="254">
        <f t="shared" si="17"/>
        <v>1</v>
      </c>
      <c r="D22" s="252">
        <f t="shared" si="18"/>
        <v>0</v>
      </c>
      <c r="E22" s="252">
        <f t="shared" si="19"/>
        <v>0</v>
      </c>
      <c r="F22" s="252">
        <f t="shared" si="20"/>
        <v>0</v>
      </c>
      <c r="G22" s="252">
        <f t="shared" si="21"/>
        <v>0</v>
      </c>
      <c r="H22" s="252">
        <f t="shared" si="22"/>
        <v>0</v>
      </c>
      <c r="I22" s="252">
        <f t="shared" si="23"/>
        <v>0</v>
      </c>
      <c r="J22" s="246"/>
      <c r="K22" s="241"/>
      <c r="L22" s="241"/>
      <c r="M22" s="241"/>
      <c r="R22" s="243"/>
      <c r="S22" s="250">
        <f t="shared" si="25"/>
        <v>5</v>
      </c>
      <c r="T22" s="254">
        <f t="shared" si="26"/>
        <v>1</v>
      </c>
      <c r="U22" s="252">
        <f t="shared" si="27"/>
        <v>0</v>
      </c>
      <c r="V22" s="252">
        <f t="shared" si="28"/>
        <v>0</v>
      </c>
      <c r="W22" s="252">
        <f>IF(S22="","-",SUM($V$18:V22))</f>
        <v>0</v>
      </c>
      <c r="X22" s="252">
        <f t="shared" si="29"/>
        <v>0</v>
      </c>
      <c r="Y22" s="252">
        <f>IF(S22="","-",SUM($X$18:X22))</f>
        <v>0</v>
      </c>
      <c r="Z22" s="252">
        <f t="shared" si="24"/>
        <v>0</v>
      </c>
      <c r="AA22" s="246"/>
      <c r="AB22" s="241"/>
      <c r="AC22" s="241"/>
      <c r="AD22" s="241"/>
    </row>
    <row r="23" spans="1:30" x14ac:dyDescent="0.35">
      <c r="A23" s="243"/>
      <c r="B23" s="250">
        <f t="shared" si="16"/>
        <v>6</v>
      </c>
      <c r="C23" s="254">
        <f t="shared" si="17"/>
        <v>1</v>
      </c>
      <c r="D23" s="252">
        <f t="shared" si="18"/>
        <v>0</v>
      </c>
      <c r="E23" s="252">
        <f t="shared" si="19"/>
        <v>0</v>
      </c>
      <c r="F23" s="252">
        <f t="shared" si="20"/>
        <v>0</v>
      </c>
      <c r="G23" s="252">
        <f t="shared" si="21"/>
        <v>0</v>
      </c>
      <c r="H23" s="252">
        <f t="shared" si="22"/>
        <v>0</v>
      </c>
      <c r="I23" s="252">
        <f t="shared" si="23"/>
        <v>0</v>
      </c>
      <c r="J23" s="246"/>
      <c r="K23" s="241"/>
      <c r="L23" s="241"/>
      <c r="M23" s="241"/>
      <c r="R23" s="243"/>
      <c r="S23" s="250">
        <f t="shared" si="25"/>
        <v>6</v>
      </c>
      <c r="T23" s="254">
        <f t="shared" si="26"/>
        <v>1</v>
      </c>
      <c r="U23" s="252">
        <f t="shared" si="27"/>
        <v>0</v>
      </c>
      <c r="V23" s="252">
        <f t="shared" si="28"/>
        <v>0</v>
      </c>
      <c r="W23" s="252">
        <f>IF(S23="","-",SUM($V$18:V23))</f>
        <v>0</v>
      </c>
      <c r="X23" s="252">
        <f t="shared" si="29"/>
        <v>0</v>
      </c>
      <c r="Y23" s="252">
        <f>IF(S23="","-",SUM($X$18:X23))</f>
        <v>0</v>
      </c>
      <c r="Z23" s="252">
        <f t="shared" si="24"/>
        <v>0</v>
      </c>
      <c r="AA23" s="246"/>
      <c r="AB23" s="241"/>
      <c r="AC23" s="241"/>
      <c r="AD23" s="241"/>
    </row>
    <row r="24" spans="1:30" x14ac:dyDescent="0.35">
      <c r="A24" s="243"/>
      <c r="B24" s="250">
        <f t="shared" si="16"/>
        <v>7</v>
      </c>
      <c r="C24" s="254">
        <f t="shared" si="17"/>
        <v>1</v>
      </c>
      <c r="D24" s="252">
        <f t="shared" si="18"/>
        <v>0</v>
      </c>
      <c r="E24" s="252">
        <f t="shared" si="19"/>
        <v>0</v>
      </c>
      <c r="F24" s="252">
        <f t="shared" si="20"/>
        <v>0</v>
      </c>
      <c r="G24" s="252">
        <f t="shared" si="21"/>
        <v>0</v>
      </c>
      <c r="H24" s="252">
        <f t="shared" si="22"/>
        <v>0</v>
      </c>
      <c r="I24" s="252">
        <f t="shared" si="23"/>
        <v>0</v>
      </c>
      <c r="J24" s="246"/>
      <c r="K24" s="241"/>
      <c r="L24" s="241"/>
      <c r="M24" s="241"/>
      <c r="R24" s="243"/>
      <c r="S24" s="250">
        <f t="shared" si="25"/>
        <v>7</v>
      </c>
      <c r="T24" s="254">
        <f t="shared" si="26"/>
        <v>1</v>
      </c>
      <c r="U24" s="252">
        <f t="shared" si="27"/>
        <v>0</v>
      </c>
      <c r="V24" s="252">
        <f t="shared" si="28"/>
        <v>0</v>
      </c>
      <c r="W24" s="252">
        <f>IF(S24="","-",SUM($V$18:V24))</f>
        <v>0</v>
      </c>
      <c r="X24" s="252">
        <f t="shared" si="29"/>
        <v>0</v>
      </c>
      <c r="Y24" s="252">
        <f>IF(S24="","-",SUM($X$18:X24))</f>
        <v>0</v>
      </c>
      <c r="Z24" s="252">
        <f t="shared" si="24"/>
        <v>0</v>
      </c>
      <c r="AA24" s="246"/>
      <c r="AB24" s="241"/>
      <c r="AC24" s="241"/>
      <c r="AD24" s="241"/>
    </row>
    <row r="25" spans="1:30" x14ac:dyDescent="0.35">
      <c r="A25" s="243"/>
      <c r="B25" s="250">
        <f t="shared" si="16"/>
        <v>8</v>
      </c>
      <c r="C25" s="254">
        <f t="shared" si="17"/>
        <v>1</v>
      </c>
      <c r="D25" s="252">
        <f t="shared" si="18"/>
        <v>0</v>
      </c>
      <c r="E25" s="252">
        <f t="shared" si="19"/>
        <v>0</v>
      </c>
      <c r="F25" s="252">
        <f t="shared" si="20"/>
        <v>0</v>
      </c>
      <c r="G25" s="252">
        <f t="shared" si="21"/>
        <v>0</v>
      </c>
      <c r="H25" s="252">
        <f t="shared" si="22"/>
        <v>0</v>
      </c>
      <c r="I25" s="252">
        <f t="shared" si="23"/>
        <v>0</v>
      </c>
      <c r="J25" s="246"/>
      <c r="K25" s="241"/>
      <c r="L25" s="241"/>
      <c r="M25" s="241"/>
      <c r="R25" s="243"/>
      <c r="S25" s="250">
        <f t="shared" si="25"/>
        <v>8</v>
      </c>
      <c r="T25" s="254">
        <f t="shared" si="26"/>
        <v>1</v>
      </c>
      <c r="U25" s="252">
        <f t="shared" si="27"/>
        <v>0</v>
      </c>
      <c r="V25" s="252">
        <f t="shared" si="28"/>
        <v>0</v>
      </c>
      <c r="W25" s="252">
        <f>IF(S25="","-",SUM($V$18:V25))</f>
        <v>0</v>
      </c>
      <c r="X25" s="252">
        <f t="shared" si="29"/>
        <v>0</v>
      </c>
      <c r="Y25" s="252">
        <f>IF(S25="","-",SUM($X$18:X25))</f>
        <v>0</v>
      </c>
      <c r="Z25" s="252">
        <f t="shared" si="24"/>
        <v>0</v>
      </c>
      <c r="AA25" s="246"/>
      <c r="AB25" s="241"/>
      <c r="AC25" s="241"/>
      <c r="AD25" s="241"/>
    </row>
    <row r="26" spans="1:30" x14ac:dyDescent="0.35">
      <c r="A26" s="243"/>
      <c r="B26" s="250">
        <f t="shared" si="16"/>
        <v>9</v>
      </c>
      <c r="C26" s="254">
        <f t="shared" si="17"/>
        <v>1</v>
      </c>
      <c r="D26" s="252">
        <f t="shared" si="18"/>
        <v>0</v>
      </c>
      <c r="E26" s="252">
        <f t="shared" si="19"/>
        <v>0</v>
      </c>
      <c r="F26" s="252">
        <f t="shared" si="20"/>
        <v>0</v>
      </c>
      <c r="G26" s="252">
        <f t="shared" si="21"/>
        <v>0</v>
      </c>
      <c r="H26" s="252">
        <f t="shared" si="22"/>
        <v>0</v>
      </c>
      <c r="I26" s="252">
        <f t="shared" si="23"/>
        <v>0</v>
      </c>
      <c r="J26" s="246"/>
      <c r="K26" s="241"/>
      <c r="L26" s="241"/>
      <c r="M26" s="241"/>
      <c r="R26" s="243"/>
      <c r="S26" s="250">
        <f t="shared" si="25"/>
        <v>9</v>
      </c>
      <c r="T26" s="254">
        <f t="shared" si="26"/>
        <v>1</v>
      </c>
      <c r="U26" s="252">
        <f t="shared" si="27"/>
        <v>0</v>
      </c>
      <c r="V26" s="252">
        <f t="shared" si="28"/>
        <v>0</v>
      </c>
      <c r="W26" s="252">
        <f>IF(S26="","-",SUM($V$18:V26))</f>
        <v>0</v>
      </c>
      <c r="X26" s="252">
        <f t="shared" si="29"/>
        <v>0</v>
      </c>
      <c r="Y26" s="252">
        <f>IF(S26="","-",SUM($X$18:X26))</f>
        <v>0</v>
      </c>
      <c r="Z26" s="252">
        <f t="shared" si="24"/>
        <v>0</v>
      </c>
      <c r="AA26" s="246"/>
      <c r="AB26" s="241"/>
      <c r="AC26" s="241"/>
      <c r="AD26" s="241"/>
    </row>
    <row r="27" spans="1:30" x14ac:dyDescent="0.35">
      <c r="A27" s="243"/>
      <c r="B27" s="250">
        <f t="shared" si="16"/>
        <v>10</v>
      </c>
      <c r="C27" s="254">
        <f t="shared" si="17"/>
        <v>1</v>
      </c>
      <c r="D27" s="252">
        <f t="shared" si="18"/>
        <v>0</v>
      </c>
      <c r="E27" s="252">
        <f t="shared" si="19"/>
        <v>0</v>
      </c>
      <c r="F27" s="252">
        <f t="shared" si="20"/>
        <v>0</v>
      </c>
      <c r="G27" s="252">
        <f t="shared" si="21"/>
        <v>0</v>
      </c>
      <c r="H27" s="252">
        <f t="shared" si="22"/>
        <v>0</v>
      </c>
      <c r="I27" s="252">
        <f t="shared" si="23"/>
        <v>0</v>
      </c>
      <c r="J27" s="246"/>
      <c r="K27" s="241"/>
      <c r="L27" s="241"/>
      <c r="M27" s="241"/>
      <c r="R27" s="243"/>
      <c r="S27" s="250">
        <f t="shared" si="25"/>
        <v>10</v>
      </c>
      <c r="T27" s="254">
        <f t="shared" si="26"/>
        <v>1</v>
      </c>
      <c r="U27" s="252">
        <f t="shared" si="27"/>
        <v>0</v>
      </c>
      <c r="V27" s="252">
        <f t="shared" si="28"/>
        <v>0</v>
      </c>
      <c r="W27" s="252">
        <f>IF(S27="","-",SUM($V$18:V27))</f>
        <v>0</v>
      </c>
      <c r="X27" s="252">
        <f t="shared" si="29"/>
        <v>0</v>
      </c>
      <c r="Y27" s="252">
        <f>IF(S27="","-",SUM($X$18:X27))</f>
        <v>0</v>
      </c>
      <c r="Z27" s="252">
        <f t="shared" si="24"/>
        <v>0</v>
      </c>
      <c r="AA27" s="246"/>
      <c r="AB27" s="241"/>
      <c r="AC27" s="241"/>
      <c r="AD27" s="241"/>
    </row>
    <row r="28" spans="1:30" x14ac:dyDescent="0.35">
      <c r="A28" s="243"/>
      <c r="B28" s="250">
        <f t="shared" si="16"/>
        <v>11</v>
      </c>
      <c r="C28" s="254">
        <f t="shared" si="17"/>
        <v>1</v>
      </c>
      <c r="D28" s="252">
        <f t="shared" si="18"/>
        <v>0</v>
      </c>
      <c r="E28" s="252">
        <f t="shared" si="19"/>
        <v>0</v>
      </c>
      <c r="F28" s="252">
        <f t="shared" si="20"/>
        <v>0</v>
      </c>
      <c r="G28" s="252">
        <f t="shared" si="21"/>
        <v>0</v>
      </c>
      <c r="H28" s="252">
        <f t="shared" si="22"/>
        <v>0</v>
      </c>
      <c r="I28" s="252">
        <f t="shared" si="23"/>
        <v>0</v>
      </c>
      <c r="J28" s="246"/>
      <c r="K28" s="241"/>
      <c r="L28" s="241"/>
      <c r="M28" s="241"/>
      <c r="R28" s="243"/>
      <c r="S28" s="250">
        <f t="shared" si="25"/>
        <v>11</v>
      </c>
      <c r="T28" s="254">
        <f t="shared" si="26"/>
        <v>1</v>
      </c>
      <c r="U28" s="252">
        <f t="shared" si="27"/>
        <v>0</v>
      </c>
      <c r="V28" s="252">
        <f t="shared" si="28"/>
        <v>0</v>
      </c>
      <c r="W28" s="252">
        <f>IF(S28="","-",SUM($V$18:V28))</f>
        <v>0</v>
      </c>
      <c r="X28" s="252">
        <f t="shared" si="29"/>
        <v>0</v>
      </c>
      <c r="Y28" s="252">
        <f>IF(S28="","-",SUM($X$18:X28))</f>
        <v>0</v>
      </c>
      <c r="Z28" s="252">
        <f t="shared" si="24"/>
        <v>0</v>
      </c>
      <c r="AA28" s="246"/>
      <c r="AB28" s="241"/>
      <c r="AC28" s="241"/>
      <c r="AD28" s="241"/>
    </row>
    <row r="29" spans="1:30" x14ac:dyDescent="0.35">
      <c r="A29" s="243"/>
      <c r="B29" s="654">
        <f t="shared" si="16"/>
        <v>12</v>
      </c>
      <c r="C29" s="655">
        <f t="shared" si="17"/>
        <v>1</v>
      </c>
      <c r="D29" s="656">
        <f t="shared" si="18"/>
        <v>0</v>
      </c>
      <c r="E29" s="656">
        <f t="shared" si="19"/>
        <v>0</v>
      </c>
      <c r="F29" s="656">
        <f t="shared" si="20"/>
        <v>0</v>
      </c>
      <c r="G29" s="656">
        <f t="shared" si="21"/>
        <v>0</v>
      </c>
      <c r="H29" s="656">
        <f t="shared" si="22"/>
        <v>0</v>
      </c>
      <c r="I29" s="656">
        <f t="shared" si="23"/>
        <v>0</v>
      </c>
      <c r="J29" s="242"/>
      <c r="K29" s="241"/>
      <c r="L29" s="241"/>
      <c r="M29" s="241"/>
      <c r="R29" s="243"/>
      <c r="S29" s="654">
        <f t="shared" si="25"/>
        <v>12</v>
      </c>
      <c r="T29" s="655">
        <f t="shared" si="26"/>
        <v>1</v>
      </c>
      <c r="U29" s="656">
        <f t="shared" si="27"/>
        <v>0</v>
      </c>
      <c r="V29" s="656">
        <f t="shared" si="28"/>
        <v>0</v>
      </c>
      <c r="W29" s="656">
        <f>IF(S29="","-",SUM($V$18:V29))</f>
        <v>0</v>
      </c>
      <c r="X29" s="656">
        <f t="shared" si="29"/>
        <v>0</v>
      </c>
      <c r="Y29" s="656">
        <f>IF(S29="","-",SUM($X$18:X29))</f>
        <v>0</v>
      </c>
      <c r="Z29" s="656">
        <f t="shared" si="24"/>
        <v>0</v>
      </c>
      <c r="AA29" s="242"/>
      <c r="AB29" s="241"/>
      <c r="AC29" s="241"/>
      <c r="AD29" s="241"/>
    </row>
    <row r="30" spans="1:30" x14ac:dyDescent="0.35">
      <c r="A30" s="243"/>
      <c r="B30" s="250">
        <f t="shared" ref="B30:B93" si="30">IF(B29&gt;=$D$5*12,"",B29+1)</f>
        <v>13</v>
      </c>
      <c r="C30" s="254">
        <f t="shared" si="17"/>
        <v>2</v>
      </c>
      <c r="D30" s="252">
        <f t="shared" si="18"/>
        <v>0</v>
      </c>
      <c r="E30" s="252">
        <f t="shared" si="19"/>
        <v>0</v>
      </c>
      <c r="F30" s="252">
        <f t="shared" si="20"/>
        <v>0</v>
      </c>
      <c r="G30" s="252">
        <f t="shared" si="21"/>
        <v>0</v>
      </c>
      <c r="H30" s="252">
        <f t="shared" si="22"/>
        <v>0</v>
      </c>
      <c r="I30" s="252">
        <f t="shared" si="23"/>
        <v>0</v>
      </c>
      <c r="J30" s="246"/>
      <c r="K30" s="241"/>
      <c r="L30" s="241"/>
      <c r="M30" s="241"/>
      <c r="R30" s="243"/>
      <c r="S30" s="250">
        <f t="shared" si="25"/>
        <v>13</v>
      </c>
      <c r="T30" s="254">
        <f t="shared" si="26"/>
        <v>2</v>
      </c>
      <c r="U30" s="252">
        <f t="shared" si="27"/>
        <v>0</v>
      </c>
      <c r="V30" s="252">
        <f t="shared" si="28"/>
        <v>0</v>
      </c>
      <c r="W30" s="252">
        <f>IF(S30="","-",SUM($V$18:V30))</f>
        <v>0</v>
      </c>
      <c r="X30" s="252">
        <f t="shared" si="29"/>
        <v>0</v>
      </c>
      <c r="Y30" s="252">
        <f>IF(S30="","-",SUM($X$18:X30))</f>
        <v>0</v>
      </c>
      <c r="Z30" s="252">
        <f t="shared" si="24"/>
        <v>0</v>
      </c>
      <c r="AA30" s="246"/>
      <c r="AB30" s="241"/>
      <c r="AC30" s="241"/>
      <c r="AD30" s="241"/>
    </row>
    <row r="31" spans="1:30" x14ac:dyDescent="0.35">
      <c r="A31" s="243"/>
      <c r="B31" s="250">
        <f t="shared" si="30"/>
        <v>14</v>
      </c>
      <c r="C31" s="254">
        <f t="shared" si="17"/>
        <v>2</v>
      </c>
      <c r="D31" s="252">
        <f t="shared" si="18"/>
        <v>0</v>
      </c>
      <c r="E31" s="252">
        <f t="shared" si="19"/>
        <v>0</v>
      </c>
      <c r="F31" s="252">
        <f t="shared" si="20"/>
        <v>0</v>
      </c>
      <c r="G31" s="252">
        <f t="shared" si="21"/>
        <v>0</v>
      </c>
      <c r="H31" s="252">
        <f t="shared" si="22"/>
        <v>0</v>
      </c>
      <c r="I31" s="252">
        <f t="shared" si="23"/>
        <v>0</v>
      </c>
      <c r="J31" s="246"/>
      <c r="K31" s="241"/>
      <c r="L31" s="241"/>
      <c r="M31" s="241"/>
      <c r="R31" s="243"/>
      <c r="S31" s="250">
        <f t="shared" si="25"/>
        <v>14</v>
      </c>
      <c r="T31" s="254">
        <f t="shared" si="26"/>
        <v>2</v>
      </c>
      <c r="U31" s="252">
        <f t="shared" si="27"/>
        <v>0</v>
      </c>
      <c r="V31" s="252">
        <f t="shared" si="28"/>
        <v>0</v>
      </c>
      <c r="W31" s="252">
        <f>IF(S31="","-",SUM($V$18:V31))</f>
        <v>0</v>
      </c>
      <c r="X31" s="252">
        <f t="shared" si="29"/>
        <v>0</v>
      </c>
      <c r="Y31" s="252">
        <f>IF(S31="","-",SUM($X$18:X31))</f>
        <v>0</v>
      </c>
      <c r="Z31" s="252">
        <f t="shared" si="24"/>
        <v>0</v>
      </c>
      <c r="AA31" s="246"/>
      <c r="AB31" s="241"/>
      <c r="AC31" s="241"/>
      <c r="AD31" s="241"/>
    </row>
    <row r="32" spans="1:30" x14ac:dyDescent="0.35">
      <c r="A32" s="243"/>
      <c r="B32" s="250">
        <f t="shared" si="30"/>
        <v>15</v>
      </c>
      <c r="C32" s="254">
        <f t="shared" si="17"/>
        <v>2</v>
      </c>
      <c r="D32" s="252">
        <f t="shared" si="18"/>
        <v>0</v>
      </c>
      <c r="E32" s="252">
        <f t="shared" si="19"/>
        <v>0</v>
      </c>
      <c r="F32" s="252">
        <f t="shared" si="20"/>
        <v>0</v>
      </c>
      <c r="G32" s="252">
        <f t="shared" si="21"/>
        <v>0</v>
      </c>
      <c r="H32" s="252">
        <f t="shared" si="22"/>
        <v>0</v>
      </c>
      <c r="I32" s="252">
        <f t="shared" si="23"/>
        <v>0</v>
      </c>
      <c r="J32" s="246"/>
      <c r="K32" s="241"/>
      <c r="L32" s="241"/>
      <c r="M32" s="241"/>
      <c r="R32" s="243"/>
      <c r="S32" s="250">
        <f t="shared" si="25"/>
        <v>15</v>
      </c>
      <c r="T32" s="254">
        <f t="shared" si="26"/>
        <v>2</v>
      </c>
      <c r="U32" s="252">
        <f t="shared" si="27"/>
        <v>0</v>
      </c>
      <c r="V32" s="252">
        <f t="shared" si="28"/>
        <v>0</v>
      </c>
      <c r="W32" s="252">
        <f>IF(S32="","-",SUM($V$18:V32))</f>
        <v>0</v>
      </c>
      <c r="X32" s="252">
        <f t="shared" si="29"/>
        <v>0</v>
      </c>
      <c r="Y32" s="252">
        <f>IF(S32="","-",SUM($X$18:X32))</f>
        <v>0</v>
      </c>
      <c r="Z32" s="252">
        <f t="shared" si="24"/>
        <v>0</v>
      </c>
      <c r="AA32" s="246"/>
      <c r="AB32" s="241"/>
      <c r="AC32" s="241"/>
      <c r="AD32" s="241"/>
    </row>
    <row r="33" spans="1:30" x14ac:dyDescent="0.35">
      <c r="A33" s="243"/>
      <c r="B33" s="250">
        <f t="shared" si="30"/>
        <v>16</v>
      </c>
      <c r="C33" s="254">
        <f t="shared" si="17"/>
        <v>2</v>
      </c>
      <c r="D33" s="252">
        <f t="shared" si="18"/>
        <v>0</v>
      </c>
      <c r="E33" s="252">
        <f t="shared" si="19"/>
        <v>0</v>
      </c>
      <c r="F33" s="252">
        <f t="shared" si="20"/>
        <v>0</v>
      </c>
      <c r="G33" s="252">
        <f t="shared" si="21"/>
        <v>0</v>
      </c>
      <c r="H33" s="252">
        <f t="shared" si="22"/>
        <v>0</v>
      </c>
      <c r="I33" s="252">
        <f t="shared" si="23"/>
        <v>0</v>
      </c>
      <c r="J33" s="246"/>
      <c r="K33" s="241"/>
      <c r="L33" s="241"/>
      <c r="M33" s="241"/>
      <c r="R33" s="243"/>
      <c r="S33" s="250">
        <f t="shared" si="25"/>
        <v>16</v>
      </c>
      <c r="T33" s="254">
        <f t="shared" si="26"/>
        <v>2</v>
      </c>
      <c r="U33" s="252">
        <f t="shared" si="27"/>
        <v>0</v>
      </c>
      <c r="V33" s="252">
        <f t="shared" si="28"/>
        <v>0</v>
      </c>
      <c r="W33" s="252">
        <f>IF(S33="","-",SUM($V$18:V33))</f>
        <v>0</v>
      </c>
      <c r="X33" s="252">
        <f t="shared" si="29"/>
        <v>0</v>
      </c>
      <c r="Y33" s="252">
        <f>IF(S33="","-",SUM($X$18:X33))</f>
        <v>0</v>
      </c>
      <c r="Z33" s="252">
        <f t="shared" si="24"/>
        <v>0</v>
      </c>
      <c r="AA33" s="246"/>
      <c r="AB33" s="241"/>
      <c r="AC33" s="241"/>
      <c r="AD33" s="241"/>
    </row>
    <row r="34" spans="1:30" x14ac:dyDescent="0.35">
      <c r="A34" s="243"/>
      <c r="B34" s="250">
        <f t="shared" si="30"/>
        <v>17</v>
      </c>
      <c r="C34" s="254">
        <f t="shared" si="17"/>
        <v>2</v>
      </c>
      <c r="D34" s="252">
        <f t="shared" si="18"/>
        <v>0</v>
      </c>
      <c r="E34" s="252">
        <f t="shared" si="19"/>
        <v>0</v>
      </c>
      <c r="F34" s="252">
        <f t="shared" si="20"/>
        <v>0</v>
      </c>
      <c r="G34" s="252">
        <f t="shared" si="21"/>
        <v>0</v>
      </c>
      <c r="H34" s="252">
        <f t="shared" si="22"/>
        <v>0</v>
      </c>
      <c r="I34" s="252">
        <f t="shared" si="23"/>
        <v>0</v>
      </c>
      <c r="J34" s="246"/>
      <c r="K34" s="241"/>
      <c r="L34" s="241"/>
      <c r="M34" s="241"/>
      <c r="R34" s="243"/>
      <c r="S34" s="250">
        <f t="shared" si="25"/>
        <v>17</v>
      </c>
      <c r="T34" s="254">
        <f t="shared" si="26"/>
        <v>2</v>
      </c>
      <c r="U34" s="252">
        <f t="shared" si="27"/>
        <v>0</v>
      </c>
      <c r="V34" s="252">
        <f t="shared" si="28"/>
        <v>0</v>
      </c>
      <c r="W34" s="252">
        <f>IF(S34="","-",SUM($V$18:V34))</f>
        <v>0</v>
      </c>
      <c r="X34" s="252">
        <f t="shared" si="29"/>
        <v>0</v>
      </c>
      <c r="Y34" s="252">
        <f>IF(S34="","-",SUM($X$18:X34))</f>
        <v>0</v>
      </c>
      <c r="Z34" s="252">
        <f t="shared" si="24"/>
        <v>0</v>
      </c>
      <c r="AA34" s="246"/>
      <c r="AB34" s="241"/>
      <c r="AC34" s="241"/>
      <c r="AD34" s="241"/>
    </row>
    <row r="35" spans="1:30" x14ac:dyDescent="0.35">
      <c r="A35" s="243"/>
      <c r="B35" s="250">
        <f t="shared" si="30"/>
        <v>18</v>
      </c>
      <c r="C35" s="254">
        <f t="shared" si="17"/>
        <v>2</v>
      </c>
      <c r="D35" s="252">
        <f t="shared" si="18"/>
        <v>0</v>
      </c>
      <c r="E35" s="252">
        <f t="shared" si="19"/>
        <v>0</v>
      </c>
      <c r="F35" s="252">
        <f t="shared" si="20"/>
        <v>0</v>
      </c>
      <c r="G35" s="252">
        <f t="shared" si="21"/>
        <v>0</v>
      </c>
      <c r="H35" s="252">
        <f t="shared" si="22"/>
        <v>0</v>
      </c>
      <c r="I35" s="252">
        <f t="shared" si="23"/>
        <v>0</v>
      </c>
      <c r="J35" s="246"/>
      <c r="K35" s="241"/>
      <c r="L35" s="241"/>
      <c r="M35" s="241"/>
      <c r="R35" s="243"/>
      <c r="S35" s="250">
        <f t="shared" si="25"/>
        <v>18</v>
      </c>
      <c r="T35" s="254">
        <f t="shared" si="26"/>
        <v>2</v>
      </c>
      <c r="U35" s="252">
        <f t="shared" si="27"/>
        <v>0</v>
      </c>
      <c r="V35" s="252">
        <f t="shared" si="28"/>
        <v>0</v>
      </c>
      <c r="W35" s="252">
        <f>IF(S35="","-",SUM($V$18:V35))</f>
        <v>0</v>
      </c>
      <c r="X35" s="252">
        <f t="shared" si="29"/>
        <v>0</v>
      </c>
      <c r="Y35" s="252">
        <f>IF(S35="","-",SUM($X$18:X35))</f>
        <v>0</v>
      </c>
      <c r="Z35" s="252">
        <f t="shared" si="24"/>
        <v>0</v>
      </c>
      <c r="AA35" s="246"/>
      <c r="AB35" s="241"/>
      <c r="AC35" s="241"/>
      <c r="AD35" s="241"/>
    </row>
    <row r="36" spans="1:30" x14ac:dyDescent="0.35">
      <c r="A36" s="243"/>
      <c r="B36" s="250">
        <f t="shared" si="30"/>
        <v>19</v>
      </c>
      <c r="C36" s="254">
        <f t="shared" si="17"/>
        <v>2</v>
      </c>
      <c r="D36" s="252">
        <f t="shared" si="18"/>
        <v>0</v>
      </c>
      <c r="E36" s="252">
        <f t="shared" si="19"/>
        <v>0</v>
      </c>
      <c r="F36" s="252">
        <f t="shared" si="20"/>
        <v>0</v>
      </c>
      <c r="G36" s="252">
        <f t="shared" si="21"/>
        <v>0</v>
      </c>
      <c r="H36" s="252">
        <f t="shared" si="22"/>
        <v>0</v>
      </c>
      <c r="I36" s="252">
        <f t="shared" si="23"/>
        <v>0</v>
      </c>
      <c r="J36" s="246"/>
      <c r="K36" s="241"/>
      <c r="L36" s="241"/>
      <c r="M36" s="241"/>
      <c r="R36" s="243"/>
      <c r="S36" s="250">
        <f t="shared" si="25"/>
        <v>19</v>
      </c>
      <c r="T36" s="254">
        <f t="shared" si="26"/>
        <v>2</v>
      </c>
      <c r="U36" s="252">
        <f t="shared" si="27"/>
        <v>0</v>
      </c>
      <c r="V36" s="252">
        <f t="shared" si="28"/>
        <v>0</v>
      </c>
      <c r="W36" s="252">
        <f>IF(S36="","-",SUM($V$18:V36))</f>
        <v>0</v>
      </c>
      <c r="X36" s="252">
        <f t="shared" si="29"/>
        <v>0</v>
      </c>
      <c r="Y36" s="252">
        <f>IF(S36="","-",SUM($X$18:X36))</f>
        <v>0</v>
      </c>
      <c r="Z36" s="252">
        <f t="shared" si="24"/>
        <v>0</v>
      </c>
      <c r="AA36" s="246"/>
      <c r="AB36" s="241"/>
      <c r="AC36" s="241"/>
      <c r="AD36" s="241"/>
    </row>
    <row r="37" spans="1:30" x14ac:dyDescent="0.35">
      <c r="A37" s="243"/>
      <c r="B37" s="250">
        <f t="shared" si="30"/>
        <v>20</v>
      </c>
      <c r="C37" s="254">
        <f t="shared" si="17"/>
        <v>2</v>
      </c>
      <c r="D37" s="252">
        <f t="shared" si="18"/>
        <v>0</v>
      </c>
      <c r="E37" s="252">
        <f t="shared" si="19"/>
        <v>0</v>
      </c>
      <c r="F37" s="252">
        <f t="shared" si="20"/>
        <v>0</v>
      </c>
      <c r="G37" s="252">
        <f t="shared" si="21"/>
        <v>0</v>
      </c>
      <c r="H37" s="252">
        <f t="shared" si="22"/>
        <v>0</v>
      </c>
      <c r="I37" s="252">
        <f t="shared" si="23"/>
        <v>0</v>
      </c>
      <c r="J37" s="246"/>
      <c r="K37" s="241"/>
      <c r="L37" s="241"/>
      <c r="M37" s="241"/>
      <c r="R37" s="243"/>
      <c r="S37" s="250">
        <f t="shared" si="25"/>
        <v>20</v>
      </c>
      <c r="T37" s="254">
        <f t="shared" si="26"/>
        <v>2</v>
      </c>
      <c r="U37" s="252">
        <f t="shared" si="27"/>
        <v>0</v>
      </c>
      <c r="V37" s="252">
        <f t="shared" si="28"/>
        <v>0</v>
      </c>
      <c r="W37" s="252">
        <f>IF(S37="","-",SUM($V$18:V37))</f>
        <v>0</v>
      </c>
      <c r="X37" s="252">
        <f t="shared" si="29"/>
        <v>0</v>
      </c>
      <c r="Y37" s="252">
        <f>IF(S37="","-",SUM($X$18:X37))</f>
        <v>0</v>
      </c>
      <c r="Z37" s="252">
        <f t="shared" si="24"/>
        <v>0</v>
      </c>
      <c r="AA37" s="246"/>
      <c r="AB37" s="241"/>
      <c r="AC37" s="241"/>
      <c r="AD37" s="241"/>
    </row>
    <row r="38" spans="1:30" x14ac:dyDescent="0.35">
      <c r="A38" s="243"/>
      <c r="B38" s="250">
        <f t="shared" si="30"/>
        <v>21</v>
      </c>
      <c r="C38" s="254">
        <f t="shared" si="17"/>
        <v>2</v>
      </c>
      <c r="D38" s="252">
        <f t="shared" si="18"/>
        <v>0</v>
      </c>
      <c r="E38" s="252">
        <f t="shared" si="19"/>
        <v>0</v>
      </c>
      <c r="F38" s="252">
        <f t="shared" si="20"/>
        <v>0</v>
      </c>
      <c r="G38" s="252">
        <f t="shared" si="21"/>
        <v>0</v>
      </c>
      <c r="H38" s="252">
        <f t="shared" si="22"/>
        <v>0</v>
      </c>
      <c r="I38" s="252">
        <f t="shared" si="23"/>
        <v>0</v>
      </c>
      <c r="J38" s="246"/>
      <c r="K38" s="241"/>
      <c r="L38" s="241"/>
      <c r="M38" s="241"/>
      <c r="R38" s="243"/>
      <c r="S38" s="250">
        <f t="shared" si="25"/>
        <v>21</v>
      </c>
      <c r="T38" s="254">
        <f t="shared" si="26"/>
        <v>2</v>
      </c>
      <c r="U38" s="252">
        <f t="shared" si="27"/>
        <v>0</v>
      </c>
      <c r="V38" s="252">
        <f t="shared" si="28"/>
        <v>0</v>
      </c>
      <c r="W38" s="252">
        <f>IF(S38="","-",SUM($V$18:V38))</f>
        <v>0</v>
      </c>
      <c r="X38" s="252">
        <f t="shared" si="29"/>
        <v>0</v>
      </c>
      <c r="Y38" s="252">
        <f>IF(S38="","-",SUM($X$18:X38))</f>
        <v>0</v>
      </c>
      <c r="Z38" s="252">
        <f t="shared" si="24"/>
        <v>0</v>
      </c>
      <c r="AA38" s="246"/>
      <c r="AB38" s="241"/>
      <c r="AC38" s="241"/>
      <c r="AD38" s="241"/>
    </row>
    <row r="39" spans="1:30" x14ac:dyDescent="0.35">
      <c r="A39" s="243"/>
      <c r="B39" s="250">
        <f t="shared" si="30"/>
        <v>22</v>
      </c>
      <c r="C39" s="254">
        <f t="shared" si="17"/>
        <v>2</v>
      </c>
      <c r="D39" s="252">
        <f t="shared" si="18"/>
        <v>0</v>
      </c>
      <c r="E39" s="252">
        <f t="shared" si="19"/>
        <v>0</v>
      </c>
      <c r="F39" s="252">
        <f t="shared" si="20"/>
        <v>0</v>
      </c>
      <c r="G39" s="252">
        <f t="shared" si="21"/>
        <v>0</v>
      </c>
      <c r="H39" s="252">
        <f t="shared" si="22"/>
        <v>0</v>
      </c>
      <c r="I39" s="252">
        <f t="shared" si="23"/>
        <v>0</v>
      </c>
      <c r="J39" s="246"/>
      <c r="K39" s="241"/>
      <c r="L39" s="241"/>
      <c r="M39" s="241"/>
      <c r="R39" s="243"/>
      <c r="S39" s="250">
        <f t="shared" si="25"/>
        <v>22</v>
      </c>
      <c r="T39" s="254">
        <f t="shared" si="26"/>
        <v>2</v>
      </c>
      <c r="U39" s="252">
        <f t="shared" si="27"/>
        <v>0</v>
      </c>
      <c r="V39" s="252">
        <f t="shared" si="28"/>
        <v>0</v>
      </c>
      <c r="W39" s="252">
        <f>IF(S39="","-",SUM($V$18:V39))</f>
        <v>0</v>
      </c>
      <c r="X39" s="252">
        <f t="shared" si="29"/>
        <v>0</v>
      </c>
      <c r="Y39" s="252">
        <f>IF(S39="","-",SUM($X$18:X39))</f>
        <v>0</v>
      </c>
      <c r="Z39" s="252">
        <f t="shared" si="24"/>
        <v>0</v>
      </c>
      <c r="AA39" s="246"/>
      <c r="AB39" s="241"/>
      <c r="AC39" s="241"/>
      <c r="AD39" s="241"/>
    </row>
    <row r="40" spans="1:30" x14ac:dyDescent="0.35">
      <c r="A40" s="243"/>
      <c r="B40" s="250">
        <f t="shared" si="30"/>
        <v>23</v>
      </c>
      <c r="C40" s="254">
        <f t="shared" si="17"/>
        <v>2</v>
      </c>
      <c r="D40" s="252">
        <f t="shared" si="18"/>
        <v>0</v>
      </c>
      <c r="E40" s="252">
        <f t="shared" si="19"/>
        <v>0</v>
      </c>
      <c r="F40" s="252">
        <f t="shared" si="20"/>
        <v>0</v>
      </c>
      <c r="G40" s="252">
        <f t="shared" si="21"/>
        <v>0</v>
      </c>
      <c r="H40" s="252">
        <f t="shared" si="22"/>
        <v>0</v>
      </c>
      <c r="I40" s="252">
        <f t="shared" si="23"/>
        <v>0</v>
      </c>
      <c r="J40" s="246"/>
      <c r="K40" s="241"/>
      <c r="L40" s="241"/>
      <c r="M40" s="241"/>
      <c r="R40" s="243"/>
      <c r="S40" s="250">
        <f t="shared" si="25"/>
        <v>23</v>
      </c>
      <c r="T40" s="254">
        <f t="shared" si="26"/>
        <v>2</v>
      </c>
      <c r="U40" s="252">
        <f t="shared" si="27"/>
        <v>0</v>
      </c>
      <c r="V40" s="252">
        <f t="shared" si="28"/>
        <v>0</v>
      </c>
      <c r="W40" s="252">
        <f>IF(S40="","-",SUM($V$18:V40))</f>
        <v>0</v>
      </c>
      <c r="X40" s="252">
        <f t="shared" si="29"/>
        <v>0</v>
      </c>
      <c r="Y40" s="252">
        <f>IF(S40="","-",SUM($X$18:X40))</f>
        <v>0</v>
      </c>
      <c r="Z40" s="252">
        <f t="shared" si="24"/>
        <v>0</v>
      </c>
      <c r="AA40" s="246"/>
      <c r="AB40" s="241"/>
      <c r="AC40" s="241"/>
      <c r="AD40" s="241"/>
    </row>
    <row r="41" spans="1:30" x14ac:dyDescent="0.35">
      <c r="A41" s="243"/>
      <c r="B41" s="654">
        <f t="shared" si="30"/>
        <v>24</v>
      </c>
      <c r="C41" s="655">
        <f t="shared" si="17"/>
        <v>2</v>
      </c>
      <c r="D41" s="656">
        <f t="shared" si="18"/>
        <v>0</v>
      </c>
      <c r="E41" s="656">
        <f t="shared" si="19"/>
        <v>0</v>
      </c>
      <c r="F41" s="656">
        <f t="shared" si="20"/>
        <v>0</v>
      </c>
      <c r="G41" s="656">
        <f t="shared" si="21"/>
        <v>0</v>
      </c>
      <c r="H41" s="656">
        <f t="shared" si="22"/>
        <v>0</v>
      </c>
      <c r="I41" s="656">
        <f t="shared" si="23"/>
        <v>0</v>
      </c>
      <c r="J41" s="242"/>
      <c r="K41" s="241"/>
      <c r="L41" s="255"/>
      <c r="M41" s="241"/>
      <c r="R41" s="243"/>
      <c r="S41" s="654">
        <f t="shared" si="25"/>
        <v>24</v>
      </c>
      <c r="T41" s="655">
        <f t="shared" si="26"/>
        <v>2</v>
      </c>
      <c r="U41" s="656">
        <f t="shared" si="27"/>
        <v>0</v>
      </c>
      <c r="V41" s="656">
        <f t="shared" si="28"/>
        <v>0</v>
      </c>
      <c r="W41" s="656">
        <f>IF(S41="","-",SUM($V$18:V41))</f>
        <v>0</v>
      </c>
      <c r="X41" s="656">
        <f t="shared" si="29"/>
        <v>0</v>
      </c>
      <c r="Y41" s="656">
        <f>IF(S41="","-",SUM($X$18:X41))</f>
        <v>0</v>
      </c>
      <c r="Z41" s="656">
        <f t="shared" si="24"/>
        <v>0</v>
      </c>
      <c r="AA41" s="242"/>
      <c r="AB41" s="241"/>
      <c r="AC41" s="255"/>
      <c r="AD41" s="241"/>
    </row>
    <row r="42" spans="1:30" x14ac:dyDescent="0.35">
      <c r="A42" s="243"/>
      <c r="B42" s="250">
        <f t="shared" si="30"/>
        <v>25</v>
      </c>
      <c r="C42" s="254">
        <f t="shared" si="17"/>
        <v>3</v>
      </c>
      <c r="D42" s="252">
        <f t="shared" si="18"/>
        <v>0</v>
      </c>
      <c r="E42" s="252">
        <f t="shared" si="19"/>
        <v>0</v>
      </c>
      <c r="F42" s="252">
        <f t="shared" si="20"/>
        <v>0</v>
      </c>
      <c r="G42" s="252">
        <f t="shared" si="21"/>
        <v>0</v>
      </c>
      <c r="H42" s="252">
        <f t="shared" si="22"/>
        <v>0</v>
      </c>
      <c r="I42" s="252">
        <f t="shared" si="23"/>
        <v>0</v>
      </c>
      <c r="J42" s="246"/>
      <c r="K42" s="241"/>
      <c r="L42" s="241"/>
      <c r="M42" s="241"/>
      <c r="R42" s="243"/>
      <c r="S42" s="250">
        <f t="shared" si="25"/>
        <v>25</v>
      </c>
      <c r="T42" s="254">
        <f t="shared" si="26"/>
        <v>3</v>
      </c>
      <c r="U42" s="252">
        <f t="shared" si="27"/>
        <v>0</v>
      </c>
      <c r="V42" s="252">
        <f t="shared" si="28"/>
        <v>0</v>
      </c>
      <c r="W42" s="252">
        <f>IF(S42="","-",SUM($V$18:V42))</f>
        <v>0</v>
      </c>
      <c r="X42" s="252">
        <f t="shared" si="29"/>
        <v>0</v>
      </c>
      <c r="Y42" s="252">
        <f>IF(S42="","-",SUM($X$18:X42))</f>
        <v>0</v>
      </c>
      <c r="Z42" s="252">
        <f t="shared" si="24"/>
        <v>0</v>
      </c>
      <c r="AA42" s="246"/>
      <c r="AB42" s="241"/>
      <c r="AC42" s="241"/>
      <c r="AD42" s="241"/>
    </row>
    <row r="43" spans="1:30" x14ac:dyDescent="0.35">
      <c r="A43" s="243"/>
      <c r="B43" s="250">
        <f t="shared" si="30"/>
        <v>26</v>
      </c>
      <c r="C43" s="254">
        <f t="shared" si="17"/>
        <v>3</v>
      </c>
      <c r="D43" s="252">
        <f t="shared" si="18"/>
        <v>0</v>
      </c>
      <c r="E43" s="252">
        <f t="shared" si="19"/>
        <v>0</v>
      </c>
      <c r="F43" s="252">
        <f t="shared" si="20"/>
        <v>0</v>
      </c>
      <c r="G43" s="252">
        <f t="shared" si="21"/>
        <v>0</v>
      </c>
      <c r="H43" s="252">
        <f t="shared" si="22"/>
        <v>0</v>
      </c>
      <c r="I43" s="252">
        <f t="shared" si="23"/>
        <v>0</v>
      </c>
      <c r="J43" s="246"/>
      <c r="K43" s="241"/>
      <c r="L43" s="241"/>
      <c r="M43" s="241"/>
      <c r="R43" s="243"/>
      <c r="S43" s="250">
        <f t="shared" si="25"/>
        <v>26</v>
      </c>
      <c r="T43" s="254">
        <f t="shared" si="26"/>
        <v>3</v>
      </c>
      <c r="U43" s="252">
        <f t="shared" si="27"/>
        <v>0</v>
      </c>
      <c r="V43" s="252">
        <f t="shared" si="28"/>
        <v>0</v>
      </c>
      <c r="W43" s="252">
        <f>IF(S43="","-",SUM($V$18:V43))</f>
        <v>0</v>
      </c>
      <c r="X43" s="252">
        <f t="shared" si="29"/>
        <v>0</v>
      </c>
      <c r="Y43" s="252">
        <f>IF(S43="","-",SUM($X$18:X43))</f>
        <v>0</v>
      </c>
      <c r="Z43" s="252">
        <f t="shared" si="24"/>
        <v>0</v>
      </c>
      <c r="AA43" s="246"/>
      <c r="AB43" s="241"/>
      <c r="AC43" s="241"/>
      <c r="AD43" s="241"/>
    </row>
    <row r="44" spans="1:30" x14ac:dyDescent="0.35">
      <c r="A44" s="243"/>
      <c r="B44" s="250">
        <f t="shared" si="30"/>
        <v>27</v>
      </c>
      <c r="C44" s="254">
        <f t="shared" si="17"/>
        <v>3</v>
      </c>
      <c r="D44" s="252">
        <f t="shared" si="18"/>
        <v>0</v>
      </c>
      <c r="E44" s="252">
        <f t="shared" si="19"/>
        <v>0</v>
      </c>
      <c r="F44" s="252">
        <f t="shared" si="20"/>
        <v>0</v>
      </c>
      <c r="G44" s="252">
        <f t="shared" si="21"/>
        <v>0</v>
      </c>
      <c r="H44" s="252">
        <f t="shared" si="22"/>
        <v>0</v>
      </c>
      <c r="I44" s="252">
        <f t="shared" si="23"/>
        <v>0</v>
      </c>
      <c r="J44" s="246"/>
      <c r="K44" s="241"/>
      <c r="L44" s="241"/>
      <c r="M44" s="241"/>
      <c r="R44" s="243"/>
      <c r="S44" s="250">
        <f t="shared" si="25"/>
        <v>27</v>
      </c>
      <c r="T44" s="254">
        <f t="shared" si="26"/>
        <v>3</v>
      </c>
      <c r="U44" s="252">
        <f t="shared" si="27"/>
        <v>0</v>
      </c>
      <c r="V44" s="252">
        <f t="shared" si="28"/>
        <v>0</v>
      </c>
      <c r="W44" s="252">
        <f>IF(S44="","-",SUM($V$18:V44))</f>
        <v>0</v>
      </c>
      <c r="X44" s="252">
        <f t="shared" si="29"/>
        <v>0</v>
      </c>
      <c r="Y44" s="252">
        <f>IF(S44="","-",SUM($X$18:X44))</f>
        <v>0</v>
      </c>
      <c r="Z44" s="252">
        <f t="shared" si="24"/>
        <v>0</v>
      </c>
      <c r="AA44" s="246"/>
      <c r="AB44" s="241"/>
      <c r="AC44" s="241"/>
      <c r="AD44" s="241"/>
    </row>
    <row r="45" spans="1:30" x14ac:dyDescent="0.35">
      <c r="A45" s="243"/>
      <c r="B45" s="250">
        <f t="shared" si="30"/>
        <v>28</v>
      </c>
      <c r="C45" s="254">
        <f t="shared" si="17"/>
        <v>3</v>
      </c>
      <c r="D45" s="252">
        <f t="shared" si="18"/>
        <v>0</v>
      </c>
      <c r="E45" s="252">
        <f t="shared" si="19"/>
        <v>0</v>
      </c>
      <c r="F45" s="252">
        <f t="shared" si="20"/>
        <v>0</v>
      </c>
      <c r="G45" s="252">
        <f t="shared" si="21"/>
        <v>0</v>
      </c>
      <c r="H45" s="252">
        <f t="shared" si="22"/>
        <v>0</v>
      </c>
      <c r="I45" s="252">
        <f t="shared" si="23"/>
        <v>0</v>
      </c>
      <c r="J45" s="246"/>
      <c r="K45" s="241"/>
      <c r="L45" s="241"/>
      <c r="M45" s="241"/>
      <c r="R45" s="243"/>
      <c r="S45" s="250">
        <f t="shared" si="25"/>
        <v>28</v>
      </c>
      <c r="T45" s="254">
        <f t="shared" si="26"/>
        <v>3</v>
      </c>
      <c r="U45" s="252">
        <f t="shared" si="27"/>
        <v>0</v>
      </c>
      <c r="V45" s="252">
        <f t="shared" si="28"/>
        <v>0</v>
      </c>
      <c r="W45" s="252">
        <f>IF(S45="","-",SUM($V$18:V45))</f>
        <v>0</v>
      </c>
      <c r="X45" s="252">
        <f t="shared" si="29"/>
        <v>0</v>
      </c>
      <c r="Y45" s="252">
        <f>IF(S45="","-",SUM($X$18:X45))</f>
        <v>0</v>
      </c>
      <c r="Z45" s="252">
        <f t="shared" si="24"/>
        <v>0</v>
      </c>
      <c r="AA45" s="246"/>
      <c r="AB45" s="241"/>
      <c r="AC45" s="241"/>
      <c r="AD45" s="241"/>
    </row>
    <row r="46" spans="1:30" x14ac:dyDescent="0.35">
      <c r="A46" s="243"/>
      <c r="B46" s="250">
        <f t="shared" si="30"/>
        <v>29</v>
      </c>
      <c r="C46" s="254">
        <f t="shared" si="17"/>
        <v>3</v>
      </c>
      <c r="D46" s="252">
        <f t="shared" si="18"/>
        <v>0</v>
      </c>
      <c r="E46" s="252">
        <f t="shared" si="19"/>
        <v>0</v>
      </c>
      <c r="F46" s="252">
        <f t="shared" si="20"/>
        <v>0</v>
      </c>
      <c r="G46" s="252">
        <f t="shared" si="21"/>
        <v>0</v>
      </c>
      <c r="H46" s="252">
        <f t="shared" si="22"/>
        <v>0</v>
      </c>
      <c r="I46" s="252">
        <f t="shared" si="23"/>
        <v>0</v>
      </c>
      <c r="J46" s="246"/>
      <c r="K46" s="241"/>
      <c r="L46" s="241"/>
      <c r="M46" s="241"/>
      <c r="R46" s="243"/>
      <c r="S46" s="250">
        <f t="shared" si="25"/>
        <v>29</v>
      </c>
      <c r="T46" s="254">
        <f t="shared" si="26"/>
        <v>3</v>
      </c>
      <c r="U46" s="252">
        <f t="shared" si="27"/>
        <v>0</v>
      </c>
      <c r="V46" s="252">
        <f t="shared" si="28"/>
        <v>0</v>
      </c>
      <c r="W46" s="252">
        <f>IF(S46="","-",SUM($V$18:V46))</f>
        <v>0</v>
      </c>
      <c r="X46" s="252">
        <f t="shared" si="29"/>
        <v>0</v>
      </c>
      <c r="Y46" s="252">
        <f>IF(S46="","-",SUM($X$18:X46))</f>
        <v>0</v>
      </c>
      <c r="Z46" s="252">
        <f t="shared" si="24"/>
        <v>0</v>
      </c>
      <c r="AA46" s="246"/>
      <c r="AB46" s="241"/>
      <c r="AC46" s="241"/>
      <c r="AD46" s="241"/>
    </row>
    <row r="47" spans="1:30" x14ac:dyDescent="0.35">
      <c r="A47" s="243"/>
      <c r="B47" s="250">
        <f t="shared" si="30"/>
        <v>30</v>
      </c>
      <c r="C47" s="254">
        <f t="shared" si="17"/>
        <v>3</v>
      </c>
      <c r="D47" s="252">
        <f t="shared" si="18"/>
        <v>0</v>
      </c>
      <c r="E47" s="252">
        <f t="shared" si="19"/>
        <v>0</v>
      </c>
      <c r="F47" s="252">
        <f t="shared" si="20"/>
        <v>0</v>
      </c>
      <c r="G47" s="252">
        <f t="shared" si="21"/>
        <v>0</v>
      </c>
      <c r="H47" s="252">
        <f t="shared" si="22"/>
        <v>0</v>
      </c>
      <c r="I47" s="252">
        <f t="shared" si="23"/>
        <v>0</v>
      </c>
      <c r="J47" s="246"/>
      <c r="K47" s="241"/>
      <c r="L47" s="241"/>
      <c r="M47" s="241"/>
      <c r="R47" s="243"/>
      <c r="S47" s="250">
        <f t="shared" si="25"/>
        <v>30</v>
      </c>
      <c r="T47" s="254">
        <f t="shared" si="26"/>
        <v>3</v>
      </c>
      <c r="U47" s="252">
        <f t="shared" si="27"/>
        <v>0</v>
      </c>
      <c r="V47" s="252">
        <f t="shared" si="28"/>
        <v>0</v>
      </c>
      <c r="W47" s="252">
        <f>IF(S47="","-",SUM($V$18:V47))</f>
        <v>0</v>
      </c>
      <c r="X47" s="252">
        <f t="shared" si="29"/>
        <v>0</v>
      </c>
      <c r="Y47" s="252">
        <f>IF(S47="","-",SUM($X$18:X47))</f>
        <v>0</v>
      </c>
      <c r="Z47" s="252">
        <f t="shared" si="24"/>
        <v>0</v>
      </c>
      <c r="AA47" s="246"/>
      <c r="AB47" s="241"/>
      <c r="AC47" s="241"/>
      <c r="AD47" s="241"/>
    </row>
    <row r="48" spans="1:30" x14ac:dyDescent="0.35">
      <c r="A48" s="243"/>
      <c r="B48" s="250">
        <f t="shared" si="30"/>
        <v>31</v>
      </c>
      <c r="C48" s="254">
        <f t="shared" si="17"/>
        <v>3</v>
      </c>
      <c r="D48" s="252">
        <f t="shared" si="18"/>
        <v>0</v>
      </c>
      <c r="E48" s="252">
        <f t="shared" si="19"/>
        <v>0</v>
      </c>
      <c r="F48" s="252">
        <f t="shared" si="20"/>
        <v>0</v>
      </c>
      <c r="G48" s="252">
        <f t="shared" si="21"/>
        <v>0</v>
      </c>
      <c r="H48" s="252">
        <f t="shared" si="22"/>
        <v>0</v>
      </c>
      <c r="I48" s="252">
        <f t="shared" si="23"/>
        <v>0</v>
      </c>
      <c r="J48" s="246"/>
      <c r="K48" s="241"/>
      <c r="L48" s="241"/>
      <c r="M48" s="241"/>
      <c r="R48" s="243"/>
      <c r="S48" s="250">
        <f t="shared" si="25"/>
        <v>31</v>
      </c>
      <c r="T48" s="254">
        <f t="shared" si="26"/>
        <v>3</v>
      </c>
      <c r="U48" s="252">
        <f t="shared" si="27"/>
        <v>0</v>
      </c>
      <c r="V48" s="252">
        <f t="shared" si="28"/>
        <v>0</v>
      </c>
      <c r="W48" s="252">
        <f>IF(S48="","-",SUM($V$18:V48))</f>
        <v>0</v>
      </c>
      <c r="X48" s="252">
        <f t="shared" si="29"/>
        <v>0</v>
      </c>
      <c r="Y48" s="252">
        <f>IF(S48="","-",SUM($X$18:X48))</f>
        <v>0</v>
      </c>
      <c r="Z48" s="252">
        <f t="shared" si="24"/>
        <v>0</v>
      </c>
      <c r="AA48" s="246"/>
      <c r="AB48" s="241"/>
      <c r="AC48" s="241"/>
      <c r="AD48" s="241"/>
    </row>
    <row r="49" spans="1:30" x14ac:dyDescent="0.35">
      <c r="A49" s="243"/>
      <c r="B49" s="250">
        <f t="shared" si="30"/>
        <v>32</v>
      </c>
      <c r="C49" s="254">
        <f t="shared" si="17"/>
        <v>3</v>
      </c>
      <c r="D49" s="252">
        <f t="shared" si="18"/>
        <v>0</v>
      </c>
      <c r="E49" s="252">
        <f t="shared" si="19"/>
        <v>0</v>
      </c>
      <c r="F49" s="252">
        <f t="shared" si="20"/>
        <v>0</v>
      </c>
      <c r="G49" s="252">
        <f t="shared" si="21"/>
        <v>0</v>
      </c>
      <c r="H49" s="252">
        <f t="shared" si="22"/>
        <v>0</v>
      </c>
      <c r="I49" s="252">
        <f t="shared" si="23"/>
        <v>0</v>
      </c>
      <c r="J49" s="246"/>
      <c r="K49" s="241"/>
      <c r="L49" s="241"/>
      <c r="M49" s="241"/>
      <c r="R49" s="243"/>
      <c r="S49" s="250">
        <f t="shared" si="25"/>
        <v>32</v>
      </c>
      <c r="T49" s="254">
        <f t="shared" si="26"/>
        <v>3</v>
      </c>
      <c r="U49" s="252">
        <f t="shared" si="27"/>
        <v>0</v>
      </c>
      <c r="V49" s="252">
        <f t="shared" si="28"/>
        <v>0</v>
      </c>
      <c r="W49" s="252">
        <f>IF(S49="","-",SUM($V$18:V49))</f>
        <v>0</v>
      </c>
      <c r="X49" s="252">
        <f t="shared" si="29"/>
        <v>0</v>
      </c>
      <c r="Y49" s="252">
        <f>IF(S49="","-",SUM($X$18:X49))</f>
        <v>0</v>
      </c>
      <c r="Z49" s="252">
        <f t="shared" si="24"/>
        <v>0</v>
      </c>
      <c r="AA49" s="246"/>
      <c r="AB49" s="241"/>
      <c r="AC49" s="241"/>
      <c r="AD49" s="241"/>
    </row>
    <row r="50" spans="1:30" x14ac:dyDescent="0.35">
      <c r="A50" s="243"/>
      <c r="B50" s="250">
        <f t="shared" si="30"/>
        <v>33</v>
      </c>
      <c r="C50" s="254">
        <f t="shared" si="17"/>
        <v>3</v>
      </c>
      <c r="D50" s="252">
        <f t="shared" si="18"/>
        <v>0</v>
      </c>
      <c r="E50" s="252">
        <f t="shared" si="19"/>
        <v>0</v>
      </c>
      <c r="F50" s="252">
        <f t="shared" si="20"/>
        <v>0</v>
      </c>
      <c r="G50" s="252">
        <f t="shared" si="21"/>
        <v>0</v>
      </c>
      <c r="H50" s="252">
        <f t="shared" si="22"/>
        <v>0</v>
      </c>
      <c r="I50" s="252">
        <f t="shared" si="23"/>
        <v>0</v>
      </c>
      <c r="J50" s="246"/>
      <c r="K50" s="241"/>
      <c r="L50" s="241"/>
      <c r="M50" s="241"/>
      <c r="R50" s="243"/>
      <c r="S50" s="250">
        <f t="shared" si="25"/>
        <v>33</v>
      </c>
      <c r="T50" s="254">
        <f t="shared" si="26"/>
        <v>3</v>
      </c>
      <c r="U50" s="252">
        <f t="shared" si="27"/>
        <v>0</v>
      </c>
      <c r="V50" s="252">
        <f t="shared" si="28"/>
        <v>0</v>
      </c>
      <c r="W50" s="252">
        <f>IF(S50="","-",SUM($V$18:V50))</f>
        <v>0</v>
      </c>
      <c r="X50" s="252">
        <f t="shared" si="29"/>
        <v>0</v>
      </c>
      <c r="Y50" s="252">
        <f>IF(S50="","-",SUM($X$18:X50))</f>
        <v>0</v>
      </c>
      <c r="Z50" s="252">
        <f t="shared" si="24"/>
        <v>0</v>
      </c>
      <c r="AA50" s="246"/>
      <c r="AB50" s="241"/>
      <c r="AC50" s="241"/>
      <c r="AD50" s="241"/>
    </row>
    <row r="51" spans="1:30" x14ac:dyDescent="0.35">
      <c r="A51" s="243"/>
      <c r="B51" s="250">
        <f t="shared" si="30"/>
        <v>34</v>
      </c>
      <c r="C51" s="254">
        <f t="shared" si="17"/>
        <v>3</v>
      </c>
      <c r="D51" s="252">
        <f t="shared" si="18"/>
        <v>0</v>
      </c>
      <c r="E51" s="252">
        <f t="shared" si="19"/>
        <v>0</v>
      </c>
      <c r="F51" s="252">
        <f t="shared" si="20"/>
        <v>0</v>
      </c>
      <c r="G51" s="252">
        <f t="shared" si="21"/>
        <v>0</v>
      </c>
      <c r="H51" s="252">
        <f t="shared" si="22"/>
        <v>0</v>
      </c>
      <c r="I51" s="252">
        <f t="shared" si="23"/>
        <v>0</v>
      </c>
      <c r="J51" s="246"/>
      <c r="K51" s="241"/>
      <c r="L51" s="241"/>
      <c r="M51" s="241"/>
      <c r="R51" s="243"/>
      <c r="S51" s="250">
        <f t="shared" si="25"/>
        <v>34</v>
      </c>
      <c r="T51" s="254">
        <f t="shared" si="26"/>
        <v>3</v>
      </c>
      <c r="U51" s="252">
        <f t="shared" si="27"/>
        <v>0</v>
      </c>
      <c r="V51" s="252">
        <f t="shared" si="28"/>
        <v>0</v>
      </c>
      <c r="W51" s="252">
        <f>IF(S51="","-",SUM($V$18:V51))</f>
        <v>0</v>
      </c>
      <c r="X51" s="252">
        <f t="shared" si="29"/>
        <v>0</v>
      </c>
      <c r="Y51" s="252">
        <f>IF(S51="","-",SUM($X$18:X51))</f>
        <v>0</v>
      </c>
      <c r="Z51" s="252">
        <f t="shared" si="24"/>
        <v>0</v>
      </c>
      <c r="AA51" s="246"/>
      <c r="AB51" s="241"/>
      <c r="AC51" s="241"/>
      <c r="AD51" s="241"/>
    </row>
    <row r="52" spans="1:30" x14ac:dyDescent="0.35">
      <c r="A52" s="243"/>
      <c r="B52" s="250">
        <f t="shared" si="30"/>
        <v>35</v>
      </c>
      <c r="C52" s="254">
        <f t="shared" si="17"/>
        <v>3</v>
      </c>
      <c r="D52" s="252">
        <f t="shared" si="18"/>
        <v>0</v>
      </c>
      <c r="E52" s="252">
        <f t="shared" si="19"/>
        <v>0</v>
      </c>
      <c r="F52" s="252">
        <f t="shared" si="20"/>
        <v>0</v>
      </c>
      <c r="G52" s="252">
        <f t="shared" si="21"/>
        <v>0</v>
      </c>
      <c r="H52" s="252">
        <f t="shared" si="22"/>
        <v>0</v>
      </c>
      <c r="I52" s="252">
        <f t="shared" si="23"/>
        <v>0</v>
      </c>
      <c r="J52" s="246"/>
      <c r="K52" s="241"/>
      <c r="L52" s="241"/>
      <c r="M52" s="241"/>
      <c r="R52" s="243"/>
      <c r="S52" s="250">
        <f t="shared" si="25"/>
        <v>35</v>
      </c>
      <c r="T52" s="254">
        <f t="shared" si="26"/>
        <v>3</v>
      </c>
      <c r="U52" s="252">
        <f t="shared" si="27"/>
        <v>0</v>
      </c>
      <c r="V52" s="252">
        <f t="shared" si="28"/>
        <v>0</v>
      </c>
      <c r="W52" s="252">
        <f>IF(S52="","-",SUM($V$18:V52))</f>
        <v>0</v>
      </c>
      <c r="X52" s="252">
        <f t="shared" si="29"/>
        <v>0</v>
      </c>
      <c r="Y52" s="252">
        <f>IF(S52="","-",SUM($X$18:X52))</f>
        <v>0</v>
      </c>
      <c r="Z52" s="252">
        <f t="shared" si="24"/>
        <v>0</v>
      </c>
      <c r="AA52" s="246"/>
      <c r="AB52" s="241"/>
      <c r="AC52" s="241"/>
      <c r="AD52" s="241"/>
    </row>
    <row r="53" spans="1:30" x14ac:dyDescent="0.35">
      <c r="A53" s="243"/>
      <c r="B53" s="654">
        <f t="shared" si="30"/>
        <v>36</v>
      </c>
      <c r="C53" s="655">
        <f t="shared" si="17"/>
        <v>3</v>
      </c>
      <c r="D53" s="656">
        <f t="shared" si="18"/>
        <v>0</v>
      </c>
      <c r="E53" s="656">
        <f t="shared" si="19"/>
        <v>0</v>
      </c>
      <c r="F53" s="656">
        <f t="shared" si="20"/>
        <v>0</v>
      </c>
      <c r="G53" s="656">
        <f t="shared" si="21"/>
        <v>0</v>
      </c>
      <c r="H53" s="656">
        <f t="shared" si="22"/>
        <v>0</v>
      </c>
      <c r="I53" s="656">
        <f t="shared" si="23"/>
        <v>0</v>
      </c>
      <c r="J53" s="242"/>
      <c r="K53" s="241"/>
      <c r="L53" s="241"/>
      <c r="M53" s="241"/>
      <c r="R53" s="243"/>
      <c r="S53" s="654">
        <f t="shared" si="25"/>
        <v>36</v>
      </c>
      <c r="T53" s="655">
        <f t="shared" si="26"/>
        <v>3</v>
      </c>
      <c r="U53" s="656">
        <f t="shared" si="27"/>
        <v>0</v>
      </c>
      <c r="V53" s="656">
        <f t="shared" si="28"/>
        <v>0</v>
      </c>
      <c r="W53" s="656">
        <f>IF(S53="","-",SUM($V$18:V53))</f>
        <v>0</v>
      </c>
      <c r="X53" s="656">
        <f t="shared" si="29"/>
        <v>0</v>
      </c>
      <c r="Y53" s="656">
        <f>IF(S53="","-",SUM($X$18:X53))</f>
        <v>0</v>
      </c>
      <c r="Z53" s="656">
        <f t="shared" si="24"/>
        <v>0</v>
      </c>
      <c r="AA53" s="242"/>
      <c r="AB53" s="241"/>
      <c r="AC53" s="241"/>
      <c r="AD53" s="241"/>
    </row>
    <row r="54" spans="1:30" x14ac:dyDescent="0.35">
      <c r="A54" s="243"/>
      <c r="B54" s="250">
        <f t="shared" si="30"/>
        <v>37</v>
      </c>
      <c r="C54" s="254">
        <f t="shared" si="17"/>
        <v>4</v>
      </c>
      <c r="D54" s="252">
        <f t="shared" si="18"/>
        <v>0</v>
      </c>
      <c r="E54" s="252">
        <f t="shared" si="19"/>
        <v>0</v>
      </c>
      <c r="F54" s="252">
        <f t="shared" si="20"/>
        <v>0</v>
      </c>
      <c r="G54" s="252">
        <f t="shared" si="21"/>
        <v>0</v>
      </c>
      <c r="H54" s="252">
        <f t="shared" si="22"/>
        <v>0</v>
      </c>
      <c r="I54" s="252">
        <f t="shared" si="23"/>
        <v>0</v>
      </c>
      <c r="J54" s="246"/>
      <c r="K54" s="241"/>
      <c r="L54" s="241"/>
      <c r="M54" s="241"/>
      <c r="R54" s="243"/>
      <c r="S54" s="250">
        <f t="shared" si="25"/>
        <v>37</v>
      </c>
      <c r="T54" s="254">
        <f t="shared" si="26"/>
        <v>4</v>
      </c>
      <c r="U54" s="252">
        <f t="shared" si="27"/>
        <v>0</v>
      </c>
      <c r="V54" s="252">
        <f t="shared" si="28"/>
        <v>0</v>
      </c>
      <c r="W54" s="252">
        <f>IF(S54="","-",SUM($V$18:V54))</f>
        <v>0</v>
      </c>
      <c r="X54" s="252">
        <f t="shared" si="29"/>
        <v>0</v>
      </c>
      <c r="Y54" s="252">
        <f>IF(S54="","-",SUM($X$18:X54))</f>
        <v>0</v>
      </c>
      <c r="Z54" s="252">
        <f t="shared" si="24"/>
        <v>0</v>
      </c>
      <c r="AA54" s="246"/>
      <c r="AB54" s="241"/>
      <c r="AC54" s="241"/>
      <c r="AD54" s="241"/>
    </row>
    <row r="55" spans="1:30" x14ac:dyDescent="0.35">
      <c r="A55" s="243"/>
      <c r="B55" s="250">
        <f t="shared" si="30"/>
        <v>38</v>
      </c>
      <c r="C55" s="254">
        <f t="shared" si="17"/>
        <v>4</v>
      </c>
      <c r="D55" s="252">
        <f t="shared" si="18"/>
        <v>0</v>
      </c>
      <c r="E55" s="252">
        <f t="shared" si="19"/>
        <v>0</v>
      </c>
      <c r="F55" s="252">
        <f t="shared" si="20"/>
        <v>0</v>
      </c>
      <c r="G55" s="252">
        <f t="shared" si="21"/>
        <v>0</v>
      </c>
      <c r="H55" s="252">
        <f t="shared" si="22"/>
        <v>0</v>
      </c>
      <c r="I55" s="252">
        <f t="shared" si="23"/>
        <v>0</v>
      </c>
      <c r="J55" s="246"/>
      <c r="K55" s="241"/>
      <c r="L55" s="241"/>
      <c r="M55" s="241"/>
      <c r="R55" s="243"/>
      <c r="S55" s="250">
        <f t="shared" si="25"/>
        <v>38</v>
      </c>
      <c r="T55" s="254">
        <f t="shared" si="26"/>
        <v>4</v>
      </c>
      <c r="U55" s="252">
        <f t="shared" si="27"/>
        <v>0</v>
      </c>
      <c r="V55" s="252">
        <f t="shared" si="28"/>
        <v>0</v>
      </c>
      <c r="W55" s="252">
        <f>IF(S55="","-",SUM($V$18:V55))</f>
        <v>0</v>
      </c>
      <c r="X55" s="252">
        <f t="shared" si="29"/>
        <v>0</v>
      </c>
      <c r="Y55" s="252">
        <f>IF(S55="","-",SUM($X$18:X55))</f>
        <v>0</v>
      </c>
      <c r="Z55" s="252">
        <f t="shared" si="24"/>
        <v>0</v>
      </c>
      <c r="AA55" s="246"/>
      <c r="AB55" s="241"/>
      <c r="AC55" s="241"/>
      <c r="AD55" s="241"/>
    </row>
    <row r="56" spans="1:30" x14ac:dyDescent="0.35">
      <c r="A56" s="243"/>
      <c r="B56" s="250">
        <f t="shared" si="30"/>
        <v>39</v>
      </c>
      <c r="C56" s="254">
        <f t="shared" si="17"/>
        <v>4</v>
      </c>
      <c r="D56" s="252">
        <f t="shared" si="18"/>
        <v>0</v>
      </c>
      <c r="E56" s="252">
        <f t="shared" si="19"/>
        <v>0</v>
      </c>
      <c r="F56" s="252">
        <f t="shared" si="20"/>
        <v>0</v>
      </c>
      <c r="G56" s="252">
        <f t="shared" si="21"/>
        <v>0</v>
      </c>
      <c r="H56" s="252">
        <f t="shared" si="22"/>
        <v>0</v>
      </c>
      <c r="I56" s="252">
        <f t="shared" si="23"/>
        <v>0</v>
      </c>
      <c r="J56" s="246"/>
      <c r="K56" s="241"/>
      <c r="L56" s="241"/>
      <c r="M56" s="241"/>
      <c r="R56" s="243"/>
      <c r="S56" s="250">
        <f t="shared" si="25"/>
        <v>39</v>
      </c>
      <c r="T56" s="254">
        <f t="shared" si="26"/>
        <v>4</v>
      </c>
      <c r="U56" s="252">
        <f t="shared" si="27"/>
        <v>0</v>
      </c>
      <c r="V56" s="252">
        <f t="shared" si="28"/>
        <v>0</v>
      </c>
      <c r="W56" s="252">
        <f>IF(S56="","-",SUM($V$18:V56))</f>
        <v>0</v>
      </c>
      <c r="X56" s="252">
        <f t="shared" si="29"/>
        <v>0</v>
      </c>
      <c r="Y56" s="252">
        <f>IF(S56="","-",SUM($X$18:X56))</f>
        <v>0</v>
      </c>
      <c r="Z56" s="252">
        <f t="shared" si="24"/>
        <v>0</v>
      </c>
      <c r="AA56" s="246"/>
      <c r="AB56" s="241"/>
      <c r="AC56" s="241"/>
      <c r="AD56" s="241"/>
    </row>
    <row r="57" spans="1:30" x14ac:dyDescent="0.35">
      <c r="A57" s="243"/>
      <c r="B57" s="250">
        <f t="shared" si="30"/>
        <v>40</v>
      </c>
      <c r="C57" s="254">
        <f t="shared" si="17"/>
        <v>4</v>
      </c>
      <c r="D57" s="252">
        <f t="shared" si="18"/>
        <v>0</v>
      </c>
      <c r="E57" s="252">
        <f t="shared" si="19"/>
        <v>0</v>
      </c>
      <c r="F57" s="252">
        <f t="shared" si="20"/>
        <v>0</v>
      </c>
      <c r="G57" s="252">
        <f t="shared" si="21"/>
        <v>0</v>
      </c>
      <c r="H57" s="252">
        <f t="shared" si="22"/>
        <v>0</v>
      </c>
      <c r="I57" s="252">
        <f t="shared" si="23"/>
        <v>0</v>
      </c>
      <c r="J57" s="246"/>
      <c r="K57" s="241"/>
      <c r="L57" s="241"/>
      <c r="M57" s="241"/>
      <c r="R57" s="243"/>
      <c r="S57" s="250">
        <f t="shared" si="25"/>
        <v>40</v>
      </c>
      <c r="T57" s="254">
        <f t="shared" si="26"/>
        <v>4</v>
      </c>
      <c r="U57" s="252">
        <f t="shared" si="27"/>
        <v>0</v>
      </c>
      <c r="V57" s="252">
        <f t="shared" si="28"/>
        <v>0</v>
      </c>
      <c r="W57" s="252">
        <f>IF(S57="","-",SUM($V$18:V57))</f>
        <v>0</v>
      </c>
      <c r="X57" s="252">
        <f t="shared" si="29"/>
        <v>0</v>
      </c>
      <c r="Y57" s="252">
        <f>IF(S57="","-",SUM($X$18:X57))</f>
        <v>0</v>
      </c>
      <c r="Z57" s="252">
        <f t="shared" si="24"/>
        <v>0</v>
      </c>
      <c r="AA57" s="246"/>
      <c r="AB57" s="241"/>
      <c r="AC57" s="241"/>
      <c r="AD57" s="241"/>
    </row>
    <row r="58" spans="1:30" x14ac:dyDescent="0.35">
      <c r="A58" s="243"/>
      <c r="B58" s="250">
        <f t="shared" si="30"/>
        <v>41</v>
      </c>
      <c r="C58" s="254">
        <f t="shared" si="17"/>
        <v>4</v>
      </c>
      <c r="D58" s="252">
        <f t="shared" si="18"/>
        <v>0</v>
      </c>
      <c r="E58" s="252">
        <f t="shared" si="19"/>
        <v>0</v>
      </c>
      <c r="F58" s="252">
        <f t="shared" si="20"/>
        <v>0</v>
      </c>
      <c r="G58" s="252">
        <f t="shared" si="21"/>
        <v>0</v>
      </c>
      <c r="H58" s="252">
        <f t="shared" si="22"/>
        <v>0</v>
      </c>
      <c r="I58" s="252">
        <f t="shared" si="23"/>
        <v>0</v>
      </c>
      <c r="J58" s="246"/>
      <c r="K58" s="241"/>
      <c r="L58" s="241"/>
      <c r="M58" s="241"/>
      <c r="R58" s="243"/>
      <c r="S58" s="250">
        <f t="shared" si="25"/>
        <v>41</v>
      </c>
      <c r="T58" s="254">
        <f t="shared" si="26"/>
        <v>4</v>
      </c>
      <c r="U58" s="252">
        <f t="shared" si="27"/>
        <v>0</v>
      </c>
      <c r="V58" s="252">
        <f t="shared" si="28"/>
        <v>0</v>
      </c>
      <c r="W58" s="252">
        <f>IF(S58="","-",SUM($V$18:V58))</f>
        <v>0</v>
      </c>
      <c r="X58" s="252">
        <f t="shared" si="29"/>
        <v>0</v>
      </c>
      <c r="Y58" s="252">
        <f>IF(S58="","-",SUM($X$18:X58))</f>
        <v>0</v>
      </c>
      <c r="Z58" s="252">
        <f t="shared" si="24"/>
        <v>0</v>
      </c>
      <c r="AA58" s="246"/>
      <c r="AB58" s="241"/>
      <c r="AC58" s="241"/>
      <c r="AD58" s="241"/>
    </row>
    <row r="59" spans="1:30" x14ac:dyDescent="0.35">
      <c r="A59" s="243"/>
      <c r="B59" s="250">
        <f t="shared" si="30"/>
        <v>42</v>
      </c>
      <c r="C59" s="254">
        <f t="shared" si="17"/>
        <v>4</v>
      </c>
      <c r="D59" s="252">
        <f t="shared" si="18"/>
        <v>0</v>
      </c>
      <c r="E59" s="252">
        <f t="shared" si="19"/>
        <v>0</v>
      </c>
      <c r="F59" s="252">
        <f t="shared" si="20"/>
        <v>0</v>
      </c>
      <c r="G59" s="252">
        <f t="shared" si="21"/>
        <v>0</v>
      </c>
      <c r="H59" s="252">
        <f t="shared" si="22"/>
        <v>0</v>
      </c>
      <c r="I59" s="252">
        <f t="shared" si="23"/>
        <v>0</v>
      </c>
      <c r="J59" s="246"/>
      <c r="K59" s="241"/>
      <c r="L59" s="241"/>
      <c r="M59" s="241"/>
      <c r="R59" s="243"/>
      <c r="S59" s="250">
        <f t="shared" si="25"/>
        <v>42</v>
      </c>
      <c r="T59" s="254">
        <f t="shared" si="26"/>
        <v>4</v>
      </c>
      <c r="U59" s="252">
        <f t="shared" si="27"/>
        <v>0</v>
      </c>
      <c r="V59" s="252">
        <f t="shared" si="28"/>
        <v>0</v>
      </c>
      <c r="W59" s="252">
        <f>IF(S59="","-",SUM($V$18:V59))</f>
        <v>0</v>
      </c>
      <c r="X59" s="252">
        <f t="shared" si="29"/>
        <v>0</v>
      </c>
      <c r="Y59" s="252">
        <f>IF(S59="","-",SUM($X$18:X59))</f>
        <v>0</v>
      </c>
      <c r="Z59" s="252">
        <f t="shared" si="24"/>
        <v>0</v>
      </c>
      <c r="AA59" s="246"/>
      <c r="AB59" s="241"/>
      <c r="AC59" s="241"/>
      <c r="AD59" s="241"/>
    </row>
    <row r="60" spans="1:30" x14ac:dyDescent="0.35">
      <c r="A60" s="243"/>
      <c r="B60" s="250">
        <f t="shared" si="30"/>
        <v>43</v>
      </c>
      <c r="C60" s="254">
        <f t="shared" si="17"/>
        <v>4</v>
      </c>
      <c r="D60" s="252">
        <f t="shared" si="18"/>
        <v>0</v>
      </c>
      <c r="E60" s="252">
        <f t="shared" si="19"/>
        <v>0</v>
      </c>
      <c r="F60" s="252">
        <f t="shared" si="20"/>
        <v>0</v>
      </c>
      <c r="G60" s="252">
        <f t="shared" si="21"/>
        <v>0</v>
      </c>
      <c r="H60" s="252">
        <f t="shared" si="22"/>
        <v>0</v>
      </c>
      <c r="I60" s="252">
        <f t="shared" si="23"/>
        <v>0</v>
      </c>
      <c r="J60" s="246"/>
      <c r="K60" s="241"/>
      <c r="L60" s="241"/>
      <c r="M60" s="241"/>
      <c r="R60" s="243"/>
      <c r="S60" s="250">
        <f t="shared" si="25"/>
        <v>43</v>
      </c>
      <c r="T60" s="254">
        <f t="shared" si="26"/>
        <v>4</v>
      </c>
      <c r="U60" s="252">
        <f t="shared" si="27"/>
        <v>0</v>
      </c>
      <c r="V60" s="252">
        <f t="shared" si="28"/>
        <v>0</v>
      </c>
      <c r="W60" s="252">
        <f>IF(S60="","-",SUM($V$18:V60))</f>
        <v>0</v>
      </c>
      <c r="X60" s="252">
        <f t="shared" si="29"/>
        <v>0</v>
      </c>
      <c r="Y60" s="252">
        <f>IF(S60="","-",SUM($X$18:X60))</f>
        <v>0</v>
      </c>
      <c r="Z60" s="252">
        <f t="shared" si="24"/>
        <v>0</v>
      </c>
      <c r="AA60" s="246"/>
      <c r="AB60" s="241"/>
      <c r="AC60" s="241"/>
      <c r="AD60" s="241"/>
    </row>
    <row r="61" spans="1:30" x14ac:dyDescent="0.35">
      <c r="A61" s="243"/>
      <c r="B61" s="250">
        <f t="shared" si="30"/>
        <v>44</v>
      </c>
      <c r="C61" s="254">
        <f t="shared" si="17"/>
        <v>4</v>
      </c>
      <c r="D61" s="252">
        <f t="shared" si="18"/>
        <v>0</v>
      </c>
      <c r="E61" s="252">
        <f t="shared" si="19"/>
        <v>0</v>
      </c>
      <c r="F61" s="252">
        <f t="shared" si="20"/>
        <v>0</v>
      </c>
      <c r="G61" s="252">
        <f t="shared" si="21"/>
        <v>0</v>
      </c>
      <c r="H61" s="252">
        <f t="shared" si="22"/>
        <v>0</v>
      </c>
      <c r="I61" s="252">
        <f t="shared" si="23"/>
        <v>0</v>
      </c>
      <c r="J61" s="246"/>
      <c r="K61" s="241"/>
      <c r="L61" s="241"/>
      <c r="M61" s="241"/>
      <c r="R61" s="243"/>
      <c r="S61" s="250">
        <f t="shared" si="25"/>
        <v>44</v>
      </c>
      <c r="T61" s="254">
        <f t="shared" si="26"/>
        <v>4</v>
      </c>
      <c r="U61" s="252">
        <f t="shared" si="27"/>
        <v>0</v>
      </c>
      <c r="V61" s="252">
        <f t="shared" si="28"/>
        <v>0</v>
      </c>
      <c r="W61" s="252">
        <f>IF(S61="","-",SUM($V$18:V61))</f>
        <v>0</v>
      </c>
      <c r="X61" s="252">
        <f t="shared" si="29"/>
        <v>0</v>
      </c>
      <c r="Y61" s="252">
        <f>IF(S61="","-",SUM($X$18:X61))</f>
        <v>0</v>
      </c>
      <c r="Z61" s="252">
        <f t="shared" si="24"/>
        <v>0</v>
      </c>
      <c r="AA61" s="246"/>
      <c r="AB61" s="241"/>
      <c r="AC61" s="241"/>
      <c r="AD61" s="241"/>
    </row>
    <row r="62" spans="1:30" x14ac:dyDescent="0.35">
      <c r="A62" s="243"/>
      <c r="B62" s="250">
        <f t="shared" si="30"/>
        <v>45</v>
      </c>
      <c r="C62" s="254">
        <f t="shared" si="17"/>
        <v>4</v>
      </c>
      <c r="D62" s="252">
        <f t="shared" si="18"/>
        <v>0</v>
      </c>
      <c r="E62" s="252">
        <f t="shared" si="19"/>
        <v>0</v>
      </c>
      <c r="F62" s="252">
        <f t="shared" si="20"/>
        <v>0</v>
      </c>
      <c r="G62" s="252">
        <f t="shared" si="21"/>
        <v>0</v>
      </c>
      <c r="H62" s="252">
        <f t="shared" si="22"/>
        <v>0</v>
      </c>
      <c r="I62" s="252">
        <f t="shared" si="23"/>
        <v>0</v>
      </c>
      <c r="J62" s="246"/>
      <c r="K62" s="241"/>
      <c r="L62" s="241"/>
      <c r="M62" s="241"/>
      <c r="R62" s="243"/>
      <c r="S62" s="250">
        <f t="shared" si="25"/>
        <v>45</v>
      </c>
      <c r="T62" s="254">
        <f t="shared" si="26"/>
        <v>4</v>
      </c>
      <c r="U62" s="252">
        <f t="shared" si="27"/>
        <v>0</v>
      </c>
      <c r="V62" s="252">
        <f t="shared" si="28"/>
        <v>0</v>
      </c>
      <c r="W62" s="252">
        <f>IF(S62="","-",SUM($V$18:V62))</f>
        <v>0</v>
      </c>
      <c r="X62" s="252">
        <f t="shared" si="29"/>
        <v>0</v>
      </c>
      <c r="Y62" s="252">
        <f>IF(S62="","-",SUM($X$18:X62))</f>
        <v>0</v>
      </c>
      <c r="Z62" s="252">
        <f t="shared" si="24"/>
        <v>0</v>
      </c>
      <c r="AA62" s="246"/>
      <c r="AB62" s="241"/>
      <c r="AC62" s="241"/>
      <c r="AD62" s="241"/>
    </row>
    <row r="63" spans="1:30" x14ac:dyDescent="0.35">
      <c r="A63" s="243"/>
      <c r="B63" s="250">
        <f t="shared" si="30"/>
        <v>46</v>
      </c>
      <c r="C63" s="254">
        <f t="shared" si="17"/>
        <v>4</v>
      </c>
      <c r="D63" s="252">
        <f t="shared" si="18"/>
        <v>0</v>
      </c>
      <c r="E63" s="252">
        <f t="shared" si="19"/>
        <v>0</v>
      </c>
      <c r="F63" s="252">
        <f t="shared" si="20"/>
        <v>0</v>
      </c>
      <c r="G63" s="252">
        <f t="shared" si="21"/>
        <v>0</v>
      </c>
      <c r="H63" s="252">
        <f t="shared" si="22"/>
        <v>0</v>
      </c>
      <c r="I63" s="252">
        <f t="shared" si="23"/>
        <v>0</v>
      </c>
      <c r="J63" s="246"/>
      <c r="K63" s="241"/>
      <c r="L63" s="241"/>
      <c r="M63" s="241"/>
      <c r="R63" s="243"/>
      <c r="S63" s="250">
        <f t="shared" si="25"/>
        <v>46</v>
      </c>
      <c r="T63" s="254">
        <f t="shared" si="26"/>
        <v>4</v>
      </c>
      <c r="U63" s="252">
        <f t="shared" si="27"/>
        <v>0</v>
      </c>
      <c r="V63" s="252">
        <f t="shared" si="28"/>
        <v>0</v>
      </c>
      <c r="W63" s="252">
        <f>IF(S63="","-",SUM($V$18:V63))</f>
        <v>0</v>
      </c>
      <c r="X63" s="252">
        <f t="shared" si="29"/>
        <v>0</v>
      </c>
      <c r="Y63" s="252">
        <f>IF(S63="","-",SUM($X$18:X63))</f>
        <v>0</v>
      </c>
      <c r="Z63" s="252">
        <f t="shared" si="24"/>
        <v>0</v>
      </c>
      <c r="AA63" s="246"/>
      <c r="AB63" s="241"/>
      <c r="AC63" s="241"/>
      <c r="AD63" s="241"/>
    </row>
    <row r="64" spans="1:30" x14ac:dyDescent="0.35">
      <c r="A64" s="243"/>
      <c r="B64" s="250">
        <f t="shared" si="30"/>
        <v>47</v>
      </c>
      <c r="C64" s="254">
        <f t="shared" si="17"/>
        <v>4</v>
      </c>
      <c r="D64" s="252">
        <f t="shared" si="18"/>
        <v>0</v>
      </c>
      <c r="E64" s="252">
        <f t="shared" si="19"/>
        <v>0</v>
      </c>
      <c r="F64" s="252">
        <f t="shared" si="20"/>
        <v>0</v>
      </c>
      <c r="G64" s="252">
        <f t="shared" si="21"/>
        <v>0</v>
      </c>
      <c r="H64" s="252">
        <f t="shared" si="22"/>
        <v>0</v>
      </c>
      <c r="I64" s="252">
        <f t="shared" si="23"/>
        <v>0</v>
      </c>
      <c r="J64" s="246"/>
      <c r="K64" s="241"/>
      <c r="L64" s="241"/>
      <c r="M64" s="241"/>
      <c r="R64" s="243"/>
      <c r="S64" s="250">
        <f t="shared" si="25"/>
        <v>47</v>
      </c>
      <c r="T64" s="254">
        <f t="shared" si="26"/>
        <v>4</v>
      </c>
      <c r="U64" s="252">
        <f t="shared" si="27"/>
        <v>0</v>
      </c>
      <c r="V64" s="252">
        <f t="shared" si="28"/>
        <v>0</v>
      </c>
      <c r="W64" s="252">
        <f>IF(S64="","-",SUM($V$18:V64))</f>
        <v>0</v>
      </c>
      <c r="X64" s="252">
        <f t="shared" si="29"/>
        <v>0</v>
      </c>
      <c r="Y64" s="252">
        <f>IF(S64="","-",SUM($X$18:X64))</f>
        <v>0</v>
      </c>
      <c r="Z64" s="252">
        <f t="shared" si="24"/>
        <v>0</v>
      </c>
      <c r="AA64" s="246"/>
      <c r="AB64" s="241"/>
      <c r="AC64" s="241"/>
      <c r="AD64" s="241"/>
    </row>
    <row r="65" spans="1:30" x14ac:dyDescent="0.35">
      <c r="A65" s="243"/>
      <c r="B65" s="654">
        <f t="shared" si="30"/>
        <v>48</v>
      </c>
      <c r="C65" s="655">
        <f t="shared" si="17"/>
        <v>4</v>
      </c>
      <c r="D65" s="656">
        <f t="shared" si="18"/>
        <v>0</v>
      </c>
      <c r="E65" s="656">
        <f t="shared" si="19"/>
        <v>0</v>
      </c>
      <c r="F65" s="656">
        <f t="shared" si="20"/>
        <v>0</v>
      </c>
      <c r="G65" s="656">
        <f t="shared" si="21"/>
        <v>0</v>
      </c>
      <c r="H65" s="656">
        <f t="shared" si="22"/>
        <v>0</v>
      </c>
      <c r="I65" s="656">
        <f t="shared" si="23"/>
        <v>0</v>
      </c>
      <c r="J65" s="242"/>
      <c r="K65" s="241"/>
      <c r="L65" s="241"/>
      <c r="M65" s="241"/>
      <c r="R65" s="243"/>
      <c r="S65" s="654">
        <f t="shared" si="25"/>
        <v>48</v>
      </c>
      <c r="T65" s="655">
        <f t="shared" si="26"/>
        <v>4</v>
      </c>
      <c r="U65" s="656">
        <f t="shared" si="27"/>
        <v>0</v>
      </c>
      <c r="V65" s="656">
        <f t="shared" si="28"/>
        <v>0</v>
      </c>
      <c r="W65" s="656">
        <f>IF(S65="","-",SUM($V$18:V65))</f>
        <v>0</v>
      </c>
      <c r="X65" s="656">
        <f t="shared" si="29"/>
        <v>0</v>
      </c>
      <c r="Y65" s="656">
        <f>IF(S65="","-",SUM($X$18:X65))</f>
        <v>0</v>
      </c>
      <c r="Z65" s="656">
        <f t="shared" si="24"/>
        <v>0</v>
      </c>
      <c r="AA65" s="242"/>
      <c r="AB65" s="241"/>
      <c r="AC65" s="241"/>
      <c r="AD65" s="241"/>
    </row>
    <row r="66" spans="1:30" x14ac:dyDescent="0.35">
      <c r="A66" s="243"/>
      <c r="B66" s="250">
        <f t="shared" si="30"/>
        <v>49</v>
      </c>
      <c r="C66" s="254">
        <f t="shared" si="17"/>
        <v>5</v>
      </c>
      <c r="D66" s="252">
        <f t="shared" si="18"/>
        <v>0</v>
      </c>
      <c r="E66" s="252">
        <f t="shared" si="19"/>
        <v>0</v>
      </c>
      <c r="F66" s="252">
        <f t="shared" si="20"/>
        <v>0</v>
      </c>
      <c r="G66" s="252">
        <f t="shared" si="21"/>
        <v>0</v>
      </c>
      <c r="H66" s="252">
        <f t="shared" si="22"/>
        <v>0</v>
      </c>
      <c r="I66" s="252">
        <f t="shared" si="23"/>
        <v>0</v>
      </c>
      <c r="J66" s="246"/>
      <c r="K66" s="241"/>
      <c r="L66" s="241"/>
      <c r="M66" s="241"/>
      <c r="R66" s="243"/>
      <c r="S66" s="250">
        <f t="shared" si="25"/>
        <v>49</v>
      </c>
      <c r="T66" s="254">
        <f t="shared" si="26"/>
        <v>5</v>
      </c>
      <c r="U66" s="252">
        <f t="shared" si="27"/>
        <v>0</v>
      </c>
      <c r="V66" s="252">
        <f t="shared" si="28"/>
        <v>0</v>
      </c>
      <c r="W66" s="252">
        <f>IF(S66="","-",SUM($V$18:V66))</f>
        <v>0</v>
      </c>
      <c r="X66" s="252">
        <f t="shared" si="29"/>
        <v>0</v>
      </c>
      <c r="Y66" s="252">
        <f>IF(S66="","-",SUM($X$18:X66))</f>
        <v>0</v>
      </c>
      <c r="Z66" s="252">
        <f t="shared" si="24"/>
        <v>0</v>
      </c>
      <c r="AA66" s="246"/>
      <c r="AB66" s="241"/>
      <c r="AC66" s="241"/>
      <c r="AD66" s="241"/>
    </row>
    <row r="67" spans="1:30" x14ac:dyDescent="0.35">
      <c r="A67" s="243"/>
      <c r="B67" s="250">
        <f t="shared" si="30"/>
        <v>50</v>
      </c>
      <c r="C67" s="254">
        <f t="shared" si="17"/>
        <v>5</v>
      </c>
      <c r="D67" s="252">
        <f t="shared" si="18"/>
        <v>0</v>
      </c>
      <c r="E67" s="252">
        <f t="shared" si="19"/>
        <v>0</v>
      </c>
      <c r="F67" s="252">
        <f t="shared" si="20"/>
        <v>0</v>
      </c>
      <c r="G67" s="252">
        <f t="shared" si="21"/>
        <v>0</v>
      </c>
      <c r="H67" s="252">
        <f t="shared" si="22"/>
        <v>0</v>
      </c>
      <c r="I67" s="252">
        <f t="shared" si="23"/>
        <v>0</v>
      </c>
      <c r="J67" s="246"/>
      <c r="K67" s="241"/>
      <c r="L67" s="241"/>
      <c r="M67" s="241"/>
      <c r="R67" s="243"/>
      <c r="S67" s="250">
        <f t="shared" si="25"/>
        <v>50</v>
      </c>
      <c r="T67" s="254">
        <f t="shared" si="26"/>
        <v>5</v>
      </c>
      <c r="U67" s="252">
        <f t="shared" si="27"/>
        <v>0</v>
      </c>
      <c r="V67" s="252">
        <f t="shared" si="28"/>
        <v>0</v>
      </c>
      <c r="W67" s="252">
        <f>IF(S67="","-",SUM($V$18:V67))</f>
        <v>0</v>
      </c>
      <c r="X67" s="252">
        <f t="shared" si="29"/>
        <v>0</v>
      </c>
      <c r="Y67" s="252">
        <f>IF(S67="","-",SUM($X$18:X67))</f>
        <v>0</v>
      </c>
      <c r="Z67" s="252">
        <f t="shared" si="24"/>
        <v>0</v>
      </c>
      <c r="AA67" s="246"/>
      <c r="AB67" s="241"/>
      <c r="AC67" s="241"/>
      <c r="AD67" s="241"/>
    </row>
    <row r="68" spans="1:30" x14ac:dyDescent="0.35">
      <c r="A68" s="243"/>
      <c r="B68" s="250">
        <f t="shared" si="30"/>
        <v>51</v>
      </c>
      <c r="C68" s="254">
        <f t="shared" si="17"/>
        <v>5</v>
      </c>
      <c r="D68" s="252">
        <f t="shared" si="18"/>
        <v>0</v>
      </c>
      <c r="E68" s="252">
        <f t="shared" si="19"/>
        <v>0</v>
      </c>
      <c r="F68" s="252">
        <f t="shared" si="20"/>
        <v>0</v>
      </c>
      <c r="G68" s="252">
        <f t="shared" si="21"/>
        <v>0</v>
      </c>
      <c r="H68" s="252">
        <f t="shared" si="22"/>
        <v>0</v>
      </c>
      <c r="I68" s="252">
        <f t="shared" si="23"/>
        <v>0</v>
      </c>
      <c r="J68" s="246"/>
      <c r="K68" s="241"/>
      <c r="L68" s="241"/>
      <c r="M68" s="241"/>
      <c r="R68" s="243"/>
      <c r="S68" s="250">
        <f t="shared" si="25"/>
        <v>51</v>
      </c>
      <c r="T68" s="254">
        <f t="shared" si="26"/>
        <v>5</v>
      </c>
      <c r="U68" s="252">
        <f t="shared" si="27"/>
        <v>0</v>
      </c>
      <c r="V68" s="252">
        <f t="shared" si="28"/>
        <v>0</v>
      </c>
      <c r="W68" s="252">
        <f>IF(S68="","-",SUM($V$18:V68))</f>
        <v>0</v>
      </c>
      <c r="X68" s="252">
        <f t="shared" si="29"/>
        <v>0</v>
      </c>
      <c r="Y68" s="252">
        <f>IF(S68="","-",SUM($X$18:X68))</f>
        <v>0</v>
      </c>
      <c r="Z68" s="252">
        <f t="shared" si="24"/>
        <v>0</v>
      </c>
      <c r="AA68" s="246"/>
      <c r="AB68" s="241"/>
      <c r="AC68" s="241"/>
      <c r="AD68" s="241"/>
    </row>
    <row r="69" spans="1:30" x14ac:dyDescent="0.35">
      <c r="A69" s="243"/>
      <c r="B69" s="250">
        <f t="shared" si="30"/>
        <v>52</v>
      </c>
      <c r="C69" s="254">
        <f t="shared" si="17"/>
        <v>5</v>
      </c>
      <c r="D69" s="252">
        <f t="shared" si="18"/>
        <v>0</v>
      </c>
      <c r="E69" s="252">
        <f t="shared" si="19"/>
        <v>0</v>
      </c>
      <c r="F69" s="252">
        <f t="shared" si="20"/>
        <v>0</v>
      </c>
      <c r="G69" s="252">
        <f t="shared" si="21"/>
        <v>0</v>
      </c>
      <c r="H69" s="252">
        <f t="shared" si="22"/>
        <v>0</v>
      </c>
      <c r="I69" s="252">
        <f t="shared" si="23"/>
        <v>0</v>
      </c>
      <c r="J69" s="246"/>
      <c r="K69" s="241"/>
      <c r="L69" s="241"/>
      <c r="M69" s="241"/>
      <c r="R69" s="243"/>
      <c r="S69" s="250">
        <f t="shared" si="25"/>
        <v>52</v>
      </c>
      <c r="T69" s="254">
        <f t="shared" si="26"/>
        <v>5</v>
      </c>
      <c r="U69" s="252">
        <f t="shared" si="27"/>
        <v>0</v>
      </c>
      <c r="V69" s="252">
        <f t="shared" si="28"/>
        <v>0</v>
      </c>
      <c r="W69" s="252">
        <f>IF(S69="","-",SUM($V$18:V69))</f>
        <v>0</v>
      </c>
      <c r="X69" s="252">
        <f t="shared" si="29"/>
        <v>0</v>
      </c>
      <c r="Y69" s="252">
        <f>IF(S69="","-",SUM($X$18:X69))</f>
        <v>0</v>
      </c>
      <c r="Z69" s="252">
        <f t="shared" si="24"/>
        <v>0</v>
      </c>
      <c r="AA69" s="246"/>
      <c r="AB69" s="241"/>
      <c r="AC69" s="241"/>
      <c r="AD69" s="241"/>
    </row>
    <row r="70" spans="1:30" x14ac:dyDescent="0.35">
      <c r="A70" s="243"/>
      <c r="B70" s="250">
        <f t="shared" si="30"/>
        <v>53</v>
      </c>
      <c r="C70" s="254">
        <f t="shared" si="17"/>
        <v>5</v>
      </c>
      <c r="D70" s="252">
        <f t="shared" si="18"/>
        <v>0</v>
      </c>
      <c r="E70" s="252">
        <f t="shared" si="19"/>
        <v>0</v>
      </c>
      <c r="F70" s="252">
        <f t="shared" si="20"/>
        <v>0</v>
      </c>
      <c r="G70" s="252">
        <f t="shared" si="21"/>
        <v>0</v>
      </c>
      <c r="H70" s="252">
        <f t="shared" si="22"/>
        <v>0</v>
      </c>
      <c r="I70" s="252">
        <f t="shared" si="23"/>
        <v>0</v>
      </c>
      <c r="J70" s="246"/>
      <c r="K70" s="241"/>
      <c r="L70" s="241"/>
      <c r="M70" s="241"/>
      <c r="R70" s="243"/>
      <c r="S70" s="250">
        <f t="shared" si="25"/>
        <v>53</v>
      </c>
      <c r="T70" s="254">
        <f t="shared" si="26"/>
        <v>5</v>
      </c>
      <c r="U70" s="252">
        <f t="shared" si="27"/>
        <v>0</v>
      </c>
      <c r="V70" s="252">
        <f t="shared" si="28"/>
        <v>0</v>
      </c>
      <c r="W70" s="252">
        <f>IF(S70="","-",SUM($V$18:V70))</f>
        <v>0</v>
      </c>
      <c r="X70" s="252">
        <f t="shared" si="29"/>
        <v>0</v>
      </c>
      <c r="Y70" s="252">
        <f>IF(S70="","-",SUM($X$18:X70))</f>
        <v>0</v>
      </c>
      <c r="Z70" s="252">
        <f t="shared" si="24"/>
        <v>0</v>
      </c>
      <c r="AA70" s="246"/>
      <c r="AB70" s="241"/>
      <c r="AC70" s="241"/>
      <c r="AD70" s="241"/>
    </row>
    <row r="71" spans="1:30" x14ac:dyDescent="0.35">
      <c r="A71" s="243"/>
      <c r="B71" s="250">
        <f t="shared" si="30"/>
        <v>54</v>
      </c>
      <c r="C71" s="254">
        <f t="shared" si="17"/>
        <v>5</v>
      </c>
      <c r="D71" s="252">
        <f t="shared" si="18"/>
        <v>0</v>
      </c>
      <c r="E71" s="252">
        <f t="shared" si="19"/>
        <v>0</v>
      </c>
      <c r="F71" s="252">
        <f t="shared" si="20"/>
        <v>0</v>
      </c>
      <c r="G71" s="252">
        <f t="shared" si="21"/>
        <v>0</v>
      </c>
      <c r="H71" s="252">
        <f t="shared" si="22"/>
        <v>0</v>
      </c>
      <c r="I71" s="252">
        <f t="shared" si="23"/>
        <v>0</v>
      </c>
      <c r="J71" s="246"/>
      <c r="K71" s="241"/>
      <c r="L71" s="241"/>
      <c r="M71" s="241"/>
      <c r="R71" s="243"/>
      <c r="S71" s="250">
        <f t="shared" si="25"/>
        <v>54</v>
      </c>
      <c r="T71" s="254">
        <f t="shared" si="26"/>
        <v>5</v>
      </c>
      <c r="U71" s="252">
        <f t="shared" si="27"/>
        <v>0</v>
      </c>
      <c r="V71" s="252">
        <f t="shared" si="28"/>
        <v>0</v>
      </c>
      <c r="W71" s="252">
        <f>IF(S71="","-",SUM($V$18:V71))</f>
        <v>0</v>
      </c>
      <c r="X71" s="252">
        <f t="shared" si="29"/>
        <v>0</v>
      </c>
      <c r="Y71" s="252">
        <f>IF(S71="","-",SUM($X$18:X71))</f>
        <v>0</v>
      </c>
      <c r="Z71" s="252">
        <f t="shared" si="24"/>
        <v>0</v>
      </c>
      <c r="AA71" s="246"/>
      <c r="AB71" s="241"/>
      <c r="AC71" s="241"/>
      <c r="AD71" s="241"/>
    </row>
    <row r="72" spans="1:30" x14ac:dyDescent="0.35">
      <c r="A72" s="243"/>
      <c r="B72" s="250">
        <f t="shared" si="30"/>
        <v>55</v>
      </c>
      <c r="C72" s="254">
        <f t="shared" si="17"/>
        <v>5</v>
      </c>
      <c r="D72" s="252">
        <f t="shared" si="18"/>
        <v>0</v>
      </c>
      <c r="E72" s="252">
        <f t="shared" si="19"/>
        <v>0</v>
      </c>
      <c r="F72" s="252">
        <f t="shared" si="20"/>
        <v>0</v>
      </c>
      <c r="G72" s="252">
        <f t="shared" si="21"/>
        <v>0</v>
      </c>
      <c r="H72" s="252">
        <f t="shared" si="22"/>
        <v>0</v>
      </c>
      <c r="I72" s="252">
        <f t="shared" si="23"/>
        <v>0</v>
      </c>
      <c r="J72" s="246"/>
      <c r="K72" s="241"/>
      <c r="L72" s="241"/>
      <c r="M72" s="241"/>
      <c r="R72" s="243"/>
      <c r="S72" s="250">
        <f t="shared" si="25"/>
        <v>55</v>
      </c>
      <c r="T72" s="254">
        <f t="shared" si="26"/>
        <v>5</v>
      </c>
      <c r="U72" s="252">
        <f t="shared" si="27"/>
        <v>0</v>
      </c>
      <c r="V72" s="252">
        <f t="shared" si="28"/>
        <v>0</v>
      </c>
      <c r="W72" s="252">
        <f>IF(S72="","-",SUM($V$18:V72))</f>
        <v>0</v>
      </c>
      <c r="X72" s="252">
        <f t="shared" si="29"/>
        <v>0</v>
      </c>
      <c r="Y72" s="252">
        <f>IF(S72="","-",SUM($X$18:X72))</f>
        <v>0</v>
      </c>
      <c r="Z72" s="252">
        <f t="shared" si="24"/>
        <v>0</v>
      </c>
      <c r="AA72" s="246"/>
      <c r="AB72" s="241"/>
      <c r="AC72" s="241"/>
      <c r="AD72" s="241"/>
    </row>
    <row r="73" spans="1:30" x14ac:dyDescent="0.35">
      <c r="A73" s="243"/>
      <c r="B73" s="250">
        <f t="shared" si="30"/>
        <v>56</v>
      </c>
      <c r="C73" s="254">
        <f t="shared" si="17"/>
        <v>5</v>
      </c>
      <c r="D73" s="252">
        <f t="shared" si="18"/>
        <v>0</v>
      </c>
      <c r="E73" s="252">
        <f t="shared" si="19"/>
        <v>0</v>
      </c>
      <c r="F73" s="252">
        <f t="shared" si="20"/>
        <v>0</v>
      </c>
      <c r="G73" s="252">
        <f t="shared" si="21"/>
        <v>0</v>
      </c>
      <c r="H73" s="252">
        <f t="shared" si="22"/>
        <v>0</v>
      </c>
      <c r="I73" s="252">
        <f t="shared" si="23"/>
        <v>0</v>
      </c>
      <c r="J73" s="246"/>
      <c r="K73" s="241"/>
      <c r="L73" s="241"/>
      <c r="M73" s="241"/>
      <c r="R73" s="243"/>
      <c r="S73" s="250">
        <f t="shared" si="25"/>
        <v>56</v>
      </c>
      <c r="T73" s="254">
        <f t="shared" si="26"/>
        <v>5</v>
      </c>
      <c r="U73" s="252">
        <f t="shared" si="27"/>
        <v>0</v>
      </c>
      <c r="V73" s="252">
        <f t="shared" si="28"/>
        <v>0</v>
      </c>
      <c r="W73" s="252">
        <f>IF(S73="","-",SUM($V$18:V73))</f>
        <v>0</v>
      </c>
      <c r="X73" s="252">
        <f t="shared" si="29"/>
        <v>0</v>
      </c>
      <c r="Y73" s="252">
        <f>IF(S73="","-",SUM($X$18:X73))</f>
        <v>0</v>
      </c>
      <c r="Z73" s="252">
        <f t="shared" si="24"/>
        <v>0</v>
      </c>
      <c r="AA73" s="246"/>
      <c r="AB73" s="241"/>
      <c r="AC73" s="241"/>
      <c r="AD73" s="241"/>
    </row>
    <row r="74" spans="1:30" x14ac:dyDescent="0.35">
      <c r="A74" s="243"/>
      <c r="B74" s="250">
        <f t="shared" si="30"/>
        <v>57</v>
      </c>
      <c r="C74" s="254">
        <f t="shared" si="17"/>
        <v>5</v>
      </c>
      <c r="D74" s="252">
        <f t="shared" si="18"/>
        <v>0</v>
      </c>
      <c r="E74" s="252">
        <f t="shared" si="19"/>
        <v>0</v>
      </c>
      <c r="F74" s="252">
        <f t="shared" si="20"/>
        <v>0</v>
      </c>
      <c r="G74" s="252">
        <f t="shared" si="21"/>
        <v>0</v>
      </c>
      <c r="H74" s="252">
        <f t="shared" si="22"/>
        <v>0</v>
      </c>
      <c r="I74" s="252">
        <f t="shared" si="23"/>
        <v>0</v>
      </c>
      <c r="J74" s="246"/>
      <c r="K74" s="241"/>
      <c r="L74" s="241"/>
      <c r="M74" s="241"/>
      <c r="R74" s="243"/>
      <c r="S74" s="250">
        <f t="shared" si="25"/>
        <v>57</v>
      </c>
      <c r="T74" s="254">
        <f t="shared" si="26"/>
        <v>5</v>
      </c>
      <c r="U74" s="252">
        <f t="shared" si="27"/>
        <v>0</v>
      </c>
      <c r="V74" s="252">
        <f t="shared" si="28"/>
        <v>0</v>
      </c>
      <c r="W74" s="252">
        <f>IF(S74="","-",SUM($V$18:V74))</f>
        <v>0</v>
      </c>
      <c r="X74" s="252">
        <f t="shared" si="29"/>
        <v>0</v>
      </c>
      <c r="Y74" s="252">
        <f>IF(S74="","-",SUM($X$18:X74))</f>
        <v>0</v>
      </c>
      <c r="Z74" s="252">
        <f t="shared" si="24"/>
        <v>0</v>
      </c>
      <c r="AA74" s="246"/>
      <c r="AB74" s="241"/>
      <c r="AC74" s="241"/>
      <c r="AD74" s="241"/>
    </row>
    <row r="75" spans="1:30" x14ac:dyDescent="0.35">
      <c r="A75" s="243"/>
      <c r="B75" s="250">
        <f t="shared" si="30"/>
        <v>58</v>
      </c>
      <c r="C75" s="254">
        <f t="shared" si="17"/>
        <v>5</v>
      </c>
      <c r="D75" s="252">
        <f t="shared" si="18"/>
        <v>0</v>
      </c>
      <c r="E75" s="252">
        <f t="shared" si="19"/>
        <v>0</v>
      </c>
      <c r="F75" s="252">
        <f t="shared" si="20"/>
        <v>0</v>
      </c>
      <c r="G75" s="252">
        <f t="shared" si="21"/>
        <v>0</v>
      </c>
      <c r="H75" s="252">
        <f t="shared" si="22"/>
        <v>0</v>
      </c>
      <c r="I75" s="252">
        <f t="shared" si="23"/>
        <v>0</v>
      </c>
      <c r="J75" s="246"/>
      <c r="K75" s="241"/>
      <c r="L75" s="241"/>
      <c r="M75" s="241"/>
      <c r="R75" s="243"/>
      <c r="S75" s="250">
        <f t="shared" si="25"/>
        <v>58</v>
      </c>
      <c r="T75" s="254">
        <f t="shared" si="26"/>
        <v>5</v>
      </c>
      <c r="U75" s="252">
        <f t="shared" si="27"/>
        <v>0</v>
      </c>
      <c r="V75" s="252">
        <f t="shared" si="28"/>
        <v>0</v>
      </c>
      <c r="W75" s="252">
        <f>IF(S75="","-",SUM($V$18:V75))</f>
        <v>0</v>
      </c>
      <c r="X75" s="252">
        <f t="shared" si="29"/>
        <v>0</v>
      </c>
      <c r="Y75" s="252">
        <f>IF(S75="","-",SUM($X$18:X75))</f>
        <v>0</v>
      </c>
      <c r="Z75" s="252">
        <f t="shared" si="24"/>
        <v>0</v>
      </c>
      <c r="AA75" s="246"/>
      <c r="AB75" s="241"/>
      <c r="AC75" s="241"/>
      <c r="AD75" s="241"/>
    </row>
    <row r="76" spans="1:30" x14ac:dyDescent="0.35">
      <c r="A76" s="243"/>
      <c r="B76" s="250">
        <f t="shared" si="30"/>
        <v>59</v>
      </c>
      <c r="C76" s="254">
        <f t="shared" si="17"/>
        <v>5</v>
      </c>
      <c r="D76" s="252">
        <f t="shared" si="18"/>
        <v>0</v>
      </c>
      <c r="E76" s="252">
        <f t="shared" si="19"/>
        <v>0</v>
      </c>
      <c r="F76" s="252">
        <f t="shared" si="20"/>
        <v>0</v>
      </c>
      <c r="G76" s="252">
        <f t="shared" si="21"/>
        <v>0</v>
      </c>
      <c r="H76" s="252">
        <f t="shared" si="22"/>
        <v>0</v>
      </c>
      <c r="I76" s="252">
        <f t="shared" si="23"/>
        <v>0</v>
      </c>
      <c r="J76" s="246"/>
      <c r="K76" s="241"/>
      <c r="L76" s="241"/>
      <c r="M76" s="241"/>
      <c r="R76" s="243"/>
      <c r="S76" s="250">
        <f t="shared" si="25"/>
        <v>59</v>
      </c>
      <c r="T76" s="254">
        <f t="shared" si="26"/>
        <v>5</v>
      </c>
      <c r="U76" s="252">
        <f t="shared" si="27"/>
        <v>0</v>
      </c>
      <c r="V76" s="252">
        <f t="shared" si="28"/>
        <v>0</v>
      </c>
      <c r="W76" s="252">
        <f>IF(S76="","-",SUM($V$18:V76))</f>
        <v>0</v>
      </c>
      <c r="X76" s="252">
        <f t="shared" si="29"/>
        <v>0</v>
      </c>
      <c r="Y76" s="252">
        <f>IF(S76="","-",SUM($X$18:X76))</f>
        <v>0</v>
      </c>
      <c r="Z76" s="252">
        <f t="shared" si="24"/>
        <v>0</v>
      </c>
      <c r="AA76" s="246"/>
      <c r="AB76" s="241"/>
      <c r="AC76" s="241"/>
      <c r="AD76" s="241"/>
    </row>
    <row r="77" spans="1:30" x14ac:dyDescent="0.35">
      <c r="A77" s="243"/>
      <c r="B77" s="654">
        <f t="shared" si="30"/>
        <v>60</v>
      </c>
      <c r="C77" s="655">
        <f t="shared" si="17"/>
        <v>5</v>
      </c>
      <c r="D77" s="656">
        <f t="shared" si="18"/>
        <v>0</v>
      </c>
      <c r="E77" s="656">
        <f t="shared" si="19"/>
        <v>0</v>
      </c>
      <c r="F77" s="656">
        <f t="shared" si="20"/>
        <v>0</v>
      </c>
      <c r="G77" s="656">
        <f t="shared" si="21"/>
        <v>0</v>
      </c>
      <c r="H77" s="656">
        <f t="shared" si="22"/>
        <v>0</v>
      </c>
      <c r="I77" s="656">
        <f t="shared" si="23"/>
        <v>0</v>
      </c>
      <c r="J77" s="242"/>
      <c r="K77" s="241"/>
      <c r="L77" s="241"/>
      <c r="M77" s="241"/>
      <c r="R77" s="243"/>
      <c r="S77" s="654">
        <f t="shared" si="25"/>
        <v>60</v>
      </c>
      <c r="T77" s="655">
        <f t="shared" si="26"/>
        <v>5</v>
      </c>
      <c r="U77" s="656">
        <f t="shared" si="27"/>
        <v>0</v>
      </c>
      <c r="V77" s="656">
        <f t="shared" si="28"/>
        <v>0</v>
      </c>
      <c r="W77" s="656">
        <f>IF(S77="","-",SUM($V$18:V77))</f>
        <v>0</v>
      </c>
      <c r="X77" s="656">
        <f t="shared" si="29"/>
        <v>0</v>
      </c>
      <c r="Y77" s="656">
        <f>IF(S77="","-",SUM($X$18:X77))</f>
        <v>0</v>
      </c>
      <c r="Z77" s="656">
        <f t="shared" si="24"/>
        <v>0</v>
      </c>
      <c r="AA77" s="242"/>
      <c r="AB77" s="241"/>
      <c r="AC77" s="241"/>
      <c r="AD77" s="241"/>
    </row>
    <row r="78" spans="1:30" x14ac:dyDescent="0.35">
      <c r="A78" s="243"/>
      <c r="B78" s="250">
        <f t="shared" si="30"/>
        <v>61</v>
      </c>
      <c r="C78" s="254">
        <f t="shared" si="17"/>
        <v>6</v>
      </c>
      <c r="D78" s="252">
        <f t="shared" si="18"/>
        <v>0</v>
      </c>
      <c r="E78" s="252">
        <f t="shared" si="19"/>
        <v>0</v>
      </c>
      <c r="F78" s="252">
        <f t="shared" si="20"/>
        <v>0</v>
      </c>
      <c r="G78" s="252">
        <f t="shared" si="21"/>
        <v>0</v>
      </c>
      <c r="H78" s="252">
        <f t="shared" si="22"/>
        <v>0</v>
      </c>
      <c r="I78" s="252">
        <f t="shared" si="23"/>
        <v>0</v>
      </c>
      <c r="J78" s="246"/>
      <c r="K78" s="241"/>
      <c r="L78" s="241"/>
      <c r="M78" s="241"/>
      <c r="R78" s="243"/>
      <c r="S78" s="250">
        <f t="shared" si="25"/>
        <v>61</v>
      </c>
      <c r="T78" s="254">
        <f t="shared" si="26"/>
        <v>6</v>
      </c>
      <c r="U78" s="252">
        <f t="shared" si="27"/>
        <v>0</v>
      </c>
      <c r="V78" s="252">
        <f t="shared" si="28"/>
        <v>0</v>
      </c>
      <c r="W78" s="252">
        <f>IF(S78="","-",SUM($V$18:V78))</f>
        <v>0</v>
      </c>
      <c r="X78" s="252">
        <f t="shared" si="29"/>
        <v>0</v>
      </c>
      <c r="Y78" s="252">
        <f>IF(S78="","-",SUM($X$18:X78))</f>
        <v>0</v>
      </c>
      <c r="Z78" s="252">
        <f t="shared" si="24"/>
        <v>0</v>
      </c>
      <c r="AA78" s="246"/>
      <c r="AB78" s="241"/>
      <c r="AC78" s="241"/>
      <c r="AD78" s="241"/>
    </row>
    <row r="79" spans="1:30" x14ac:dyDescent="0.35">
      <c r="A79" s="243"/>
      <c r="B79" s="250">
        <f t="shared" si="30"/>
        <v>62</v>
      </c>
      <c r="C79" s="254">
        <f t="shared" si="17"/>
        <v>6</v>
      </c>
      <c r="D79" s="252">
        <f t="shared" si="18"/>
        <v>0</v>
      </c>
      <c r="E79" s="252">
        <f t="shared" si="19"/>
        <v>0</v>
      </c>
      <c r="F79" s="252">
        <f t="shared" si="20"/>
        <v>0</v>
      </c>
      <c r="G79" s="252">
        <f t="shared" si="21"/>
        <v>0</v>
      </c>
      <c r="H79" s="252">
        <f t="shared" si="22"/>
        <v>0</v>
      </c>
      <c r="I79" s="252">
        <f t="shared" si="23"/>
        <v>0</v>
      </c>
      <c r="J79" s="246"/>
      <c r="K79" s="241"/>
      <c r="L79" s="241"/>
      <c r="M79" s="241"/>
      <c r="R79" s="243"/>
      <c r="S79" s="250">
        <f t="shared" si="25"/>
        <v>62</v>
      </c>
      <c r="T79" s="254">
        <f t="shared" si="26"/>
        <v>6</v>
      </c>
      <c r="U79" s="252">
        <f t="shared" si="27"/>
        <v>0</v>
      </c>
      <c r="V79" s="252">
        <f t="shared" si="28"/>
        <v>0</v>
      </c>
      <c r="W79" s="252">
        <f>IF(S79="","-",SUM($V$18:V79))</f>
        <v>0</v>
      </c>
      <c r="X79" s="252">
        <f t="shared" si="29"/>
        <v>0</v>
      </c>
      <c r="Y79" s="252">
        <f>IF(S79="","-",SUM($X$18:X79))</f>
        <v>0</v>
      </c>
      <c r="Z79" s="252">
        <f t="shared" si="24"/>
        <v>0</v>
      </c>
      <c r="AA79" s="246"/>
      <c r="AB79" s="241"/>
      <c r="AC79" s="241"/>
      <c r="AD79" s="241"/>
    </row>
    <row r="80" spans="1:30" x14ac:dyDescent="0.35">
      <c r="A80" s="243"/>
      <c r="B80" s="250">
        <f t="shared" si="30"/>
        <v>63</v>
      </c>
      <c r="C80" s="254">
        <f t="shared" si="17"/>
        <v>6</v>
      </c>
      <c r="D80" s="252">
        <f t="shared" si="18"/>
        <v>0</v>
      </c>
      <c r="E80" s="252">
        <f t="shared" si="19"/>
        <v>0</v>
      </c>
      <c r="F80" s="252">
        <f t="shared" si="20"/>
        <v>0</v>
      </c>
      <c r="G80" s="252">
        <f t="shared" si="21"/>
        <v>0</v>
      </c>
      <c r="H80" s="252">
        <f t="shared" si="22"/>
        <v>0</v>
      </c>
      <c r="I80" s="252">
        <f t="shared" si="23"/>
        <v>0</v>
      </c>
      <c r="J80" s="246"/>
      <c r="K80" s="241"/>
      <c r="L80" s="241"/>
      <c r="M80" s="241"/>
      <c r="R80" s="243"/>
      <c r="S80" s="250">
        <f t="shared" si="25"/>
        <v>63</v>
      </c>
      <c r="T80" s="254">
        <f t="shared" si="26"/>
        <v>6</v>
      </c>
      <c r="U80" s="252">
        <f t="shared" si="27"/>
        <v>0</v>
      </c>
      <c r="V80" s="252">
        <f t="shared" si="28"/>
        <v>0</v>
      </c>
      <c r="W80" s="252">
        <f>IF(S80="","-",SUM($V$18:V80))</f>
        <v>0</v>
      </c>
      <c r="X80" s="252">
        <f t="shared" si="29"/>
        <v>0</v>
      </c>
      <c r="Y80" s="252">
        <f>IF(S80="","-",SUM($X$18:X80))</f>
        <v>0</v>
      </c>
      <c r="Z80" s="252">
        <f t="shared" si="24"/>
        <v>0</v>
      </c>
      <c r="AA80" s="246"/>
      <c r="AB80" s="241"/>
      <c r="AC80" s="241"/>
      <c r="AD80" s="241"/>
    </row>
    <row r="81" spans="1:30" x14ac:dyDescent="0.35">
      <c r="A81" s="243"/>
      <c r="B81" s="250">
        <f t="shared" si="30"/>
        <v>64</v>
      </c>
      <c r="C81" s="254">
        <f t="shared" si="17"/>
        <v>6</v>
      </c>
      <c r="D81" s="252">
        <f t="shared" si="18"/>
        <v>0</v>
      </c>
      <c r="E81" s="252">
        <f t="shared" si="19"/>
        <v>0</v>
      </c>
      <c r="F81" s="252">
        <f t="shared" si="20"/>
        <v>0</v>
      </c>
      <c r="G81" s="252">
        <f t="shared" si="21"/>
        <v>0</v>
      </c>
      <c r="H81" s="252">
        <f t="shared" si="22"/>
        <v>0</v>
      </c>
      <c r="I81" s="252">
        <f t="shared" si="23"/>
        <v>0</v>
      </c>
      <c r="J81" s="246"/>
      <c r="K81" s="241"/>
      <c r="L81" s="241"/>
      <c r="M81" s="241"/>
      <c r="R81" s="243"/>
      <c r="S81" s="250">
        <f t="shared" si="25"/>
        <v>64</v>
      </c>
      <c r="T81" s="254">
        <f t="shared" si="26"/>
        <v>6</v>
      </c>
      <c r="U81" s="252">
        <f t="shared" si="27"/>
        <v>0</v>
      </c>
      <c r="V81" s="252">
        <f t="shared" si="28"/>
        <v>0</v>
      </c>
      <c r="W81" s="252">
        <f>IF(S81="","-",SUM($V$18:V81))</f>
        <v>0</v>
      </c>
      <c r="X81" s="252">
        <f t="shared" si="29"/>
        <v>0</v>
      </c>
      <c r="Y81" s="252">
        <f>IF(S81="","-",SUM($X$18:X81))</f>
        <v>0</v>
      </c>
      <c r="Z81" s="252">
        <f t="shared" si="24"/>
        <v>0</v>
      </c>
      <c r="AA81" s="246"/>
      <c r="AB81" s="241"/>
      <c r="AC81" s="241"/>
      <c r="AD81" s="241"/>
    </row>
    <row r="82" spans="1:30" x14ac:dyDescent="0.35">
      <c r="A82" s="243"/>
      <c r="B82" s="250">
        <f t="shared" si="30"/>
        <v>65</v>
      </c>
      <c r="C82" s="254">
        <f t="shared" si="17"/>
        <v>6</v>
      </c>
      <c r="D82" s="252">
        <f t="shared" si="18"/>
        <v>0</v>
      </c>
      <c r="E82" s="252">
        <f t="shared" si="19"/>
        <v>0</v>
      </c>
      <c r="F82" s="252">
        <f t="shared" si="20"/>
        <v>0</v>
      </c>
      <c r="G82" s="252">
        <f t="shared" si="21"/>
        <v>0</v>
      </c>
      <c r="H82" s="252">
        <f t="shared" si="22"/>
        <v>0</v>
      </c>
      <c r="I82" s="252">
        <f t="shared" ref="I82:I137" si="31">IF(B82="","-",I81-G82)</f>
        <v>0</v>
      </c>
      <c r="J82" s="246"/>
      <c r="K82" s="241"/>
      <c r="L82" s="241"/>
      <c r="M82" s="241"/>
      <c r="R82" s="243"/>
      <c r="S82" s="250">
        <f t="shared" si="25"/>
        <v>65</v>
      </c>
      <c r="T82" s="254">
        <f t="shared" si="26"/>
        <v>6</v>
      </c>
      <c r="U82" s="252">
        <f t="shared" si="27"/>
        <v>0</v>
      </c>
      <c r="V82" s="252">
        <f t="shared" si="28"/>
        <v>0</v>
      </c>
      <c r="W82" s="252">
        <f>IF(S82="","-",SUM($V$18:V82))</f>
        <v>0</v>
      </c>
      <c r="X82" s="252">
        <f t="shared" si="29"/>
        <v>0</v>
      </c>
      <c r="Y82" s="252">
        <f>IF(S82="","-",SUM($X$18:X82))</f>
        <v>0</v>
      </c>
      <c r="Z82" s="252">
        <f t="shared" ref="Z82:Z137" si="32">IF(S82="","-",Z81-X82)</f>
        <v>0</v>
      </c>
      <c r="AA82" s="246"/>
      <c r="AB82" s="241"/>
      <c r="AC82" s="241"/>
      <c r="AD82" s="241"/>
    </row>
    <row r="83" spans="1:30" x14ac:dyDescent="0.35">
      <c r="A83" s="243"/>
      <c r="B83" s="250">
        <f t="shared" si="30"/>
        <v>66</v>
      </c>
      <c r="C83" s="254">
        <f t="shared" si="17"/>
        <v>6</v>
      </c>
      <c r="D83" s="252">
        <f t="shared" si="18"/>
        <v>0</v>
      </c>
      <c r="E83" s="252">
        <f t="shared" si="19"/>
        <v>0</v>
      </c>
      <c r="F83" s="252">
        <f t="shared" si="20"/>
        <v>0</v>
      </c>
      <c r="G83" s="252">
        <f t="shared" si="21"/>
        <v>0</v>
      </c>
      <c r="H83" s="252">
        <f t="shared" si="22"/>
        <v>0</v>
      </c>
      <c r="I83" s="252">
        <f t="shared" si="31"/>
        <v>0</v>
      </c>
      <c r="J83" s="246"/>
      <c r="K83" s="241"/>
      <c r="L83" s="241"/>
      <c r="M83" s="241"/>
      <c r="R83" s="243"/>
      <c r="S83" s="250">
        <f t="shared" ref="S83:S137" si="33">IF(S82&gt;=$U$5*12+$U$6,"",S82+1)</f>
        <v>66</v>
      </c>
      <c r="T83" s="254">
        <f t="shared" ref="T83:T137" si="34">ROUNDUP(S83/12,0)+$U$2</f>
        <v>6</v>
      </c>
      <c r="U83" s="252">
        <f t="shared" ref="U83:U137" si="35">IF(S83="","-",IF(S83&lt;=$U$6,V83,  $U$7))</f>
        <v>0</v>
      </c>
      <c r="V83" s="252">
        <f t="shared" ref="V83:V137" si="36">IF(S83="","-",$U$4/12*Z82)</f>
        <v>0</v>
      </c>
      <c r="W83" s="252">
        <f>IF(S83="","-",SUM($V$18:V83))</f>
        <v>0</v>
      </c>
      <c r="X83" s="252">
        <f t="shared" si="29"/>
        <v>0</v>
      </c>
      <c r="Y83" s="252">
        <f>IF(S83="","-",SUM($X$18:X83))</f>
        <v>0</v>
      </c>
      <c r="Z83" s="252">
        <f t="shared" si="32"/>
        <v>0</v>
      </c>
      <c r="AA83" s="246"/>
      <c r="AB83" s="241"/>
      <c r="AC83" s="241"/>
      <c r="AD83" s="241"/>
    </row>
    <row r="84" spans="1:30" x14ac:dyDescent="0.35">
      <c r="A84" s="243"/>
      <c r="B84" s="250">
        <f t="shared" si="30"/>
        <v>67</v>
      </c>
      <c r="C84" s="254">
        <f t="shared" si="17"/>
        <v>6</v>
      </c>
      <c r="D84" s="252">
        <f t="shared" si="18"/>
        <v>0</v>
      </c>
      <c r="E84" s="252">
        <f t="shared" si="19"/>
        <v>0</v>
      </c>
      <c r="F84" s="252">
        <f t="shared" si="20"/>
        <v>0</v>
      </c>
      <c r="G84" s="252">
        <f t="shared" si="21"/>
        <v>0</v>
      </c>
      <c r="H84" s="252">
        <f t="shared" si="22"/>
        <v>0</v>
      </c>
      <c r="I84" s="252">
        <f t="shared" si="31"/>
        <v>0</v>
      </c>
      <c r="J84" s="246"/>
      <c r="K84" s="241"/>
      <c r="L84" s="241"/>
      <c r="M84" s="241"/>
      <c r="R84" s="243"/>
      <c r="S84" s="250">
        <f t="shared" si="33"/>
        <v>67</v>
      </c>
      <c r="T84" s="254">
        <f t="shared" si="34"/>
        <v>6</v>
      </c>
      <c r="U84" s="252">
        <f t="shared" si="35"/>
        <v>0</v>
      </c>
      <c r="V84" s="252">
        <f t="shared" si="36"/>
        <v>0</v>
      </c>
      <c r="W84" s="252">
        <f>IF(S84="","-",SUM($V$18:V84))</f>
        <v>0</v>
      </c>
      <c r="X84" s="252">
        <f t="shared" si="29"/>
        <v>0</v>
      </c>
      <c r="Y84" s="252">
        <f>IF(S84="","-",SUM($X$18:X84))</f>
        <v>0</v>
      </c>
      <c r="Z84" s="252">
        <f t="shared" si="32"/>
        <v>0</v>
      </c>
      <c r="AA84" s="246"/>
      <c r="AB84" s="241"/>
      <c r="AC84" s="241"/>
      <c r="AD84" s="241"/>
    </row>
    <row r="85" spans="1:30" x14ac:dyDescent="0.35">
      <c r="A85" s="243"/>
      <c r="B85" s="250">
        <f t="shared" si="30"/>
        <v>68</v>
      </c>
      <c r="C85" s="254">
        <f t="shared" si="17"/>
        <v>6</v>
      </c>
      <c r="D85" s="252">
        <f t="shared" si="18"/>
        <v>0</v>
      </c>
      <c r="E85" s="252">
        <f t="shared" si="19"/>
        <v>0</v>
      </c>
      <c r="F85" s="252">
        <f t="shared" si="20"/>
        <v>0</v>
      </c>
      <c r="G85" s="252">
        <f t="shared" si="21"/>
        <v>0</v>
      </c>
      <c r="H85" s="252">
        <f t="shared" si="22"/>
        <v>0</v>
      </c>
      <c r="I85" s="252">
        <f t="shared" si="31"/>
        <v>0</v>
      </c>
      <c r="J85" s="246"/>
      <c r="K85" s="241"/>
      <c r="L85" s="241"/>
      <c r="M85" s="241"/>
      <c r="R85" s="243"/>
      <c r="S85" s="250">
        <f t="shared" si="33"/>
        <v>68</v>
      </c>
      <c r="T85" s="254">
        <f t="shared" si="34"/>
        <v>6</v>
      </c>
      <c r="U85" s="252">
        <f t="shared" si="35"/>
        <v>0</v>
      </c>
      <c r="V85" s="252">
        <f t="shared" si="36"/>
        <v>0</v>
      </c>
      <c r="W85" s="252">
        <f>IF(S85="","-",SUM($V$18:V85))</f>
        <v>0</v>
      </c>
      <c r="X85" s="252">
        <f t="shared" si="29"/>
        <v>0</v>
      </c>
      <c r="Y85" s="252">
        <f>IF(S85="","-",SUM($X$18:X85))</f>
        <v>0</v>
      </c>
      <c r="Z85" s="252">
        <f t="shared" si="32"/>
        <v>0</v>
      </c>
      <c r="AA85" s="246"/>
      <c r="AB85" s="241"/>
      <c r="AC85" s="241"/>
      <c r="AD85" s="241"/>
    </row>
    <row r="86" spans="1:30" x14ac:dyDescent="0.35">
      <c r="A86" s="243"/>
      <c r="B86" s="250">
        <f t="shared" si="30"/>
        <v>69</v>
      </c>
      <c r="C86" s="254">
        <f t="shared" si="17"/>
        <v>6</v>
      </c>
      <c r="D86" s="252">
        <f t="shared" si="18"/>
        <v>0</v>
      </c>
      <c r="E86" s="252">
        <f t="shared" si="19"/>
        <v>0</v>
      </c>
      <c r="F86" s="252">
        <f t="shared" si="20"/>
        <v>0</v>
      </c>
      <c r="G86" s="252">
        <f t="shared" si="21"/>
        <v>0</v>
      </c>
      <c r="H86" s="252">
        <f t="shared" si="22"/>
        <v>0</v>
      </c>
      <c r="I86" s="252">
        <f t="shared" si="31"/>
        <v>0</v>
      </c>
      <c r="J86" s="246"/>
      <c r="K86" s="241"/>
      <c r="L86" s="241"/>
      <c r="M86" s="241"/>
      <c r="R86" s="243"/>
      <c r="S86" s="250">
        <f t="shared" si="33"/>
        <v>69</v>
      </c>
      <c r="T86" s="254">
        <f t="shared" si="34"/>
        <v>6</v>
      </c>
      <c r="U86" s="252">
        <f t="shared" si="35"/>
        <v>0</v>
      </c>
      <c r="V86" s="252">
        <f t="shared" si="36"/>
        <v>0</v>
      </c>
      <c r="W86" s="252">
        <f>IF(S86="","-",SUM($V$18:V86))</f>
        <v>0</v>
      </c>
      <c r="X86" s="252">
        <f t="shared" si="29"/>
        <v>0</v>
      </c>
      <c r="Y86" s="252">
        <f>IF(S86="","-",SUM($X$18:X86))</f>
        <v>0</v>
      </c>
      <c r="Z86" s="252">
        <f t="shared" si="32"/>
        <v>0</v>
      </c>
      <c r="AA86" s="246"/>
      <c r="AB86" s="241"/>
      <c r="AC86" s="241"/>
      <c r="AD86" s="241"/>
    </row>
    <row r="87" spans="1:30" x14ac:dyDescent="0.35">
      <c r="A87" s="243"/>
      <c r="B87" s="250">
        <f t="shared" si="30"/>
        <v>70</v>
      </c>
      <c r="C87" s="254">
        <f t="shared" si="17"/>
        <v>6</v>
      </c>
      <c r="D87" s="252">
        <f t="shared" si="18"/>
        <v>0</v>
      </c>
      <c r="E87" s="252">
        <f t="shared" si="19"/>
        <v>0</v>
      </c>
      <c r="F87" s="252">
        <f t="shared" si="20"/>
        <v>0</v>
      </c>
      <c r="G87" s="252">
        <f t="shared" si="21"/>
        <v>0</v>
      </c>
      <c r="H87" s="252">
        <f t="shared" si="22"/>
        <v>0</v>
      </c>
      <c r="I87" s="252">
        <f t="shared" si="31"/>
        <v>0</v>
      </c>
      <c r="J87" s="246"/>
      <c r="K87" s="241"/>
      <c r="L87" s="241"/>
      <c r="M87" s="241"/>
      <c r="R87" s="243"/>
      <c r="S87" s="250">
        <f t="shared" si="33"/>
        <v>70</v>
      </c>
      <c r="T87" s="254">
        <f t="shared" si="34"/>
        <v>6</v>
      </c>
      <c r="U87" s="252">
        <f t="shared" si="35"/>
        <v>0</v>
      </c>
      <c r="V87" s="252">
        <f t="shared" si="36"/>
        <v>0</v>
      </c>
      <c r="W87" s="252">
        <f>IF(S87="","-",SUM($V$18:V87))</f>
        <v>0</v>
      </c>
      <c r="X87" s="252">
        <f t="shared" si="29"/>
        <v>0</v>
      </c>
      <c r="Y87" s="252">
        <f>IF(S87="","-",SUM($X$18:X87))</f>
        <v>0</v>
      </c>
      <c r="Z87" s="252">
        <f t="shared" si="32"/>
        <v>0</v>
      </c>
      <c r="AA87" s="246"/>
      <c r="AB87" s="241"/>
      <c r="AC87" s="241"/>
      <c r="AD87" s="241"/>
    </row>
    <row r="88" spans="1:30" x14ac:dyDescent="0.35">
      <c r="A88" s="243"/>
      <c r="B88" s="250">
        <f t="shared" si="30"/>
        <v>71</v>
      </c>
      <c r="C88" s="254">
        <f t="shared" si="17"/>
        <v>6</v>
      </c>
      <c r="D88" s="252">
        <f t="shared" si="18"/>
        <v>0</v>
      </c>
      <c r="E88" s="252">
        <f t="shared" si="19"/>
        <v>0</v>
      </c>
      <c r="F88" s="252">
        <f t="shared" si="20"/>
        <v>0</v>
      </c>
      <c r="G88" s="252">
        <f t="shared" si="21"/>
        <v>0</v>
      </c>
      <c r="H88" s="252">
        <f t="shared" si="22"/>
        <v>0</v>
      </c>
      <c r="I88" s="252">
        <f t="shared" si="31"/>
        <v>0</v>
      </c>
      <c r="J88" s="246"/>
      <c r="K88" s="241"/>
      <c r="L88" s="241"/>
      <c r="M88" s="241"/>
      <c r="R88" s="243"/>
      <c r="S88" s="250">
        <f t="shared" si="33"/>
        <v>71</v>
      </c>
      <c r="T88" s="254">
        <f t="shared" si="34"/>
        <v>6</v>
      </c>
      <c r="U88" s="252">
        <f t="shared" si="35"/>
        <v>0</v>
      </c>
      <c r="V88" s="252">
        <f t="shared" si="36"/>
        <v>0</v>
      </c>
      <c r="W88" s="252">
        <f>IF(S88="","-",SUM($V$18:V88))</f>
        <v>0</v>
      </c>
      <c r="X88" s="252">
        <f t="shared" si="29"/>
        <v>0</v>
      </c>
      <c r="Y88" s="252">
        <f>IF(S88="","-",SUM($X$18:X88))</f>
        <v>0</v>
      </c>
      <c r="Z88" s="252">
        <f t="shared" si="32"/>
        <v>0</v>
      </c>
      <c r="AA88" s="246"/>
      <c r="AB88" s="241"/>
      <c r="AC88" s="241"/>
      <c r="AD88" s="241"/>
    </row>
    <row r="89" spans="1:30" x14ac:dyDescent="0.35">
      <c r="A89" s="243"/>
      <c r="B89" s="654">
        <f t="shared" si="30"/>
        <v>72</v>
      </c>
      <c r="C89" s="655">
        <f t="shared" si="17"/>
        <v>6</v>
      </c>
      <c r="D89" s="656">
        <f t="shared" si="18"/>
        <v>0</v>
      </c>
      <c r="E89" s="656">
        <f t="shared" si="19"/>
        <v>0</v>
      </c>
      <c r="F89" s="656">
        <f t="shared" si="20"/>
        <v>0</v>
      </c>
      <c r="G89" s="656">
        <f t="shared" si="21"/>
        <v>0</v>
      </c>
      <c r="H89" s="656">
        <f t="shared" si="22"/>
        <v>0</v>
      </c>
      <c r="I89" s="656">
        <f t="shared" si="31"/>
        <v>0</v>
      </c>
      <c r="J89" s="242"/>
      <c r="K89" s="241"/>
      <c r="L89" s="241"/>
      <c r="M89" s="241"/>
      <c r="R89" s="243"/>
      <c r="S89" s="654">
        <f t="shared" si="33"/>
        <v>72</v>
      </c>
      <c r="T89" s="655">
        <f t="shared" si="34"/>
        <v>6</v>
      </c>
      <c r="U89" s="656">
        <f t="shared" si="35"/>
        <v>0</v>
      </c>
      <c r="V89" s="656">
        <f t="shared" si="36"/>
        <v>0</v>
      </c>
      <c r="W89" s="656">
        <f>IF(S89="","-",SUM($V$18:V89))</f>
        <v>0</v>
      </c>
      <c r="X89" s="656">
        <f t="shared" si="29"/>
        <v>0</v>
      </c>
      <c r="Y89" s="656">
        <f>IF(S89="","-",SUM($X$18:X89))</f>
        <v>0</v>
      </c>
      <c r="Z89" s="656">
        <f t="shared" si="32"/>
        <v>0</v>
      </c>
      <c r="AA89" s="242"/>
      <c r="AB89" s="241"/>
      <c r="AC89" s="241"/>
      <c r="AD89" s="241"/>
    </row>
    <row r="90" spans="1:30" x14ac:dyDescent="0.35">
      <c r="A90" s="243"/>
      <c r="B90" s="250">
        <f t="shared" si="30"/>
        <v>73</v>
      </c>
      <c r="C90" s="254">
        <f t="shared" si="17"/>
        <v>7</v>
      </c>
      <c r="D90" s="252">
        <f t="shared" si="18"/>
        <v>0</v>
      </c>
      <c r="E90" s="252">
        <f t="shared" si="19"/>
        <v>0</v>
      </c>
      <c r="F90" s="252">
        <f t="shared" si="20"/>
        <v>0</v>
      </c>
      <c r="G90" s="252">
        <f t="shared" si="21"/>
        <v>0</v>
      </c>
      <c r="H90" s="252">
        <f t="shared" si="22"/>
        <v>0</v>
      </c>
      <c r="I90" s="252">
        <f t="shared" si="31"/>
        <v>0</v>
      </c>
      <c r="J90" s="246"/>
      <c r="K90" s="241"/>
      <c r="L90" s="241"/>
      <c r="M90" s="241"/>
      <c r="R90" s="243"/>
      <c r="S90" s="250">
        <f t="shared" si="33"/>
        <v>73</v>
      </c>
      <c r="T90" s="254">
        <f t="shared" si="34"/>
        <v>7</v>
      </c>
      <c r="U90" s="252">
        <f t="shared" si="35"/>
        <v>0</v>
      </c>
      <c r="V90" s="252">
        <f t="shared" si="36"/>
        <v>0</v>
      </c>
      <c r="W90" s="252">
        <f>IF(S90="","-",SUM($V$18:V90))</f>
        <v>0</v>
      </c>
      <c r="X90" s="252">
        <f t="shared" si="29"/>
        <v>0</v>
      </c>
      <c r="Y90" s="252">
        <f>IF(S90="","-",SUM($X$18:X90))</f>
        <v>0</v>
      </c>
      <c r="Z90" s="252">
        <f t="shared" si="32"/>
        <v>0</v>
      </c>
      <c r="AA90" s="246"/>
      <c r="AB90" s="241"/>
      <c r="AC90" s="241"/>
      <c r="AD90" s="241"/>
    </row>
    <row r="91" spans="1:30" x14ac:dyDescent="0.35">
      <c r="A91" s="243"/>
      <c r="B91" s="250">
        <f t="shared" si="30"/>
        <v>74</v>
      </c>
      <c r="C91" s="254">
        <f t="shared" si="17"/>
        <v>7</v>
      </c>
      <c r="D91" s="252">
        <f t="shared" si="18"/>
        <v>0</v>
      </c>
      <c r="E91" s="252">
        <f t="shared" si="19"/>
        <v>0</v>
      </c>
      <c r="F91" s="252">
        <f t="shared" si="20"/>
        <v>0</v>
      </c>
      <c r="G91" s="252">
        <f t="shared" si="21"/>
        <v>0</v>
      </c>
      <c r="H91" s="252">
        <f t="shared" si="22"/>
        <v>0</v>
      </c>
      <c r="I91" s="252">
        <f t="shared" si="31"/>
        <v>0</v>
      </c>
      <c r="J91" s="246"/>
      <c r="K91" s="241"/>
      <c r="L91" s="241"/>
      <c r="M91" s="241"/>
      <c r="R91" s="243"/>
      <c r="S91" s="250">
        <f t="shared" si="33"/>
        <v>74</v>
      </c>
      <c r="T91" s="254">
        <f t="shared" si="34"/>
        <v>7</v>
      </c>
      <c r="U91" s="252">
        <f t="shared" si="35"/>
        <v>0</v>
      </c>
      <c r="V91" s="252">
        <f t="shared" si="36"/>
        <v>0</v>
      </c>
      <c r="W91" s="252">
        <f>IF(S91="","-",SUM($V$18:V91))</f>
        <v>0</v>
      </c>
      <c r="X91" s="252">
        <f t="shared" si="29"/>
        <v>0</v>
      </c>
      <c r="Y91" s="252">
        <f>IF(S91="","-",SUM($X$18:X91))</f>
        <v>0</v>
      </c>
      <c r="Z91" s="252">
        <f t="shared" si="32"/>
        <v>0</v>
      </c>
      <c r="AA91" s="246"/>
      <c r="AB91" s="241"/>
      <c r="AC91" s="241"/>
      <c r="AD91" s="241"/>
    </row>
    <row r="92" spans="1:30" x14ac:dyDescent="0.35">
      <c r="A92" s="243"/>
      <c r="B92" s="250">
        <f t="shared" si="30"/>
        <v>75</v>
      </c>
      <c r="C92" s="254">
        <f t="shared" si="17"/>
        <v>7</v>
      </c>
      <c r="D92" s="252">
        <f t="shared" si="18"/>
        <v>0</v>
      </c>
      <c r="E92" s="252">
        <f t="shared" si="19"/>
        <v>0</v>
      </c>
      <c r="F92" s="252">
        <f t="shared" si="20"/>
        <v>0</v>
      </c>
      <c r="G92" s="252">
        <f t="shared" si="21"/>
        <v>0</v>
      </c>
      <c r="H92" s="252">
        <f t="shared" si="22"/>
        <v>0</v>
      </c>
      <c r="I92" s="252">
        <f t="shared" si="31"/>
        <v>0</v>
      </c>
      <c r="J92" s="246"/>
      <c r="K92" s="241"/>
      <c r="L92" s="241"/>
      <c r="M92" s="241"/>
      <c r="R92" s="243"/>
      <c r="S92" s="250">
        <f t="shared" si="33"/>
        <v>75</v>
      </c>
      <c r="T92" s="254">
        <f t="shared" si="34"/>
        <v>7</v>
      </c>
      <c r="U92" s="252">
        <f t="shared" si="35"/>
        <v>0</v>
      </c>
      <c r="V92" s="252">
        <f t="shared" si="36"/>
        <v>0</v>
      </c>
      <c r="W92" s="252">
        <f>IF(S92="","-",SUM($V$18:V92))</f>
        <v>0</v>
      </c>
      <c r="X92" s="252">
        <f t="shared" si="29"/>
        <v>0</v>
      </c>
      <c r="Y92" s="252">
        <f>IF(S92="","-",SUM($X$18:X92))</f>
        <v>0</v>
      </c>
      <c r="Z92" s="252">
        <f t="shared" si="32"/>
        <v>0</v>
      </c>
      <c r="AA92" s="246"/>
      <c r="AB92" s="241"/>
      <c r="AC92" s="241"/>
      <c r="AD92" s="241"/>
    </row>
    <row r="93" spans="1:30" x14ac:dyDescent="0.35">
      <c r="A93" s="243"/>
      <c r="B93" s="250">
        <f t="shared" si="30"/>
        <v>76</v>
      </c>
      <c r="C93" s="254">
        <f t="shared" si="17"/>
        <v>7</v>
      </c>
      <c r="D93" s="252">
        <f t="shared" si="18"/>
        <v>0</v>
      </c>
      <c r="E93" s="252">
        <f t="shared" si="19"/>
        <v>0</v>
      </c>
      <c r="F93" s="252">
        <f t="shared" si="20"/>
        <v>0</v>
      </c>
      <c r="G93" s="252">
        <f t="shared" si="21"/>
        <v>0</v>
      </c>
      <c r="H93" s="252">
        <f t="shared" si="22"/>
        <v>0</v>
      </c>
      <c r="I93" s="252">
        <f t="shared" si="31"/>
        <v>0</v>
      </c>
      <c r="J93" s="246"/>
      <c r="K93" s="241"/>
      <c r="L93" s="241"/>
      <c r="M93" s="241"/>
      <c r="R93" s="243"/>
      <c r="S93" s="250">
        <f t="shared" si="33"/>
        <v>76</v>
      </c>
      <c r="T93" s="254">
        <f t="shared" si="34"/>
        <v>7</v>
      </c>
      <c r="U93" s="252">
        <f t="shared" si="35"/>
        <v>0</v>
      </c>
      <c r="V93" s="252">
        <f t="shared" si="36"/>
        <v>0</v>
      </c>
      <c r="W93" s="252">
        <f>IF(S93="","-",SUM($V$18:V93))</f>
        <v>0</v>
      </c>
      <c r="X93" s="252">
        <f t="shared" si="29"/>
        <v>0</v>
      </c>
      <c r="Y93" s="252">
        <f>IF(S93="","-",SUM($X$18:X93))</f>
        <v>0</v>
      </c>
      <c r="Z93" s="252">
        <f t="shared" si="32"/>
        <v>0</v>
      </c>
      <c r="AA93" s="246"/>
      <c r="AB93" s="241"/>
      <c r="AC93" s="241"/>
      <c r="AD93" s="241"/>
    </row>
    <row r="94" spans="1:30" x14ac:dyDescent="0.35">
      <c r="A94" s="243"/>
      <c r="B94" s="250">
        <f t="shared" ref="B94:B137" si="37">IF(B93&gt;=$D$5*12,"",B93+1)</f>
        <v>77</v>
      </c>
      <c r="C94" s="254">
        <f t="shared" si="17"/>
        <v>7</v>
      </c>
      <c r="D94" s="252">
        <f t="shared" si="18"/>
        <v>0</v>
      </c>
      <c r="E94" s="252">
        <f t="shared" si="19"/>
        <v>0</v>
      </c>
      <c r="F94" s="252">
        <f t="shared" si="20"/>
        <v>0</v>
      </c>
      <c r="G94" s="252">
        <f t="shared" si="21"/>
        <v>0</v>
      </c>
      <c r="H94" s="252">
        <f t="shared" si="22"/>
        <v>0</v>
      </c>
      <c r="I94" s="252">
        <f t="shared" si="31"/>
        <v>0</v>
      </c>
      <c r="J94" s="246"/>
      <c r="K94" s="241"/>
      <c r="L94" s="241"/>
      <c r="M94" s="241"/>
      <c r="R94" s="243"/>
      <c r="S94" s="250">
        <f t="shared" si="33"/>
        <v>77</v>
      </c>
      <c r="T94" s="254">
        <f t="shared" si="34"/>
        <v>7</v>
      </c>
      <c r="U94" s="252">
        <f t="shared" si="35"/>
        <v>0</v>
      </c>
      <c r="V94" s="252">
        <f t="shared" si="36"/>
        <v>0</v>
      </c>
      <c r="W94" s="252">
        <f>IF(S94="","-",SUM($V$18:V94))</f>
        <v>0</v>
      </c>
      <c r="X94" s="252">
        <f t="shared" si="29"/>
        <v>0</v>
      </c>
      <c r="Y94" s="252">
        <f>IF(S94="","-",SUM($X$18:X94))</f>
        <v>0</v>
      </c>
      <c r="Z94" s="252">
        <f t="shared" si="32"/>
        <v>0</v>
      </c>
      <c r="AA94" s="246"/>
      <c r="AB94" s="241"/>
      <c r="AC94" s="241"/>
      <c r="AD94" s="241"/>
    </row>
    <row r="95" spans="1:30" x14ac:dyDescent="0.35">
      <c r="A95" s="243"/>
      <c r="B95" s="250">
        <f t="shared" si="37"/>
        <v>78</v>
      </c>
      <c r="C95" s="254">
        <f t="shared" si="17"/>
        <v>7</v>
      </c>
      <c r="D95" s="252">
        <f t="shared" si="18"/>
        <v>0</v>
      </c>
      <c r="E95" s="252">
        <f t="shared" si="19"/>
        <v>0</v>
      </c>
      <c r="F95" s="252">
        <f t="shared" si="20"/>
        <v>0</v>
      </c>
      <c r="G95" s="252">
        <f t="shared" si="21"/>
        <v>0</v>
      </c>
      <c r="H95" s="252">
        <f t="shared" si="22"/>
        <v>0</v>
      </c>
      <c r="I95" s="252">
        <f t="shared" si="31"/>
        <v>0</v>
      </c>
      <c r="J95" s="246"/>
      <c r="K95" s="241"/>
      <c r="L95" s="241"/>
      <c r="M95" s="241"/>
      <c r="R95" s="243"/>
      <c r="S95" s="250">
        <f t="shared" si="33"/>
        <v>78</v>
      </c>
      <c r="T95" s="254">
        <f t="shared" si="34"/>
        <v>7</v>
      </c>
      <c r="U95" s="252">
        <f t="shared" si="35"/>
        <v>0</v>
      </c>
      <c r="V95" s="252">
        <f t="shared" si="36"/>
        <v>0</v>
      </c>
      <c r="W95" s="252">
        <f>IF(S95="","-",SUM($V$18:V95))</f>
        <v>0</v>
      </c>
      <c r="X95" s="252">
        <f t="shared" si="29"/>
        <v>0</v>
      </c>
      <c r="Y95" s="252">
        <f>IF(S95="","-",SUM($X$18:X95))</f>
        <v>0</v>
      </c>
      <c r="Z95" s="252">
        <f t="shared" si="32"/>
        <v>0</v>
      </c>
      <c r="AA95" s="246"/>
      <c r="AB95" s="241"/>
      <c r="AC95" s="241"/>
      <c r="AD95" s="241"/>
    </row>
    <row r="96" spans="1:30" x14ac:dyDescent="0.35">
      <c r="A96" s="243"/>
      <c r="B96" s="250">
        <f t="shared" si="37"/>
        <v>79</v>
      </c>
      <c r="C96" s="254">
        <f t="shared" si="17"/>
        <v>7</v>
      </c>
      <c r="D96" s="252">
        <f t="shared" si="18"/>
        <v>0</v>
      </c>
      <c r="E96" s="252">
        <f t="shared" si="19"/>
        <v>0</v>
      </c>
      <c r="F96" s="252">
        <f t="shared" si="20"/>
        <v>0</v>
      </c>
      <c r="G96" s="252">
        <f t="shared" si="21"/>
        <v>0</v>
      </c>
      <c r="H96" s="252">
        <f t="shared" si="22"/>
        <v>0</v>
      </c>
      <c r="I96" s="252">
        <f t="shared" si="31"/>
        <v>0</v>
      </c>
      <c r="J96" s="246"/>
      <c r="K96" s="241"/>
      <c r="L96" s="241"/>
      <c r="M96" s="241"/>
      <c r="R96" s="243"/>
      <c r="S96" s="250">
        <f t="shared" si="33"/>
        <v>79</v>
      </c>
      <c r="T96" s="254">
        <f t="shared" si="34"/>
        <v>7</v>
      </c>
      <c r="U96" s="252">
        <f t="shared" si="35"/>
        <v>0</v>
      </c>
      <c r="V96" s="252">
        <f t="shared" si="36"/>
        <v>0</v>
      </c>
      <c r="W96" s="252">
        <f>IF(S96="","-",SUM($V$18:V96))</f>
        <v>0</v>
      </c>
      <c r="X96" s="252">
        <f t="shared" si="29"/>
        <v>0</v>
      </c>
      <c r="Y96" s="252">
        <f>IF(S96="","-",SUM($X$18:X96))</f>
        <v>0</v>
      </c>
      <c r="Z96" s="252">
        <f t="shared" si="32"/>
        <v>0</v>
      </c>
      <c r="AA96" s="246"/>
      <c r="AB96" s="241"/>
      <c r="AC96" s="241"/>
      <c r="AD96" s="241"/>
    </row>
    <row r="97" spans="1:30" x14ac:dyDescent="0.35">
      <c r="A97" s="243"/>
      <c r="B97" s="250">
        <f t="shared" si="37"/>
        <v>80</v>
      </c>
      <c r="C97" s="254">
        <f t="shared" si="17"/>
        <v>7</v>
      </c>
      <c r="D97" s="252">
        <f t="shared" si="18"/>
        <v>0</v>
      </c>
      <c r="E97" s="252">
        <f t="shared" si="19"/>
        <v>0</v>
      </c>
      <c r="F97" s="252">
        <f t="shared" si="20"/>
        <v>0</v>
      </c>
      <c r="G97" s="252">
        <f t="shared" si="21"/>
        <v>0</v>
      </c>
      <c r="H97" s="252">
        <f t="shared" si="22"/>
        <v>0</v>
      </c>
      <c r="I97" s="252">
        <f t="shared" si="31"/>
        <v>0</v>
      </c>
      <c r="J97" s="246"/>
      <c r="K97" s="241"/>
      <c r="L97" s="241"/>
      <c r="M97" s="241"/>
      <c r="R97" s="243"/>
      <c r="S97" s="250">
        <f t="shared" si="33"/>
        <v>80</v>
      </c>
      <c r="T97" s="254">
        <f t="shared" si="34"/>
        <v>7</v>
      </c>
      <c r="U97" s="252">
        <f t="shared" si="35"/>
        <v>0</v>
      </c>
      <c r="V97" s="252">
        <f t="shared" si="36"/>
        <v>0</v>
      </c>
      <c r="W97" s="252">
        <f>IF(S97="","-",SUM($V$18:V97))</f>
        <v>0</v>
      </c>
      <c r="X97" s="252">
        <f t="shared" si="29"/>
        <v>0</v>
      </c>
      <c r="Y97" s="252">
        <f>IF(S97="","-",SUM($X$18:X97))</f>
        <v>0</v>
      </c>
      <c r="Z97" s="252">
        <f t="shared" si="32"/>
        <v>0</v>
      </c>
      <c r="AA97" s="246"/>
      <c r="AB97" s="241"/>
      <c r="AC97" s="241"/>
      <c r="AD97" s="241"/>
    </row>
    <row r="98" spans="1:30" x14ac:dyDescent="0.35">
      <c r="A98" s="243"/>
      <c r="B98" s="250">
        <f t="shared" si="37"/>
        <v>81</v>
      </c>
      <c r="C98" s="254">
        <f t="shared" si="17"/>
        <v>7</v>
      </c>
      <c r="D98" s="252">
        <f t="shared" si="18"/>
        <v>0</v>
      </c>
      <c r="E98" s="252">
        <f t="shared" si="19"/>
        <v>0</v>
      </c>
      <c r="F98" s="252">
        <f t="shared" si="20"/>
        <v>0</v>
      </c>
      <c r="G98" s="252">
        <f t="shared" si="21"/>
        <v>0</v>
      </c>
      <c r="H98" s="252">
        <f t="shared" si="22"/>
        <v>0</v>
      </c>
      <c r="I98" s="252">
        <f t="shared" si="31"/>
        <v>0</v>
      </c>
      <c r="J98" s="246"/>
      <c r="K98" s="241"/>
      <c r="L98" s="241"/>
      <c r="M98" s="241"/>
      <c r="R98" s="243"/>
      <c r="S98" s="250">
        <f t="shared" si="33"/>
        <v>81</v>
      </c>
      <c r="T98" s="254">
        <f t="shared" si="34"/>
        <v>7</v>
      </c>
      <c r="U98" s="252">
        <f t="shared" si="35"/>
        <v>0</v>
      </c>
      <c r="V98" s="252">
        <f t="shared" si="36"/>
        <v>0</v>
      </c>
      <c r="W98" s="252">
        <f>IF(S98="","-",SUM($V$18:V98))</f>
        <v>0</v>
      </c>
      <c r="X98" s="252">
        <f t="shared" si="29"/>
        <v>0</v>
      </c>
      <c r="Y98" s="252">
        <f>IF(S98="","-",SUM($X$18:X98))</f>
        <v>0</v>
      </c>
      <c r="Z98" s="252">
        <f t="shared" si="32"/>
        <v>0</v>
      </c>
      <c r="AA98" s="246"/>
      <c r="AB98" s="241"/>
      <c r="AC98" s="241"/>
      <c r="AD98" s="241"/>
    </row>
    <row r="99" spans="1:30" x14ac:dyDescent="0.35">
      <c r="A99" s="243"/>
      <c r="B99" s="250">
        <f t="shared" si="37"/>
        <v>82</v>
      </c>
      <c r="C99" s="254">
        <f t="shared" si="17"/>
        <v>7</v>
      </c>
      <c r="D99" s="252">
        <f t="shared" si="18"/>
        <v>0</v>
      </c>
      <c r="E99" s="252">
        <f t="shared" si="19"/>
        <v>0</v>
      </c>
      <c r="F99" s="252">
        <f t="shared" si="20"/>
        <v>0</v>
      </c>
      <c r="G99" s="252">
        <f t="shared" si="21"/>
        <v>0</v>
      </c>
      <c r="H99" s="252">
        <f t="shared" si="22"/>
        <v>0</v>
      </c>
      <c r="I99" s="252">
        <f t="shared" si="31"/>
        <v>0</v>
      </c>
      <c r="J99" s="246"/>
      <c r="K99" s="241"/>
      <c r="L99" s="241"/>
      <c r="M99" s="241"/>
      <c r="R99" s="243"/>
      <c r="S99" s="250">
        <f t="shared" si="33"/>
        <v>82</v>
      </c>
      <c r="T99" s="254">
        <f t="shared" si="34"/>
        <v>7</v>
      </c>
      <c r="U99" s="252">
        <f t="shared" si="35"/>
        <v>0</v>
      </c>
      <c r="V99" s="252">
        <f t="shared" si="36"/>
        <v>0</v>
      </c>
      <c r="W99" s="252">
        <f>IF(S99="","-",SUM($V$18:V99))</f>
        <v>0</v>
      </c>
      <c r="X99" s="252">
        <f t="shared" si="29"/>
        <v>0</v>
      </c>
      <c r="Y99" s="252">
        <f>IF(S99="","-",SUM($X$18:X99))</f>
        <v>0</v>
      </c>
      <c r="Z99" s="252">
        <f t="shared" si="32"/>
        <v>0</v>
      </c>
      <c r="AA99" s="246"/>
      <c r="AB99" s="241"/>
      <c r="AC99" s="241"/>
      <c r="AD99" s="241"/>
    </row>
    <row r="100" spans="1:30" x14ac:dyDescent="0.35">
      <c r="A100" s="243"/>
      <c r="B100" s="250">
        <f t="shared" si="37"/>
        <v>83</v>
      </c>
      <c r="C100" s="254">
        <f t="shared" si="17"/>
        <v>7</v>
      </c>
      <c r="D100" s="252">
        <f t="shared" si="18"/>
        <v>0</v>
      </c>
      <c r="E100" s="252">
        <f t="shared" si="19"/>
        <v>0</v>
      </c>
      <c r="F100" s="252">
        <f t="shared" si="20"/>
        <v>0</v>
      </c>
      <c r="G100" s="252">
        <f t="shared" si="21"/>
        <v>0</v>
      </c>
      <c r="H100" s="252">
        <f t="shared" si="22"/>
        <v>0</v>
      </c>
      <c r="I100" s="252">
        <f t="shared" si="31"/>
        <v>0</v>
      </c>
      <c r="J100" s="246"/>
      <c r="K100" s="241"/>
      <c r="L100" s="241"/>
      <c r="M100" s="241"/>
      <c r="R100" s="243"/>
      <c r="S100" s="250">
        <f t="shared" si="33"/>
        <v>83</v>
      </c>
      <c r="T100" s="254">
        <f t="shared" si="34"/>
        <v>7</v>
      </c>
      <c r="U100" s="252">
        <f t="shared" si="35"/>
        <v>0</v>
      </c>
      <c r="V100" s="252">
        <f t="shared" si="36"/>
        <v>0</v>
      </c>
      <c r="W100" s="252">
        <f>IF(S100="","-",SUM($V$18:V100))</f>
        <v>0</v>
      </c>
      <c r="X100" s="252">
        <f t="shared" si="29"/>
        <v>0</v>
      </c>
      <c r="Y100" s="252">
        <f>IF(S100="","-",SUM($X$18:X100))</f>
        <v>0</v>
      </c>
      <c r="Z100" s="252">
        <f t="shared" si="32"/>
        <v>0</v>
      </c>
      <c r="AA100" s="246"/>
      <c r="AB100" s="241"/>
      <c r="AC100" s="241"/>
      <c r="AD100" s="241"/>
    </row>
    <row r="101" spans="1:30" x14ac:dyDescent="0.35">
      <c r="A101" s="243"/>
      <c r="B101" s="654">
        <f t="shared" si="37"/>
        <v>84</v>
      </c>
      <c r="C101" s="655">
        <f t="shared" si="17"/>
        <v>7</v>
      </c>
      <c r="D101" s="656">
        <f t="shared" si="18"/>
        <v>0</v>
      </c>
      <c r="E101" s="656">
        <f t="shared" si="19"/>
        <v>0</v>
      </c>
      <c r="F101" s="656">
        <f t="shared" si="20"/>
        <v>0</v>
      </c>
      <c r="G101" s="656">
        <f t="shared" si="21"/>
        <v>0</v>
      </c>
      <c r="H101" s="656">
        <f t="shared" si="22"/>
        <v>0</v>
      </c>
      <c r="I101" s="656">
        <f t="shared" si="31"/>
        <v>0</v>
      </c>
      <c r="J101" s="242"/>
      <c r="K101" s="241"/>
      <c r="L101" s="241"/>
      <c r="M101" s="241"/>
      <c r="R101" s="243"/>
      <c r="S101" s="654">
        <f t="shared" si="33"/>
        <v>84</v>
      </c>
      <c r="T101" s="655">
        <f t="shared" si="34"/>
        <v>7</v>
      </c>
      <c r="U101" s="656">
        <f t="shared" si="35"/>
        <v>0</v>
      </c>
      <c r="V101" s="656">
        <f t="shared" si="36"/>
        <v>0</v>
      </c>
      <c r="W101" s="656">
        <f>IF(S101="","-",SUM($V$18:V101))</f>
        <v>0</v>
      </c>
      <c r="X101" s="656">
        <f t="shared" si="29"/>
        <v>0</v>
      </c>
      <c r="Y101" s="656">
        <f>IF(S101="","-",SUM($X$18:X101))</f>
        <v>0</v>
      </c>
      <c r="Z101" s="656">
        <f t="shared" si="32"/>
        <v>0</v>
      </c>
      <c r="AA101" s="242"/>
      <c r="AB101" s="241"/>
      <c r="AC101" s="241"/>
      <c r="AD101" s="241"/>
    </row>
    <row r="102" spans="1:30" x14ac:dyDescent="0.35">
      <c r="A102" s="243"/>
      <c r="B102" s="250">
        <f t="shared" si="37"/>
        <v>85</v>
      </c>
      <c r="C102" s="254">
        <f t="shared" si="17"/>
        <v>8</v>
      </c>
      <c r="D102" s="252">
        <f t="shared" si="18"/>
        <v>0</v>
      </c>
      <c r="E102" s="252">
        <f t="shared" si="19"/>
        <v>0</v>
      </c>
      <c r="F102" s="252">
        <f t="shared" si="20"/>
        <v>0</v>
      </c>
      <c r="G102" s="252">
        <f t="shared" si="21"/>
        <v>0</v>
      </c>
      <c r="H102" s="252">
        <f t="shared" si="22"/>
        <v>0</v>
      </c>
      <c r="I102" s="252">
        <f t="shared" si="31"/>
        <v>0</v>
      </c>
      <c r="J102" s="246"/>
      <c r="K102" s="241"/>
      <c r="L102" s="241"/>
      <c r="M102" s="241"/>
      <c r="R102" s="243"/>
      <c r="S102" s="250">
        <f t="shared" si="33"/>
        <v>85</v>
      </c>
      <c r="T102" s="254">
        <f t="shared" si="34"/>
        <v>8</v>
      </c>
      <c r="U102" s="252">
        <f t="shared" si="35"/>
        <v>0</v>
      </c>
      <c r="V102" s="252">
        <f t="shared" si="36"/>
        <v>0</v>
      </c>
      <c r="W102" s="252">
        <f>IF(S102="","-",SUM($V$18:V102))</f>
        <v>0</v>
      </c>
      <c r="X102" s="252">
        <f t="shared" si="29"/>
        <v>0</v>
      </c>
      <c r="Y102" s="252">
        <f>IF(S102="","-",SUM($X$18:X102))</f>
        <v>0</v>
      </c>
      <c r="Z102" s="252">
        <f t="shared" si="32"/>
        <v>0</v>
      </c>
      <c r="AA102" s="246"/>
      <c r="AB102" s="241"/>
      <c r="AC102" s="241"/>
      <c r="AD102" s="241"/>
    </row>
    <row r="103" spans="1:30" x14ac:dyDescent="0.35">
      <c r="A103" s="243"/>
      <c r="B103" s="250">
        <f t="shared" si="37"/>
        <v>86</v>
      </c>
      <c r="C103" s="254">
        <f t="shared" si="17"/>
        <v>8</v>
      </c>
      <c r="D103" s="252">
        <f t="shared" si="18"/>
        <v>0</v>
      </c>
      <c r="E103" s="252">
        <f t="shared" si="19"/>
        <v>0</v>
      </c>
      <c r="F103" s="252">
        <f t="shared" si="20"/>
        <v>0</v>
      </c>
      <c r="G103" s="252">
        <f t="shared" si="21"/>
        <v>0</v>
      </c>
      <c r="H103" s="252">
        <f t="shared" si="22"/>
        <v>0</v>
      </c>
      <c r="I103" s="252">
        <f t="shared" si="31"/>
        <v>0</v>
      </c>
      <c r="J103" s="246"/>
      <c r="K103" s="241"/>
      <c r="L103" s="241"/>
      <c r="M103" s="241"/>
      <c r="R103" s="243"/>
      <c r="S103" s="250">
        <f t="shared" si="33"/>
        <v>86</v>
      </c>
      <c r="T103" s="254">
        <f t="shared" si="34"/>
        <v>8</v>
      </c>
      <c r="U103" s="252">
        <f t="shared" si="35"/>
        <v>0</v>
      </c>
      <c r="V103" s="252">
        <f t="shared" si="36"/>
        <v>0</v>
      </c>
      <c r="W103" s="252">
        <f>IF(S103="","-",SUM($V$18:V103))</f>
        <v>0</v>
      </c>
      <c r="X103" s="252">
        <f t="shared" si="29"/>
        <v>0</v>
      </c>
      <c r="Y103" s="252">
        <f>IF(S103="","-",SUM($X$18:X103))</f>
        <v>0</v>
      </c>
      <c r="Z103" s="252">
        <f t="shared" si="32"/>
        <v>0</v>
      </c>
      <c r="AA103" s="246"/>
      <c r="AB103" s="241"/>
      <c r="AC103" s="241"/>
      <c r="AD103" s="241"/>
    </row>
    <row r="104" spans="1:30" x14ac:dyDescent="0.35">
      <c r="A104" s="243"/>
      <c r="B104" s="250">
        <f t="shared" si="37"/>
        <v>87</v>
      </c>
      <c r="C104" s="254">
        <f t="shared" si="17"/>
        <v>8</v>
      </c>
      <c r="D104" s="252">
        <f t="shared" si="18"/>
        <v>0</v>
      </c>
      <c r="E104" s="252">
        <f t="shared" si="19"/>
        <v>0</v>
      </c>
      <c r="F104" s="252">
        <f t="shared" si="20"/>
        <v>0</v>
      </c>
      <c r="G104" s="252">
        <f t="shared" si="21"/>
        <v>0</v>
      </c>
      <c r="H104" s="252">
        <f t="shared" si="22"/>
        <v>0</v>
      </c>
      <c r="I104" s="252">
        <f t="shared" si="31"/>
        <v>0</v>
      </c>
      <c r="J104" s="246"/>
      <c r="K104" s="241"/>
      <c r="L104" s="241"/>
      <c r="M104" s="241"/>
      <c r="R104" s="243"/>
      <c r="S104" s="250">
        <f t="shared" si="33"/>
        <v>87</v>
      </c>
      <c r="T104" s="254">
        <f t="shared" si="34"/>
        <v>8</v>
      </c>
      <c r="U104" s="252">
        <f t="shared" si="35"/>
        <v>0</v>
      </c>
      <c r="V104" s="252">
        <f t="shared" si="36"/>
        <v>0</v>
      </c>
      <c r="W104" s="252">
        <f>IF(S104="","-",SUM($V$18:V104))</f>
        <v>0</v>
      </c>
      <c r="X104" s="252">
        <f t="shared" si="29"/>
        <v>0</v>
      </c>
      <c r="Y104" s="252">
        <f>IF(S104="","-",SUM($X$18:X104))</f>
        <v>0</v>
      </c>
      <c r="Z104" s="252">
        <f t="shared" si="32"/>
        <v>0</v>
      </c>
      <c r="AA104" s="246"/>
      <c r="AB104" s="241"/>
      <c r="AC104" s="241"/>
      <c r="AD104" s="241"/>
    </row>
    <row r="105" spans="1:30" x14ac:dyDescent="0.35">
      <c r="A105" s="243"/>
      <c r="B105" s="250">
        <f t="shared" si="37"/>
        <v>88</v>
      </c>
      <c r="C105" s="254">
        <f t="shared" si="17"/>
        <v>8</v>
      </c>
      <c r="D105" s="252">
        <f t="shared" si="18"/>
        <v>0</v>
      </c>
      <c r="E105" s="252">
        <f t="shared" si="19"/>
        <v>0</v>
      </c>
      <c r="F105" s="252">
        <f t="shared" si="20"/>
        <v>0</v>
      </c>
      <c r="G105" s="252">
        <f t="shared" si="21"/>
        <v>0</v>
      </c>
      <c r="H105" s="252">
        <f t="shared" si="22"/>
        <v>0</v>
      </c>
      <c r="I105" s="252">
        <f t="shared" si="31"/>
        <v>0</v>
      </c>
      <c r="J105" s="246"/>
      <c r="K105" s="241"/>
      <c r="L105" s="241"/>
      <c r="M105" s="241"/>
      <c r="R105" s="243"/>
      <c r="S105" s="250">
        <f t="shared" si="33"/>
        <v>88</v>
      </c>
      <c r="T105" s="254">
        <f t="shared" si="34"/>
        <v>8</v>
      </c>
      <c r="U105" s="252">
        <f t="shared" si="35"/>
        <v>0</v>
      </c>
      <c r="V105" s="252">
        <f t="shared" si="36"/>
        <v>0</v>
      </c>
      <c r="W105" s="252">
        <f>IF(S105="","-",SUM($V$18:V105))</f>
        <v>0</v>
      </c>
      <c r="X105" s="252">
        <f t="shared" si="29"/>
        <v>0</v>
      </c>
      <c r="Y105" s="252">
        <f>IF(S105="","-",SUM($X$18:X105))</f>
        <v>0</v>
      </c>
      <c r="Z105" s="252">
        <f t="shared" si="32"/>
        <v>0</v>
      </c>
      <c r="AA105" s="246"/>
      <c r="AB105" s="241"/>
      <c r="AC105" s="241"/>
      <c r="AD105" s="241"/>
    </row>
    <row r="106" spans="1:30" x14ac:dyDescent="0.35">
      <c r="A106" s="243"/>
      <c r="B106" s="250">
        <f t="shared" si="37"/>
        <v>89</v>
      </c>
      <c r="C106" s="254">
        <f t="shared" si="17"/>
        <v>8</v>
      </c>
      <c r="D106" s="252">
        <f t="shared" si="18"/>
        <v>0</v>
      </c>
      <c r="E106" s="252">
        <f t="shared" si="19"/>
        <v>0</v>
      </c>
      <c r="F106" s="252">
        <f t="shared" si="20"/>
        <v>0</v>
      </c>
      <c r="G106" s="252">
        <f t="shared" si="21"/>
        <v>0</v>
      </c>
      <c r="H106" s="252">
        <f t="shared" si="22"/>
        <v>0</v>
      </c>
      <c r="I106" s="252">
        <f t="shared" si="31"/>
        <v>0</v>
      </c>
      <c r="J106" s="246"/>
      <c r="K106" s="241"/>
      <c r="L106" s="241"/>
      <c r="M106" s="241"/>
      <c r="R106" s="243"/>
      <c r="S106" s="250">
        <f t="shared" si="33"/>
        <v>89</v>
      </c>
      <c r="T106" s="254">
        <f t="shared" si="34"/>
        <v>8</v>
      </c>
      <c r="U106" s="252">
        <f t="shared" si="35"/>
        <v>0</v>
      </c>
      <c r="V106" s="252">
        <f t="shared" si="36"/>
        <v>0</v>
      </c>
      <c r="W106" s="252">
        <f>IF(S106="","-",SUM($V$18:V106))</f>
        <v>0</v>
      </c>
      <c r="X106" s="252">
        <f t="shared" si="29"/>
        <v>0</v>
      </c>
      <c r="Y106" s="252">
        <f>IF(S106="","-",SUM($X$18:X106))</f>
        <v>0</v>
      </c>
      <c r="Z106" s="252">
        <f t="shared" si="32"/>
        <v>0</v>
      </c>
      <c r="AA106" s="246"/>
      <c r="AB106" s="241"/>
      <c r="AC106" s="241"/>
      <c r="AD106" s="241"/>
    </row>
    <row r="107" spans="1:30" x14ac:dyDescent="0.35">
      <c r="A107" s="243"/>
      <c r="B107" s="250">
        <f t="shared" si="37"/>
        <v>90</v>
      </c>
      <c r="C107" s="254">
        <f t="shared" si="17"/>
        <v>8</v>
      </c>
      <c r="D107" s="252">
        <f t="shared" si="18"/>
        <v>0</v>
      </c>
      <c r="E107" s="252">
        <f t="shared" si="19"/>
        <v>0</v>
      </c>
      <c r="F107" s="252">
        <f t="shared" si="20"/>
        <v>0</v>
      </c>
      <c r="G107" s="252">
        <f t="shared" si="21"/>
        <v>0</v>
      </c>
      <c r="H107" s="252">
        <f t="shared" si="22"/>
        <v>0</v>
      </c>
      <c r="I107" s="252">
        <f t="shared" si="31"/>
        <v>0</v>
      </c>
      <c r="J107" s="246"/>
      <c r="K107" s="241"/>
      <c r="L107" s="241"/>
      <c r="M107" s="241"/>
      <c r="R107" s="243"/>
      <c r="S107" s="250">
        <f t="shared" si="33"/>
        <v>90</v>
      </c>
      <c r="T107" s="254">
        <f t="shared" si="34"/>
        <v>8</v>
      </c>
      <c r="U107" s="252">
        <f t="shared" si="35"/>
        <v>0</v>
      </c>
      <c r="V107" s="252">
        <f t="shared" si="36"/>
        <v>0</v>
      </c>
      <c r="W107" s="252">
        <f>IF(S107="","-",SUM($V$18:V107))</f>
        <v>0</v>
      </c>
      <c r="X107" s="252">
        <f t="shared" si="29"/>
        <v>0</v>
      </c>
      <c r="Y107" s="252">
        <f>IF(S107="","-",SUM($X$18:X107))</f>
        <v>0</v>
      </c>
      <c r="Z107" s="252">
        <f t="shared" si="32"/>
        <v>0</v>
      </c>
      <c r="AA107" s="246"/>
      <c r="AB107" s="241"/>
      <c r="AC107" s="241"/>
      <c r="AD107" s="241"/>
    </row>
    <row r="108" spans="1:30" x14ac:dyDescent="0.35">
      <c r="A108" s="243"/>
      <c r="B108" s="250">
        <f t="shared" si="37"/>
        <v>91</v>
      </c>
      <c r="C108" s="254">
        <f t="shared" si="17"/>
        <v>8</v>
      </c>
      <c r="D108" s="252">
        <f t="shared" si="18"/>
        <v>0</v>
      </c>
      <c r="E108" s="252">
        <f t="shared" si="19"/>
        <v>0</v>
      </c>
      <c r="F108" s="252">
        <f t="shared" si="20"/>
        <v>0</v>
      </c>
      <c r="G108" s="252">
        <f t="shared" si="21"/>
        <v>0</v>
      </c>
      <c r="H108" s="252">
        <f t="shared" si="22"/>
        <v>0</v>
      </c>
      <c r="I108" s="252">
        <f t="shared" si="31"/>
        <v>0</v>
      </c>
      <c r="J108" s="246"/>
      <c r="K108" s="241"/>
      <c r="L108" s="241"/>
      <c r="M108" s="241"/>
      <c r="R108" s="243"/>
      <c r="S108" s="250">
        <f t="shared" si="33"/>
        <v>91</v>
      </c>
      <c r="T108" s="254">
        <f t="shared" si="34"/>
        <v>8</v>
      </c>
      <c r="U108" s="252">
        <f t="shared" si="35"/>
        <v>0</v>
      </c>
      <c r="V108" s="252">
        <f t="shared" si="36"/>
        <v>0</v>
      </c>
      <c r="W108" s="252">
        <f>IF(S108="","-",SUM($V$18:V108))</f>
        <v>0</v>
      </c>
      <c r="X108" s="252">
        <f t="shared" si="29"/>
        <v>0</v>
      </c>
      <c r="Y108" s="252">
        <f>IF(S108="","-",SUM($X$18:X108))</f>
        <v>0</v>
      </c>
      <c r="Z108" s="252">
        <f t="shared" si="32"/>
        <v>0</v>
      </c>
      <c r="AA108" s="246"/>
      <c r="AB108" s="241"/>
      <c r="AC108" s="241"/>
      <c r="AD108" s="241"/>
    </row>
    <row r="109" spans="1:30" x14ac:dyDescent="0.35">
      <c r="A109" s="243"/>
      <c r="B109" s="250">
        <f t="shared" si="37"/>
        <v>92</v>
      </c>
      <c r="C109" s="254">
        <f t="shared" si="17"/>
        <v>8</v>
      </c>
      <c r="D109" s="252">
        <f t="shared" si="18"/>
        <v>0</v>
      </c>
      <c r="E109" s="252">
        <f t="shared" si="19"/>
        <v>0</v>
      </c>
      <c r="F109" s="252">
        <f t="shared" si="20"/>
        <v>0</v>
      </c>
      <c r="G109" s="252">
        <f t="shared" si="21"/>
        <v>0</v>
      </c>
      <c r="H109" s="252">
        <f t="shared" si="22"/>
        <v>0</v>
      </c>
      <c r="I109" s="252">
        <f t="shared" si="31"/>
        <v>0</v>
      </c>
      <c r="J109" s="246"/>
      <c r="K109" s="241"/>
      <c r="L109" s="241"/>
      <c r="M109" s="241"/>
      <c r="R109" s="243"/>
      <c r="S109" s="250">
        <f t="shared" si="33"/>
        <v>92</v>
      </c>
      <c r="T109" s="254">
        <f t="shared" si="34"/>
        <v>8</v>
      </c>
      <c r="U109" s="252">
        <f t="shared" si="35"/>
        <v>0</v>
      </c>
      <c r="V109" s="252">
        <f t="shared" si="36"/>
        <v>0</v>
      </c>
      <c r="W109" s="252">
        <f>IF(S109="","-",SUM($V$18:V109))</f>
        <v>0</v>
      </c>
      <c r="X109" s="252">
        <f t="shared" si="29"/>
        <v>0</v>
      </c>
      <c r="Y109" s="252">
        <f>IF(S109="","-",SUM($X$18:X109))</f>
        <v>0</v>
      </c>
      <c r="Z109" s="252">
        <f t="shared" si="32"/>
        <v>0</v>
      </c>
      <c r="AA109" s="246"/>
      <c r="AB109" s="241"/>
      <c r="AC109" s="241"/>
      <c r="AD109" s="241"/>
    </row>
    <row r="110" spans="1:30" x14ac:dyDescent="0.35">
      <c r="A110" s="243"/>
      <c r="B110" s="250">
        <f t="shared" si="37"/>
        <v>93</v>
      </c>
      <c r="C110" s="254">
        <f t="shared" si="17"/>
        <v>8</v>
      </c>
      <c r="D110" s="252">
        <f t="shared" si="18"/>
        <v>0</v>
      </c>
      <c r="E110" s="252">
        <f t="shared" si="19"/>
        <v>0</v>
      </c>
      <c r="F110" s="252">
        <f t="shared" si="20"/>
        <v>0</v>
      </c>
      <c r="G110" s="252">
        <f t="shared" si="21"/>
        <v>0</v>
      </c>
      <c r="H110" s="252">
        <f t="shared" si="22"/>
        <v>0</v>
      </c>
      <c r="I110" s="252">
        <f t="shared" si="31"/>
        <v>0</v>
      </c>
      <c r="J110" s="246"/>
      <c r="K110" s="241"/>
      <c r="L110" s="241"/>
      <c r="M110" s="241"/>
      <c r="R110" s="243"/>
      <c r="S110" s="250">
        <f t="shared" si="33"/>
        <v>93</v>
      </c>
      <c r="T110" s="254">
        <f t="shared" si="34"/>
        <v>8</v>
      </c>
      <c r="U110" s="252">
        <f t="shared" si="35"/>
        <v>0</v>
      </c>
      <c r="V110" s="252">
        <f t="shared" si="36"/>
        <v>0</v>
      </c>
      <c r="W110" s="252">
        <f>IF(S110="","-",SUM($V$18:V110))</f>
        <v>0</v>
      </c>
      <c r="X110" s="252">
        <f t="shared" si="29"/>
        <v>0</v>
      </c>
      <c r="Y110" s="252">
        <f>IF(S110="","-",SUM($X$18:X110))</f>
        <v>0</v>
      </c>
      <c r="Z110" s="252">
        <f t="shared" si="32"/>
        <v>0</v>
      </c>
      <c r="AA110" s="246"/>
      <c r="AB110" s="241"/>
      <c r="AC110" s="241"/>
      <c r="AD110" s="241"/>
    </row>
    <row r="111" spans="1:30" x14ac:dyDescent="0.35">
      <c r="A111" s="243"/>
      <c r="B111" s="250">
        <f t="shared" si="37"/>
        <v>94</v>
      </c>
      <c r="C111" s="254">
        <f t="shared" si="17"/>
        <v>8</v>
      </c>
      <c r="D111" s="252">
        <f t="shared" si="18"/>
        <v>0</v>
      </c>
      <c r="E111" s="252">
        <f t="shared" si="19"/>
        <v>0</v>
      </c>
      <c r="F111" s="252">
        <f t="shared" si="20"/>
        <v>0</v>
      </c>
      <c r="G111" s="252">
        <f t="shared" si="21"/>
        <v>0</v>
      </c>
      <c r="H111" s="252">
        <f t="shared" si="22"/>
        <v>0</v>
      </c>
      <c r="I111" s="252">
        <f t="shared" si="31"/>
        <v>0</v>
      </c>
      <c r="J111" s="246"/>
      <c r="K111" s="241"/>
      <c r="L111" s="241"/>
      <c r="M111" s="241"/>
      <c r="R111" s="243"/>
      <c r="S111" s="250">
        <f t="shared" si="33"/>
        <v>94</v>
      </c>
      <c r="T111" s="254">
        <f t="shared" si="34"/>
        <v>8</v>
      </c>
      <c r="U111" s="252">
        <f t="shared" si="35"/>
        <v>0</v>
      </c>
      <c r="V111" s="252">
        <f t="shared" si="36"/>
        <v>0</v>
      </c>
      <c r="W111" s="252">
        <f>IF(S111="","-",SUM($V$18:V111))</f>
        <v>0</v>
      </c>
      <c r="X111" s="252">
        <f t="shared" si="29"/>
        <v>0</v>
      </c>
      <c r="Y111" s="252">
        <f>IF(S111="","-",SUM($X$18:X111))</f>
        <v>0</v>
      </c>
      <c r="Z111" s="252">
        <f t="shared" si="32"/>
        <v>0</v>
      </c>
      <c r="AA111" s="246"/>
      <c r="AB111" s="241"/>
      <c r="AC111" s="241"/>
      <c r="AD111" s="241"/>
    </row>
    <row r="112" spans="1:30" x14ac:dyDescent="0.35">
      <c r="A112" s="243"/>
      <c r="B112" s="250">
        <f t="shared" si="37"/>
        <v>95</v>
      </c>
      <c r="C112" s="254">
        <f t="shared" si="17"/>
        <v>8</v>
      </c>
      <c r="D112" s="252">
        <f t="shared" si="18"/>
        <v>0</v>
      </c>
      <c r="E112" s="252">
        <f t="shared" si="19"/>
        <v>0</v>
      </c>
      <c r="F112" s="252">
        <f t="shared" si="20"/>
        <v>0</v>
      </c>
      <c r="G112" s="252">
        <f t="shared" si="21"/>
        <v>0</v>
      </c>
      <c r="H112" s="252">
        <f t="shared" si="22"/>
        <v>0</v>
      </c>
      <c r="I112" s="252">
        <f t="shared" si="31"/>
        <v>0</v>
      </c>
      <c r="J112" s="246"/>
      <c r="K112" s="241"/>
      <c r="L112" s="241"/>
      <c r="M112" s="241"/>
      <c r="R112" s="243"/>
      <c r="S112" s="250">
        <f t="shared" si="33"/>
        <v>95</v>
      </c>
      <c r="T112" s="254">
        <f t="shared" si="34"/>
        <v>8</v>
      </c>
      <c r="U112" s="252">
        <f t="shared" si="35"/>
        <v>0</v>
      </c>
      <c r="V112" s="252">
        <f t="shared" si="36"/>
        <v>0</v>
      </c>
      <c r="W112" s="252">
        <f>IF(S112="","-",SUM($V$18:V112))</f>
        <v>0</v>
      </c>
      <c r="X112" s="252">
        <f t="shared" si="29"/>
        <v>0</v>
      </c>
      <c r="Y112" s="252">
        <f>IF(S112="","-",SUM($X$18:X112))</f>
        <v>0</v>
      </c>
      <c r="Z112" s="252">
        <f t="shared" si="32"/>
        <v>0</v>
      </c>
      <c r="AA112" s="246"/>
      <c r="AB112" s="241"/>
      <c r="AC112" s="241"/>
      <c r="AD112" s="241"/>
    </row>
    <row r="113" spans="1:30" x14ac:dyDescent="0.35">
      <c r="A113" s="243"/>
      <c r="B113" s="654">
        <f t="shared" si="37"/>
        <v>96</v>
      </c>
      <c r="C113" s="655">
        <f t="shared" si="17"/>
        <v>8</v>
      </c>
      <c r="D113" s="656">
        <f t="shared" si="18"/>
        <v>0</v>
      </c>
      <c r="E113" s="656">
        <f t="shared" si="19"/>
        <v>0</v>
      </c>
      <c r="F113" s="656">
        <f t="shared" si="20"/>
        <v>0</v>
      </c>
      <c r="G113" s="656">
        <f t="shared" si="21"/>
        <v>0</v>
      </c>
      <c r="H113" s="656">
        <f t="shared" si="22"/>
        <v>0</v>
      </c>
      <c r="I113" s="656">
        <f t="shared" si="31"/>
        <v>0</v>
      </c>
      <c r="J113" s="242"/>
      <c r="K113" s="241"/>
      <c r="L113" s="241"/>
      <c r="M113" s="241"/>
      <c r="R113" s="243"/>
      <c r="S113" s="654">
        <f t="shared" si="33"/>
        <v>96</v>
      </c>
      <c r="T113" s="655">
        <f t="shared" si="34"/>
        <v>8</v>
      </c>
      <c r="U113" s="656">
        <f t="shared" si="35"/>
        <v>0</v>
      </c>
      <c r="V113" s="656">
        <f t="shared" si="36"/>
        <v>0</v>
      </c>
      <c r="W113" s="656">
        <f>IF(S113="","-",SUM($V$18:V113))</f>
        <v>0</v>
      </c>
      <c r="X113" s="656">
        <f t="shared" si="29"/>
        <v>0</v>
      </c>
      <c r="Y113" s="656">
        <f>IF(S113="","-",SUM($X$18:X113))</f>
        <v>0</v>
      </c>
      <c r="Z113" s="656">
        <f t="shared" si="32"/>
        <v>0</v>
      </c>
      <c r="AA113" s="242"/>
      <c r="AB113" s="241"/>
      <c r="AC113" s="241"/>
      <c r="AD113" s="241"/>
    </row>
    <row r="114" spans="1:30" x14ac:dyDescent="0.35">
      <c r="A114" s="243"/>
      <c r="B114" s="250">
        <f t="shared" si="37"/>
        <v>97</v>
      </c>
      <c r="C114" s="254">
        <f t="shared" si="17"/>
        <v>9</v>
      </c>
      <c r="D114" s="252">
        <f t="shared" si="18"/>
        <v>0</v>
      </c>
      <c r="E114" s="252">
        <f t="shared" si="19"/>
        <v>0</v>
      </c>
      <c r="F114" s="252">
        <f t="shared" si="20"/>
        <v>0</v>
      </c>
      <c r="G114" s="252">
        <f t="shared" si="21"/>
        <v>0</v>
      </c>
      <c r="H114" s="252">
        <f t="shared" si="22"/>
        <v>0</v>
      </c>
      <c r="I114" s="252">
        <f t="shared" si="31"/>
        <v>0</v>
      </c>
      <c r="J114" s="256"/>
      <c r="K114" s="241"/>
      <c r="L114" s="241"/>
      <c r="M114" s="241"/>
      <c r="R114" s="243"/>
      <c r="S114" s="250">
        <f t="shared" si="33"/>
        <v>97</v>
      </c>
      <c r="T114" s="254">
        <f t="shared" si="34"/>
        <v>9</v>
      </c>
      <c r="U114" s="252">
        <f t="shared" si="35"/>
        <v>0</v>
      </c>
      <c r="V114" s="252">
        <f t="shared" si="36"/>
        <v>0</v>
      </c>
      <c r="W114" s="252">
        <f>IF(S114="","-",SUM($V$18:V114))</f>
        <v>0</v>
      </c>
      <c r="X114" s="252">
        <f t="shared" si="29"/>
        <v>0</v>
      </c>
      <c r="Y114" s="252">
        <f>IF(S114="","-",SUM($X$18:X114))</f>
        <v>0</v>
      </c>
      <c r="Z114" s="252">
        <f t="shared" si="32"/>
        <v>0</v>
      </c>
      <c r="AA114" s="256"/>
      <c r="AB114" s="241"/>
      <c r="AC114" s="241"/>
      <c r="AD114" s="241"/>
    </row>
    <row r="115" spans="1:30" x14ac:dyDescent="0.35">
      <c r="A115" s="243"/>
      <c r="B115" s="250">
        <f t="shared" si="37"/>
        <v>98</v>
      </c>
      <c r="C115" s="254">
        <f t="shared" si="17"/>
        <v>9</v>
      </c>
      <c r="D115" s="252">
        <f t="shared" si="18"/>
        <v>0</v>
      </c>
      <c r="E115" s="252">
        <f t="shared" si="19"/>
        <v>0</v>
      </c>
      <c r="F115" s="252">
        <f t="shared" si="20"/>
        <v>0</v>
      </c>
      <c r="G115" s="252">
        <f t="shared" si="21"/>
        <v>0</v>
      </c>
      <c r="H115" s="252">
        <f t="shared" si="22"/>
        <v>0</v>
      </c>
      <c r="I115" s="252">
        <f t="shared" si="31"/>
        <v>0</v>
      </c>
      <c r="J115" s="246"/>
      <c r="K115" s="241"/>
      <c r="L115" s="241"/>
      <c r="M115" s="241"/>
      <c r="R115" s="243"/>
      <c r="S115" s="250">
        <f t="shared" si="33"/>
        <v>98</v>
      </c>
      <c r="T115" s="254">
        <f t="shared" si="34"/>
        <v>9</v>
      </c>
      <c r="U115" s="252">
        <f t="shared" si="35"/>
        <v>0</v>
      </c>
      <c r="V115" s="252">
        <f t="shared" si="36"/>
        <v>0</v>
      </c>
      <c r="W115" s="252">
        <f>IF(S115="","-",SUM($V$18:V115))</f>
        <v>0</v>
      </c>
      <c r="X115" s="252">
        <f t="shared" si="29"/>
        <v>0</v>
      </c>
      <c r="Y115" s="252">
        <f>IF(S115="","-",SUM($X$18:X115))</f>
        <v>0</v>
      </c>
      <c r="Z115" s="252">
        <f t="shared" si="32"/>
        <v>0</v>
      </c>
      <c r="AA115" s="246"/>
      <c r="AB115" s="241"/>
      <c r="AC115" s="241"/>
      <c r="AD115" s="241"/>
    </row>
    <row r="116" spans="1:30" x14ac:dyDescent="0.35">
      <c r="A116" s="243"/>
      <c r="B116" s="250">
        <f t="shared" si="37"/>
        <v>99</v>
      </c>
      <c r="C116" s="254">
        <f t="shared" si="17"/>
        <v>9</v>
      </c>
      <c r="D116" s="252">
        <f t="shared" si="18"/>
        <v>0</v>
      </c>
      <c r="E116" s="252">
        <f t="shared" si="19"/>
        <v>0</v>
      </c>
      <c r="F116" s="252">
        <f t="shared" si="20"/>
        <v>0</v>
      </c>
      <c r="G116" s="252">
        <f t="shared" si="21"/>
        <v>0</v>
      </c>
      <c r="H116" s="252">
        <f t="shared" si="22"/>
        <v>0</v>
      </c>
      <c r="I116" s="252">
        <f t="shared" si="31"/>
        <v>0</v>
      </c>
      <c r="J116" s="246"/>
      <c r="K116" s="241"/>
      <c r="L116" s="241"/>
      <c r="M116" s="241"/>
      <c r="R116" s="243"/>
      <c r="S116" s="250">
        <f t="shared" si="33"/>
        <v>99</v>
      </c>
      <c r="T116" s="254">
        <f t="shared" si="34"/>
        <v>9</v>
      </c>
      <c r="U116" s="252">
        <f t="shared" si="35"/>
        <v>0</v>
      </c>
      <c r="V116" s="252">
        <f t="shared" si="36"/>
        <v>0</v>
      </c>
      <c r="W116" s="252">
        <f>IF(S116="","-",SUM($V$18:V116))</f>
        <v>0</v>
      </c>
      <c r="X116" s="252">
        <f t="shared" si="29"/>
        <v>0</v>
      </c>
      <c r="Y116" s="252">
        <f>IF(S116="","-",SUM($X$18:X116))</f>
        <v>0</v>
      </c>
      <c r="Z116" s="252">
        <f t="shared" si="32"/>
        <v>0</v>
      </c>
      <c r="AA116" s="246"/>
      <c r="AB116" s="241"/>
      <c r="AC116" s="241"/>
      <c r="AD116" s="241"/>
    </row>
    <row r="117" spans="1:30" x14ac:dyDescent="0.35">
      <c r="A117" s="243"/>
      <c r="B117" s="250">
        <f t="shared" si="37"/>
        <v>100</v>
      </c>
      <c r="C117" s="254">
        <f t="shared" si="17"/>
        <v>9</v>
      </c>
      <c r="D117" s="252">
        <f t="shared" si="18"/>
        <v>0</v>
      </c>
      <c r="E117" s="252">
        <f t="shared" si="19"/>
        <v>0</v>
      </c>
      <c r="F117" s="252">
        <f t="shared" si="20"/>
        <v>0</v>
      </c>
      <c r="G117" s="252">
        <f t="shared" si="21"/>
        <v>0</v>
      </c>
      <c r="H117" s="252">
        <f t="shared" si="22"/>
        <v>0</v>
      </c>
      <c r="I117" s="252">
        <f t="shared" si="31"/>
        <v>0</v>
      </c>
      <c r="J117" s="246"/>
      <c r="K117" s="241"/>
      <c r="L117" s="241"/>
      <c r="M117" s="241"/>
      <c r="R117" s="243"/>
      <c r="S117" s="250">
        <f t="shared" si="33"/>
        <v>100</v>
      </c>
      <c r="T117" s="254">
        <f t="shared" si="34"/>
        <v>9</v>
      </c>
      <c r="U117" s="252">
        <f t="shared" si="35"/>
        <v>0</v>
      </c>
      <c r="V117" s="252">
        <f t="shared" si="36"/>
        <v>0</v>
      </c>
      <c r="W117" s="252">
        <f>IF(S117="","-",SUM($V$18:V117))</f>
        <v>0</v>
      </c>
      <c r="X117" s="252">
        <f t="shared" si="29"/>
        <v>0</v>
      </c>
      <c r="Y117" s="252">
        <f>IF(S117="","-",SUM($X$18:X117))</f>
        <v>0</v>
      </c>
      <c r="Z117" s="252">
        <f t="shared" si="32"/>
        <v>0</v>
      </c>
      <c r="AA117" s="246"/>
      <c r="AB117" s="241"/>
      <c r="AC117" s="241"/>
      <c r="AD117" s="241"/>
    </row>
    <row r="118" spans="1:30" x14ac:dyDescent="0.35">
      <c r="A118" s="243"/>
      <c r="B118" s="250">
        <f t="shared" si="37"/>
        <v>101</v>
      </c>
      <c r="C118" s="254">
        <f t="shared" si="17"/>
        <v>9</v>
      </c>
      <c r="D118" s="252">
        <f t="shared" si="18"/>
        <v>0</v>
      </c>
      <c r="E118" s="252">
        <f t="shared" si="19"/>
        <v>0</v>
      </c>
      <c r="F118" s="252">
        <f t="shared" si="20"/>
        <v>0</v>
      </c>
      <c r="G118" s="252">
        <f t="shared" si="21"/>
        <v>0</v>
      </c>
      <c r="H118" s="252">
        <f t="shared" si="22"/>
        <v>0</v>
      </c>
      <c r="I118" s="252">
        <f t="shared" si="31"/>
        <v>0</v>
      </c>
      <c r="J118" s="246"/>
      <c r="K118" s="241"/>
      <c r="L118" s="241"/>
      <c r="M118" s="241"/>
      <c r="R118" s="243"/>
      <c r="S118" s="250">
        <f t="shared" si="33"/>
        <v>101</v>
      </c>
      <c r="T118" s="254">
        <f t="shared" si="34"/>
        <v>9</v>
      </c>
      <c r="U118" s="252">
        <f t="shared" si="35"/>
        <v>0</v>
      </c>
      <c r="V118" s="252">
        <f t="shared" si="36"/>
        <v>0</v>
      </c>
      <c r="W118" s="252">
        <f>IF(S118="","-",SUM($V$18:V118))</f>
        <v>0</v>
      </c>
      <c r="X118" s="252">
        <f t="shared" si="29"/>
        <v>0</v>
      </c>
      <c r="Y118" s="252">
        <f>IF(S118="","-",SUM($X$18:X118))</f>
        <v>0</v>
      </c>
      <c r="Z118" s="252">
        <f t="shared" si="32"/>
        <v>0</v>
      </c>
      <c r="AA118" s="246"/>
      <c r="AB118" s="241"/>
      <c r="AC118" s="241"/>
      <c r="AD118" s="241"/>
    </row>
    <row r="119" spans="1:30" x14ac:dyDescent="0.35">
      <c r="A119" s="243"/>
      <c r="B119" s="250">
        <f t="shared" si="37"/>
        <v>102</v>
      </c>
      <c r="C119" s="254">
        <f t="shared" si="17"/>
        <v>9</v>
      </c>
      <c r="D119" s="252">
        <f t="shared" si="18"/>
        <v>0</v>
      </c>
      <c r="E119" s="252">
        <f t="shared" si="19"/>
        <v>0</v>
      </c>
      <c r="F119" s="252">
        <f t="shared" si="20"/>
        <v>0</v>
      </c>
      <c r="G119" s="252">
        <f t="shared" si="21"/>
        <v>0</v>
      </c>
      <c r="H119" s="252">
        <f t="shared" si="22"/>
        <v>0</v>
      </c>
      <c r="I119" s="252">
        <f t="shared" si="31"/>
        <v>0</v>
      </c>
      <c r="J119" s="246"/>
      <c r="K119" s="241"/>
      <c r="L119" s="241"/>
      <c r="M119" s="241"/>
      <c r="R119" s="243"/>
      <c r="S119" s="250">
        <f t="shared" si="33"/>
        <v>102</v>
      </c>
      <c r="T119" s="254">
        <f t="shared" si="34"/>
        <v>9</v>
      </c>
      <c r="U119" s="252">
        <f t="shared" si="35"/>
        <v>0</v>
      </c>
      <c r="V119" s="252">
        <f t="shared" si="36"/>
        <v>0</v>
      </c>
      <c r="W119" s="252">
        <f>IF(S119="","-",SUM($V$18:V119))</f>
        <v>0</v>
      </c>
      <c r="X119" s="252">
        <f t="shared" si="29"/>
        <v>0</v>
      </c>
      <c r="Y119" s="252">
        <f>IF(S119="","-",SUM($X$18:X119))</f>
        <v>0</v>
      </c>
      <c r="Z119" s="252">
        <f t="shared" si="32"/>
        <v>0</v>
      </c>
      <c r="AA119" s="246"/>
      <c r="AB119" s="241"/>
      <c r="AC119" s="241"/>
      <c r="AD119" s="241"/>
    </row>
    <row r="120" spans="1:30" x14ac:dyDescent="0.35">
      <c r="A120" s="243"/>
      <c r="B120" s="250">
        <f t="shared" si="37"/>
        <v>103</v>
      </c>
      <c r="C120" s="254">
        <f t="shared" si="17"/>
        <v>9</v>
      </c>
      <c r="D120" s="252">
        <f t="shared" si="18"/>
        <v>0</v>
      </c>
      <c r="E120" s="252">
        <f t="shared" si="19"/>
        <v>0</v>
      </c>
      <c r="F120" s="252">
        <f t="shared" si="20"/>
        <v>0</v>
      </c>
      <c r="G120" s="252">
        <f t="shared" si="21"/>
        <v>0</v>
      </c>
      <c r="H120" s="252">
        <f t="shared" si="22"/>
        <v>0</v>
      </c>
      <c r="I120" s="252">
        <f t="shared" si="31"/>
        <v>0</v>
      </c>
      <c r="J120" s="246"/>
      <c r="K120" s="241"/>
      <c r="L120" s="241"/>
      <c r="M120" s="241"/>
      <c r="R120" s="243"/>
      <c r="S120" s="250">
        <f t="shared" si="33"/>
        <v>103</v>
      </c>
      <c r="T120" s="254">
        <f t="shared" si="34"/>
        <v>9</v>
      </c>
      <c r="U120" s="252">
        <f t="shared" si="35"/>
        <v>0</v>
      </c>
      <c r="V120" s="252">
        <f t="shared" si="36"/>
        <v>0</v>
      </c>
      <c r="W120" s="252">
        <f>IF(S120="","-",SUM($V$18:V120))</f>
        <v>0</v>
      </c>
      <c r="X120" s="252">
        <f t="shared" si="29"/>
        <v>0</v>
      </c>
      <c r="Y120" s="252">
        <f>IF(S120="","-",SUM($X$18:X120))</f>
        <v>0</v>
      </c>
      <c r="Z120" s="252">
        <f t="shared" si="32"/>
        <v>0</v>
      </c>
      <c r="AA120" s="246"/>
      <c r="AB120" s="241"/>
      <c r="AC120" s="241"/>
      <c r="AD120" s="241"/>
    </row>
    <row r="121" spans="1:30" x14ac:dyDescent="0.35">
      <c r="A121" s="243"/>
      <c r="B121" s="250">
        <f t="shared" si="37"/>
        <v>104</v>
      </c>
      <c r="C121" s="254">
        <f t="shared" si="17"/>
        <v>9</v>
      </c>
      <c r="D121" s="252">
        <f t="shared" si="18"/>
        <v>0</v>
      </c>
      <c r="E121" s="252">
        <f t="shared" si="19"/>
        <v>0</v>
      </c>
      <c r="F121" s="252">
        <f t="shared" si="20"/>
        <v>0</v>
      </c>
      <c r="G121" s="252">
        <f t="shared" si="21"/>
        <v>0</v>
      </c>
      <c r="H121" s="252">
        <f t="shared" si="22"/>
        <v>0</v>
      </c>
      <c r="I121" s="252">
        <f t="shared" si="31"/>
        <v>0</v>
      </c>
      <c r="J121" s="246"/>
      <c r="K121" s="241"/>
      <c r="L121" s="241"/>
      <c r="M121" s="241"/>
      <c r="R121" s="243"/>
      <c r="S121" s="250">
        <f t="shared" si="33"/>
        <v>104</v>
      </c>
      <c r="T121" s="254">
        <f t="shared" si="34"/>
        <v>9</v>
      </c>
      <c r="U121" s="252">
        <f t="shared" si="35"/>
        <v>0</v>
      </c>
      <c r="V121" s="252">
        <f t="shared" si="36"/>
        <v>0</v>
      </c>
      <c r="W121" s="252">
        <f>IF(S121="","-",SUM($V$18:V121))</f>
        <v>0</v>
      </c>
      <c r="X121" s="252">
        <f t="shared" si="29"/>
        <v>0</v>
      </c>
      <c r="Y121" s="252">
        <f>IF(S121="","-",SUM($X$18:X121))</f>
        <v>0</v>
      </c>
      <c r="Z121" s="252">
        <f t="shared" si="32"/>
        <v>0</v>
      </c>
      <c r="AA121" s="246"/>
      <c r="AB121" s="241"/>
      <c r="AC121" s="241"/>
      <c r="AD121" s="241"/>
    </row>
    <row r="122" spans="1:30" x14ac:dyDescent="0.35">
      <c r="A122" s="243"/>
      <c r="B122" s="250">
        <f t="shared" si="37"/>
        <v>105</v>
      </c>
      <c r="C122" s="254">
        <f t="shared" si="17"/>
        <v>9</v>
      </c>
      <c r="D122" s="252">
        <f t="shared" si="18"/>
        <v>0</v>
      </c>
      <c r="E122" s="252">
        <f t="shared" si="19"/>
        <v>0</v>
      </c>
      <c r="F122" s="252">
        <f t="shared" si="20"/>
        <v>0</v>
      </c>
      <c r="G122" s="252">
        <f t="shared" si="21"/>
        <v>0</v>
      </c>
      <c r="H122" s="252">
        <f t="shared" si="22"/>
        <v>0</v>
      </c>
      <c r="I122" s="252">
        <f t="shared" si="31"/>
        <v>0</v>
      </c>
      <c r="J122" s="246"/>
      <c r="K122" s="241"/>
      <c r="L122" s="241"/>
      <c r="M122" s="241"/>
      <c r="R122" s="243"/>
      <c r="S122" s="250">
        <f t="shared" si="33"/>
        <v>105</v>
      </c>
      <c r="T122" s="254">
        <f t="shared" si="34"/>
        <v>9</v>
      </c>
      <c r="U122" s="252">
        <f t="shared" si="35"/>
        <v>0</v>
      </c>
      <c r="V122" s="252">
        <f t="shared" si="36"/>
        <v>0</v>
      </c>
      <c r="W122" s="252">
        <f>IF(S122="","-",SUM($V$18:V122))</f>
        <v>0</v>
      </c>
      <c r="X122" s="252">
        <f t="shared" si="29"/>
        <v>0</v>
      </c>
      <c r="Y122" s="252">
        <f>IF(S122="","-",SUM($X$18:X122))</f>
        <v>0</v>
      </c>
      <c r="Z122" s="252">
        <f t="shared" si="32"/>
        <v>0</v>
      </c>
      <c r="AA122" s="246"/>
      <c r="AB122" s="241"/>
      <c r="AC122" s="241"/>
      <c r="AD122" s="241"/>
    </row>
    <row r="123" spans="1:30" x14ac:dyDescent="0.35">
      <c r="A123" s="243"/>
      <c r="B123" s="250">
        <f t="shared" si="37"/>
        <v>106</v>
      </c>
      <c r="C123" s="254">
        <f t="shared" si="17"/>
        <v>9</v>
      </c>
      <c r="D123" s="252">
        <f t="shared" si="18"/>
        <v>0</v>
      </c>
      <c r="E123" s="252">
        <f t="shared" si="19"/>
        <v>0</v>
      </c>
      <c r="F123" s="252">
        <f t="shared" si="20"/>
        <v>0</v>
      </c>
      <c r="G123" s="252">
        <f t="shared" si="21"/>
        <v>0</v>
      </c>
      <c r="H123" s="252">
        <f t="shared" si="22"/>
        <v>0</v>
      </c>
      <c r="I123" s="252">
        <f t="shared" si="31"/>
        <v>0</v>
      </c>
      <c r="J123" s="246"/>
      <c r="K123" s="241"/>
      <c r="L123" s="241"/>
      <c r="M123" s="241"/>
      <c r="R123" s="243"/>
      <c r="S123" s="250">
        <f t="shared" si="33"/>
        <v>106</v>
      </c>
      <c r="T123" s="254">
        <f t="shared" si="34"/>
        <v>9</v>
      </c>
      <c r="U123" s="252">
        <f t="shared" si="35"/>
        <v>0</v>
      </c>
      <c r="V123" s="252">
        <f t="shared" si="36"/>
        <v>0</v>
      </c>
      <c r="W123" s="252">
        <f>IF(S123="","-",SUM($V$18:V123))</f>
        <v>0</v>
      </c>
      <c r="X123" s="252">
        <f t="shared" si="29"/>
        <v>0</v>
      </c>
      <c r="Y123" s="252">
        <f>IF(S123="","-",SUM($X$18:X123))</f>
        <v>0</v>
      </c>
      <c r="Z123" s="252">
        <f t="shared" si="32"/>
        <v>0</v>
      </c>
      <c r="AA123" s="246"/>
      <c r="AB123" s="241"/>
      <c r="AC123" s="241"/>
      <c r="AD123" s="241"/>
    </row>
    <row r="124" spans="1:30" x14ac:dyDescent="0.35">
      <c r="A124" s="243"/>
      <c r="B124" s="250">
        <f t="shared" si="37"/>
        <v>107</v>
      </c>
      <c r="C124" s="254">
        <f t="shared" si="17"/>
        <v>9</v>
      </c>
      <c r="D124" s="252">
        <f t="shared" si="18"/>
        <v>0</v>
      </c>
      <c r="E124" s="252">
        <f t="shared" si="19"/>
        <v>0</v>
      </c>
      <c r="F124" s="252">
        <f t="shared" si="20"/>
        <v>0</v>
      </c>
      <c r="G124" s="252">
        <f t="shared" si="21"/>
        <v>0</v>
      </c>
      <c r="H124" s="252">
        <f t="shared" si="22"/>
        <v>0</v>
      </c>
      <c r="I124" s="252">
        <f t="shared" si="31"/>
        <v>0</v>
      </c>
      <c r="J124" s="246"/>
      <c r="K124" s="241"/>
      <c r="L124" s="241"/>
      <c r="M124" s="241"/>
      <c r="R124" s="243"/>
      <c r="S124" s="250">
        <f t="shared" si="33"/>
        <v>107</v>
      </c>
      <c r="T124" s="254">
        <f t="shared" si="34"/>
        <v>9</v>
      </c>
      <c r="U124" s="252">
        <f t="shared" si="35"/>
        <v>0</v>
      </c>
      <c r="V124" s="252">
        <f t="shared" si="36"/>
        <v>0</v>
      </c>
      <c r="W124" s="252">
        <f>IF(S124="","-",SUM($V$18:V124))</f>
        <v>0</v>
      </c>
      <c r="X124" s="252">
        <f t="shared" si="29"/>
        <v>0</v>
      </c>
      <c r="Y124" s="252">
        <f>IF(S124="","-",SUM($X$18:X124))</f>
        <v>0</v>
      </c>
      <c r="Z124" s="252">
        <f t="shared" si="32"/>
        <v>0</v>
      </c>
      <c r="AA124" s="246"/>
      <c r="AB124" s="241"/>
      <c r="AC124" s="241"/>
      <c r="AD124" s="241"/>
    </row>
    <row r="125" spans="1:30" x14ac:dyDescent="0.35">
      <c r="A125" s="243"/>
      <c r="B125" s="654">
        <f t="shared" si="37"/>
        <v>108</v>
      </c>
      <c r="C125" s="655">
        <f t="shared" si="17"/>
        <v>9</v>
      </c>
      <c r="D125" s="656">
        <f t="shared" si="18"/>
        <v>0</v>
      </c>
      <c r="E125" s="656">
        <f t="shared" si="19"/>
        <v>0</v>
      </c>
      <c r="F125" s="656">
        <f t="shared" si="20"/>
        <v>0</v>
      </c>
      <c r="G125" s="656">
        <f t="shared" si="21"/>
        <v>0</v>
      </c>
      <c r="H125" s="656">
        <f t="shared" si="22"/>
        <v>0</v>
      </c>
      <c r="I125" s="656">
        <f t="shared" si="31"/>
        <v>0</v>
      </c>
      <c r="J125" s="242"/>
      <c r="K125" s="241"/>
      <c r="L125" s="241"/>
      <c r="M125" s="241"/>
      <c r="R125" s="243"/>
      <c r="S125" s="654">
        <f t="shared" si="33"/>
        <v>108</v>
      </c>
      <c r="T125" s="655">
        <f t="shared" si="34"/>
        <v>9</v>
      </c>
      <c r="U125" s="656">
        <f t="shared" si="35"/>
        <v>0</v>
      </c>
      <c r="V125" s="656">
        <f t="shared" si="36"/>
        <v>0</v>
      </c>
      <c r="W125" s="656">
        <f>IF(S125="","-",SUM($V$18:V125))</f>
        <v>0</v>
      </c>
      <c r="X125" s="656">
        <f t="shared" si="29"/>
        <v>0</v>
      </c>
      <c r="Y125" s="656">
        <f>IF(S125="","-",SUM($X$18:X125))</f>
        <v>0</v>
      </c>
      <c r="Z125" s="656">
        <f t="shared" si="32"/>
        <v>0</v>
      </c>
      <c r="AA125" s="242"/>
      <c r="AB125" s="241"/>
      <c r="AC125" s="241"/>
      <c r="AD125" s="241"/>
    </row>
    <row r="126" spans="1:30" x14ac:dyDescent="0.35">
      <c r="A126" s="243"/>
      <c r="B126" s="250">
        <f t="shared" si="37"/>
        <v>109</v>
      </c>
      <c r="C126" s="254">
        <f t="shared" si="17"/>
        <v>10</v>
      </c>
      <c r="D126" s="252">
        <f t="shared" si="18"/>
        <v>0</v>
      </c>
      <c r="E126" s="252">
        <f t="shared" si="19"/>
        <v>0</v>
      </c>
      <c r="F126" s="252">
        <f t="shared" si="20"/>
        <v>0</v>
      </c>
      <c r="G126" s="252">
        <f t="shared" si="21"/>
        <v>0</v>
      </c>
      <c r="H126" s="252">
        <f t="shared" si="22"/>
        <v>0</v>
      </c>
      <c r="I126" s="252">
        <f t="shared" si="31"/>
        <v>0</v>
      </c>
      <c r="J126" s="246"/>
      <c r="K126" s="241"/>
      <c r="L126" s="241"/>
      <c r="M126" s="241"/>
      <c r="R126" s="243"/>
      <c r="S126" s="250">
        <f t="shared" si="33"/>
        <v>109</v>
      </c>
      <c r="T126" s="254">
        <f t="shared" si="34"/>
        <v>10</v>
      </c>
      <c r="U126" s="252">
        <f t="shared" si="35"/>
        <v>0</v>
      </c>
      <c r="V126" s="252">
        <f t="shared" si="36"/>
        <v>0</v>
      </c>
      <c r="W126" s="252">
        <f>IF(S126="","-",SUM($V$18:V126))</f>
        <v>0</v>
      </c>
      <c r="X126" s="252">
        <f t="shared" si="29"/>
        <v>0</v>
      </c>
      <c r="Y126" s="252">
        <f>IF(S126="","-",SUM($X$18:X126))</f>
        <v>0</v>
      </c>
      <c r="Z126" s="252">
        <f t="shared" si="32"/>
        <v>0</v>
      </c>
      <c r="AA126" s="246"/>
      <c r="AB126" s="241"/>
      <c r="AC126" s="241"/>
      <c r="AD126" s="241"/>
    </row>
    <row r="127" spans="1:30" x14ac:dyDescent="0.35">
      <c r="A127" s="243"/>
      <c r="B127" s="250">
        <f t="shared" si="37"/>
        <v>110</v>
      </c>
      <c r="C127" s="254">
        <f t="shared" si="17"/>
        <v>10</v>
      </c>
      <c r="D127" s="252">
        <f t="shared" si="18"/>
        <v>0</v>
      </c>
      <c r="E127" s="252">
        <f t="shared" si="19"/>
        <v>0</v>
      </c>
      <c r="F127" s="252">
        <f t="shared" si="20"/>
        <v>0</v>
      </c>
      <c r="G127" s="252">
        <f t="shared" si="21"/>
        <v>0</v>
      </c>
      <c r="H127" s="252">
        <f t="shared" si="22"/>
        <v>0</v>
      </c>
      <c r="I127" s="252">
        <f t="shared" si="31"/>
        <v>0</v>
      </c>
      <c r="J127" s="246"/>
      <c r="K127" s="241"/>
      <c r="L127" s="241"/>
      <c r="M127" s="241"/>
      <c r="R127" s="243"/>
      <c r="S127" s="250">
        <f t="shared" si="33"/>
        <v>110</v>
      </c>
      <c r="T127" s="254">
        <f t="shared" si="34"/>
        <v>10</v>
      </c>
      <c r="U127" s="252">
        <f t="shared" si="35"/>
        <v>0</v>
      </c>
      <c r="V127" s="252">
        <f t="shared" si="36"/>
        <v>0</v>
      </c>
      <c r="W127" s="252">
        <f>IF(S127="","-",SUM($V$18:V127))</f>
        <v>0</v>
      </c>
      <c r="X127" s="252">
        <f t="shared" si="29"/>
        <v>0</v>
      </c>
      <c r="Y127" s="252">
        <f>IF(S127="","-",SUM($X$18:X127))</f>
        <v>0</v>
      </c>
      <c r="Z127" s="252">
        <f t="shared" si="32"/>
        <v>0</v>
      </c>
      <c r="AA127" s="246"/>
      <c r="AB127" s="241"/>
      <c r="AC127" s="241"/>
      <c r="AD127" s="241"/>
    </row>
    <row r="128" spans="1:30" x14ac:dyDescent="0.35">
      <c r="A128" s="243"/>
      <c r="B128" s="250">
        <f t="shared" si="37"/>
        <v>111</v>
      </c>
      <c r="C128" s="254">
        <f t="shared" si="17"/>
        <v>10</v>
      </c>
      <c r="D128" s="252">
        <f t="shared" si="18"/>
        <v>0</v>
      </c>
      <c r="E128" s="252">
        <f t="shared" si="19"/>
        <v>0</v>
      </c>
      <c r="F128" s="252">
        <f t="shared" si="20"/>
        <v>0</v>
      </c>
      <c r="G128" s="252">
        <f t="shared" si="21"/>
        <v>0</v>
      </c>
      <c r="H128" s="252">
        <f t="shared" si="22"/>
        <v>0</v>
      </c>
      <c r="I128" s="252">
        <f t="shared" si="31"/>
        <v>0</v>
      </c>
      <c r="J128" s="246"/>
      <c r="K128" s="241"/>
      <c r="L128" s="241"/>
      <c r="M128" s="241"/>
      <c r="R128" s="243"/>
      <c r="S128" s="250">
        <f t="shared" si="33"/>
        <v>111</v>
      </c>
      <c r="T128" s="254">
        <f t="shared" si="34"/>
        <v>10</v>
      </c>
      <c r="U128" s="252">
        <f t="shared" si="35"/>
        <v>0</v>
      </c>
      <c r="V128" s="252">
        <f t="shared" si="36"/>
        <v>0</v>
      </c>
      <c r="W128" s="252">
        <f>IF(S128="","-",SUM($V$18:V128))</f>
        <v>0</v>
      </c>
      <c r="X128" s="252">
        <f t="shared" si="29"/>
        <v>0</v>
      </c>
      <c r="Y128" s="252">
        <f>IF(S128="","-",SUM($X$18:X128))</f>
        <v>0</v>
      </c>
      <c r="Z128" s="252">
        <f t="shared" si="32"/>
        <v>0</v>
      </c>
      <c r="AA128" s="246"/>
      <c r="AB128" s="241"/>
      <c r="AC128" s="241"/>
      <c r="AD128" s="241"/>
    </row>
    <row r="129" spans="1:30" x14ac:dyDescent="0.35">
      <c r="A129" s="243"/>
      <c r="B129" s="250">
        <f t="shared" si="37"/>
        <v>112</v>
      </c>
      <c r="C129" s="254">
        <f t="shared" si="17"/>
        <v>10</v>
      </c>
      <c r="D129" s="252">
        <f t="shared" si="18"/>
        <v>0</v>
      </c>
      <c r="E129" s="252">
        <f t="shared" si="19"/>
        <v>0</v>
      </c>
      <c r="F129" s="252">
        <f t="shared" si="20"/>
        <v>0</v>
      </c>
      <c r="G129" s="252">
        <f t="shared" si="21"/>
        <v>0</v>
      </c>
      <c r="H129" s="252">
        <f t="shared" si="22"/>
        <v>0</v>
      </c>
      <c r="I129" s="252">
        <f t="shared" si="31"/>
        <v>0</v>
      </c>
      <c r="J129" s="246"/>
      <c r="K129" s="241"/>
      <c r="L129" s="241"/>
      <c r="M129" s="241"/>
      <c r="R129" s="243"/>
      <c r="S129" s="250">
        <f t="shared" si="33"/>
        <v>112</v>
      </c>
      <c r="T129" s="254">
        <f t="shared" si="34"/>
        <v>10</v>
      </c>
      <c r="U129" s="252">
        <f t="shared" si="35"/>
        <v>0</v>
      </c>
      <c r="V129" s="252">
        <f t="shared" si="36"/>
        <v>0</v>
      </c>
      <c r="W129" s="252">
        <f>IF(S129="","-",SUM($V$18:V129))</f>
        <v>0</v>
      </c>
      <c r="X129" s="252">
        <f t="shared" si="29"/>
        <v>0</v>
      </c>
      <c r="Y129" s="252">
        <f>IF(S129="","-",SUM($X$18:X129))</f>
        <v>0</v>
      </c>
      <c r="Z129" s="252">
        <f t="shared" si="32"/>
        <v>0</v>
      </c>
      <c r="AA129" s="246"/>
      <c r="AB129" s="241"/>
      <c r="AC129" s="241"/>
      <c r="AD129" s="241"/>
    </row>
    <row r="130" spans="1:30" x14ac:dyDescent="0.35">
      <c r="A130" s="243"/>
      <c r="B130" s="250">
        <f t="shared" si="37"/>
        <v>113</v>
      </c>
      <c r="C130" s="254">
        <f t="shared" si="17"/>
        <v>10</v>
      </c>
      <c r="D130" s="252">
        <f t="shared" si="18"/>
        <v>0</v>
      </c>
      <c r="E130" s="252">
        <f t="shared" si="19"/>
        <v>0</v>
      </c>
      <c r="F130" s="252">
        <f t="shared" si="20"/>
        <v>0</v>
      </c>
      <c r="G130" s="252">
        <f t="shared" si="21"/>
        <v>0</v>
      </c>
      <c r="H130" s="252">
        <f t="shared" si="22"/>
        <v>0</v>
      </c>
      <c r="I130" s="252">
        <f t="shared" si="31"/>
        <v>0</v>
      </c>
      <c r="J130" s="246"/>
      <c r="K130" s="241"/>
      <c r="L130" s="241"/>
      <c r="M130" s="241"/>
      <c r="R130" s="243"/>
      <c r="S130" s="250">
        <f t="shared" si="33"/>
        <v>113</v>
      </c>
      <c r="T130" s="254">
        <f t="shared" si="34"/>
        <v>10</v>
      </c>
      <c r="U130" s="252">
        <f t="shared" si="35"/>
        <v>0</v>
      </c>
      <c r="V130" s="252">
        <f t="shared" si="36"/>
        <v>0</v>
      </c>
      <c r="W130" s="252">
        <f>IF(S130="","-",SUM($V$18:V130))</f>
        <v>0</v>
      </c>
      <c r="X130" s="252">
        <f t="shared" si="29"/>
        <v>0</v>
      </c>
      <c r="Y130" s="252">
        <f>IF(S130="","-",SUM($X$18:X130))</f>
        <v>0</v>
      </c>
      <c r="Z130" s="252">
        <f t="shared" si="32"/>
        <v>0</v>
      </c>
      <c r="AA130" s="246"/>
      <c r="AB130" s="241"/>
      <c r="AC130" s="241"/>
      <c r="AD130" s="241"/>
    </row>
    <row r="131" spans="1:30" x14ac:dyDescent="0.35">
      <c r="A131" s="243"/>
      <c r="B131" s="250">
        <f t="shared" si="37"/>
        <v>114</v>
      </c>
      <c r="C131" s="254">
        <f t="shared" si="17"/>
        <v>10</v>
      </c>
      <c r="D131" s="252">
        <f t="shared" si="18"/>
        <v>0</v>
      </c>
      <c r="E131" s="252">
        <f t="shared" si="19"/>
        <v>0</v>
      </c>
      <c r="F131" s="252">
        <f t="shared" si="20"/>
        <v>0</v>
      </c>
      <c r="G131" s="252">
        <f t="shared" si="21"/>
        <v>0</v>
      </c>
      <c r="H131" s="252">
        <f t="shared" si="22"/>
        <v>0</v>
      </c>
      <c r="I131" s="252">
        <f t="shared" si="31"/>
        <v>0</v>
      </c>
      <c r="J131" s="246"/>
      <c r="K131" s="241"/>
      <c r="L131" s="241"/>
      <c r="M131" s="241"/>
      <c r="R131" s="243"/>
      <c r="S131" s="250">
        <f t="shared" si="33"/>
        <v>114</v>
      </c>
      <c r="T131" s="254">
        <f t="shared" si="34"/>
        <v>10</v>
      </c>
      <c r="U131" s="252">
        <f t="shared" si="35"/>
        <v>0</v>
      </c>
      <c r="V131" s="252">
        <f t="shared" si="36"/>
        <v>0</v>
      </c>
      <c r="W131" s="252">
        <f>IF(S131="","-",SUM($V$18:V131))</f>
        <v>0</v>
      </c>
      <c r="X131" s="252">
        <f t="shared" si="29"/>
        <v>0</v>
      </c>
      <c r="Y131" s="252">
        <f>IF(S131="","-",SUM($X$18:X131))</f>
        <v>0</v>
      </c>
      <c r="Z131" s="252">
        <f t="shared" si="32"/>
        <v>0</v>
      </c>
      <c r="AA131" s="246"/>
      <c r="AB131" s="241"/>
      <c r="AC131" s="241"/>
      <c r="AD131" s="241"/>
    </row>
    <row r="132" spans="1:30" x14ac:dyDescent="0.35">
      <c r="A132" s="243"/>
      <c r="B132" s="250">
        <f t="shared" si="37"/>
        <v>115</v>
      </c>
      <c r="C132" s="254">
        <f t="shared" si="17"/>
        <v>10</v>
      </c>
      <c r="D132" s="252">
        <f t="shared" si="18"/>
        <v>0</v>
      </c>
      <c r="E132" s="252">
        <f t="shared" si="19"/>
        <v>0</v>
      </c>
      <c r="F132" s="252">
        <f t="shared" si="20"/>
        <v>0</v>
      </c>
      <c r="G132" s="252">
        <f t="shared" si="21"/>
        <v>0</v>
      </c>
      <c r="H132" s="252">
        <f t="shared" si="22"/>
        <v>0</v>
      </c>
      <c r="I132" s="252">
        <f t="shared" si="31"/>
        <v>0</v>
      </c>
      <c r="J132" s="246"/>
      <c r="K132" s="241"/>
      <c r="L132" s="241"/>
      <c r="M132" s="241"/>
      <c r="R132" s="243"/>
      <c r="S132" s="250">
        <f t="shared" si="33"/>
        <v>115</v>
      </c>
      <c r="T132" s="254">
        <f t="shared" si="34"/>
        <v>10</v>
      </c>
      <c r="U132" s="252">
        <f t="shared" si="35"/>
        <v>0</v>
      </c>
      <c r="V132" s="252">
        <f t="shared" si="36"/>
        <v>0</v>
      </c>
      <c r="W132" s="252">
        <f>IF(S132="","-",SUM($V$18:V132))</f>
        <v>0</v>
      </c>
      <c r="X132" s="252">
        <f t="shared" si="29"/>
        <v>0</v>
      </c>
      <c r="Y132" s="252">
        <f>IF(S132="","-",SUM($X$18:X132))</f>
        <v>0</v>
      </c>
      <c r="Z132" s="252">
        <f t="shared" si="32"/>
        <v>0</v>
      </c>
      <c r="AA132" s="246"/>
      <c r="AB132" s="241"/>
      <c r="AC132" s="241"/>
      <c r="AD132" s="241"/>
    </row>
    <row r="133" spans="1:30" x14ac:dyDescent="0.35">
      <c r="A133" s="243"/>
      <c r="B133" s="250">
        <f t="shared" si="37"/>
        <v>116</v>
      </c>
      <c r="C133" s="254">
        <f t="shared" si="17"/>
        <v>10</v>
      </c>
      <c r="D133" s="252">
        <f t="shared" si="18"/>
        <v>0</v>
      </c>
      <c r="E133" s="252">
        <f t="shared" si="19"/>
        <v>0</v>
      </c>
      <c r="F133" s="252">
        <f t="shared" si="20"/>
        <v>0</v>
      </c>
      <c r="G133" s="252">
        <f t="shared" si="21"/>
        <v>0</v>
      </c>
      <c r="H133" s="252">
        <f t="shared" si="22"/>
        <v>0</v>
      </c>
      <c r="I133" s="252">
        <f t="shared" si="31"/>
        <v>0</v>
      </c>
      <c r="J133" s="246"/>
      <c r="K133" s="241"/>
      <c r="L133" s="241"/>
      <c r="M133" s="241"/>
      <c r="R133" s="243"/>
      <c r="S133" s="250">
        <f t="shared" si="33"/>
        <v>116</v>
      </c>
      <c r="T133" s="254">
        <f t="shared" si="34"/>
        <v>10</v>
      </c>
      <c r="U133" s="252">
        <f t="shared" si="35"/>
        <v>0</v>
      </c>
      <c r="V133" s="252">
        <f t="shared" si="36"/>
        <v>0</v>
      </c>
      <c r="W133" s="252">
        <f>IF(S133="","-",SUM($V$18:V133))</f>
        <v>0</v>
      </c>
      <c r="X133" s="252">
        <f t="shared" si="29"/>
        <v>0</v>
      </c>
      <c r="Y133" s="252">
        <f>IF(S133="","-",SUM($X$18:X133))</f>
        <v>0</v>
      </c>
      <c r="Z133" s="252">
        <f t="shared" si="32"/>
        <v>0</v>
      </c>
      <c r="AA133" s="246"/>
      <c r="AB133" s="241"/>
      <c r="AC133" s="241"/>
      <c r="AD133" s="241"/>
    </row>
    <row r="134" spans="1:30" x14ac:dyDescent="0.35">
      <c r="A134" s="243"/>
      <c r="B134" s="250">
        <f t="shared" si="37"/>
        <v>117</v>
      </c>
      <c r="C134" s="254">
        <f t="shared" si="17"/>
        <v>10</v>
      </c>
      <c r="D134" s="252">
        <f t="shared" si="18"/>
        <v>0</v>
      </c>
      <c r="E134" s="252">
        <f t="shared" si="19"/>
        <v>0</v>
      </c>
      <c r="F134" s="252">
        <f t="shared" si="20"/>
        <v>0</v>
      </c>
      <c r="G134" s="252">
        <f t="shared" si="21"/>
        <v>0</v>
      </c>
      <c r="H134" s="252">
        <f t="shared" si="22"/>
        <v>0</v>
      </c>
      <c r="I134" s="252">
        <f t="shared" si="31"/>
        <v>0</v>
      </c>
      <c r="J134" s="246"/>
      <c r="K134" s="241"/>
      <c r="L134" s="241"/>
      <c r="M134" s="241"/>
      <c r="R134" s="243"/>
      <c r="S134" s="250">
        <f t="shared" si="33"/>
        <v>117</v>
      </c>
      <c r="T134" s="254">
        <f t="shared" si="34"/>
        <v>10</v>
      </c>
      <c r="U134" s="252">
        <f t="shared" si="35"/>
        <v>0</v>
      </c>
      <c r="V134" s="252">
        <f t="shared" si="36"/>
        <v>0</v>
      </c>
      <c r="W134" s="252">
        <f>IF(S134="","-",SUM($V$18:V134))</f>
        <v>0</v>
      </c>
      <c r="X134" s="252">
        <f t="shared" si="29"/>
        <v>0</v>
      </c>
      <c r="Y134" s="252">
        <f>IF(S134="","-",SUM($X$18:X134))</f>
        <v>0</v>
      </c>
      <c r="Z134" s="252">
        <f t="shared" si="32"/>
        <v>0</v>
      </c>
      <c r="AA134" s="246"/>
      <c r="AB134" s="241"/>
      <c r="AC134" s="241"/>
      <c r="AD134" s="241"/>
    </row>
    <row r="135" spans="1:30" x14ac:dyDescent="0.35">
      <c r="A135" s="243"/>
      <c r="B135" s="250">
        <f t="shared" si="37"/>
        <v>118</v>
      </c>
      <c r="C135" s="254">
        <f t="shared" si="17"/>
        <v>10</v>
      </c>
      <c r="D135" s="252">
        <f t="shared" si="18"/>
        <v>0</v>
      </c>
      <c r="E135" s="252">
        <f t="shared" si="19"/>
        <v>0</v>
      </c>
      <c r="F135" s="252">
        <f t="shared" si="20"/>
        <v>0</v>
      </c>
      <c r="G135" s="252">
        <f t="shared" si="21"/>
        <v>0</v>
      </c>
      <c r="H135" s="252">
        <f t="shared" si="22"/>
        <v>0</v>
      </c>
      <c r="I135" s="252">
        <f t="shared" si="31"/>
        <v>0</v>
      </c>
      <c r="J135" s="246"/>
      <c r="K135" s="241"/>
      <c r="L135" s="241"/>
      <c r="M135" s="241"/>
      <c r="R135" s="243"/>
      <c r="S135" s="250">
        <f t="shared" si="33"/>
        <v>118</v>
      </c>
      <c r="T135" s="254">
        <f t="shared" si="34"/>
        <v>10</v>
      </c>
      <c r="U135" s="252">
        <f t="shared" si="35"/>
        <v>0</v>
      </c>
      <c r="V135" s="252">
        <f t="shared" si="36"/>
        <v>0</v>
      </c>
      <c r="W135" s="252">
        <f>IF(S135="","-",SUM($V$18:V135))</f>
        <v>0</v>
      </c>
      <c r="X135" s="252">
        <f t="shared" si="29"/>
        <v>0</v>
      </c>
      <c r="Y135" s="252">
        <f>IF(S135="","-",SUM($X$18:X135))</f>
        <v>0</v>
      </c>
      <c r="Z135" s="252">
        <f t="shared" si="32"/>
        <v>0</v>
      </c>
      <c r="AA135" s="246"/>
      <c r="AB135" s="241"/>
      <c r="AC135" s="241"/>
      <c r="AD135" s="241"/>
    </row>
    <row r="136" spans="1:30" x14ac:dyDescent="0.35">
      <c r="A136" s="243"/>
      <c r="B136" s="250">
        <f t="shared" si="37"/>
        <v>119</v>
      </c>
      <c r="C136" s="254">
        <f t="shared" si="17"/>
        <v>10</v>
      </c>
      <c r="D136" s="252">
        <f t="shared" si="18"/>
        <v>0</v>
      </c>
      <c r="E136" s="252">
        <f t="shared" si="19"/>
        <v>0</v>
      </c>
      <c r="F136" s="252">
        <f t="shared" si="20"/>
        <v>0</v>
      </c>
      <c r="G136" s="252">
        <f t="shared" si="21"/>
        <v>0</v>
      </c>
      <c r="H136" s="252">
        <f t="shared" si="22"/>
        <v>0</v>
      </c>
      <c r="I136" s="252">
        <f t="shared" si="31"/>
        <v>0</v>
      </c>
      <c r="J136" s="246"/>
      <c r="K136" s="241"/>
      <c r="L136" s="241"/>
      <c r="M136" s="241"/>
      <c r="R136" s="243"/>
      <c r="S136" s="250">
        <f t="shared" si="33"/>
        <v>119</v>
      </c>
      <c r="T136" s="254">
        <f t="shared" si="34"/>
        <v>10</v>
      </c>
      <c r="U136" s="252">
        <f t="shared" si="35"/>
        <v>0</v>
      </c>
      <c r="V136" s="252">
        <f t="shared" si="36"/>
        <v>0</v>
      </c>
      <c r="W136" s="252">
        <f>IF(S136="","-",SUM($V$18:V136))</f>
        <v>0</v>
      </c>
      <c r="X136" s="252">
        <f t="shared" si="29"/>
        <v>0</v>
      </c>
      <c r="Y136" s="252">
        <f>IF(S136="","-",SUM($X$18:X136))</f>
        <v>0</v>
      </c>
      <c r="Z136" s="252">
        <f t="shared" si="32"/>
        <v>0</v>
      </c>
      <c r="AA136" s="246"/>
      <c r="AB136" s="241"/>
      <c r="AC136" s="241"/>
      <c r="AD136" s="241"/>
    </row>
    <row r="137" spans="1:30" x14ac:dyDescent="0.35">
      <c r="A137" s="243"/>
      <c r="B137" s="654">
        <f t="shared" si="37"/>
        <v>120</v>
      </c>
      <c r="C137" s="655">
        <f t="shared" si="17"/>
        <v>10</v>
      </c>
      <c r="D137" s="656">
        <f t="shared" si="18"/>
        <v>0</v>
      </c>
      <c r="E137" s="656">
        <f t="shared" si="19"/>
        <v>0</v>
      </c>
      <c r="F137" s="656">
        <f t="shared" si="20"/>
        <v>0</v>
      </c>
      <c r="G137" s="656">
        <f t="shared" si="21"/>
        <v>0</v>
      </c>
      <c r="H137" s="656">
        <f t="shared" si="22"/>
        <v>0</v>
      </c>
      <c r="I137" s="656">
        <f t="shared" si="31"/>
        <v>0</v>
      </c>
      <c r="J137" s="242"/>
      <c r="K137" s="241"/>
      <c r="L137" s="241"/>
      <c r="M137" s="241"/>
      <c r="R137" s="243"/>
      <c r="S137" s="654">
        <f t="shared" si="33"/>
        <v>120</v>
      </c>
      <c r="T137" s="655">
        <f t="shared" si="34"/>
        <v>10</v>
      </c>
      <c r="U137" s="656">
        <f t="shared" si="35"/>
        <v>0</v>
      </c>
      <c r="V137" s="656">
        <f t="shared" si="36"/>
        <v>0</v>
      </c>
      <c r="W137" s="656">
        <f>IF(S137="","-",SUM($V$18:V137))</f>
        <v>0</v>
      </c>
      <c r="X137" s="656">
        <f t="shared" si="29"/>
        <v>0</v>
      </c>
      <c r="Y137" s="656">
        <f>IF(S137="","-",SUM($X$18:X137))</f>
        <v>0</v>
      </c>
      <c r="Z137" s="656">
        <f t="shared" si="32"/>
        <v>0</v>
      </c>
      <c r="AA137" s="242"/>
      <c r="AB137" s="241"/>
      <c r="AC137" s="241"/>
      <c r="AD137" s="241"/>
    </row>
    <row r="138" spans="1:30" x14ac:dyDescent="0.35">
      <c r="A138" s="243"/>
      <c r="B138" s="246"/>
      <c r="C138" s="241"/>
      <c r="D138" s="241"/>
      <c r="E138" s="241"/>
      <c r="R138" s="243"/>
      <c r="S138" s="246"/>
      <c r="T138" s="241"/>
      <c r="U138" s="241"/>
      <c r="V138" s="241"/>
    </row>
    <row r="139" spans="1:30" x14ac:dyDescent="0.35">
      <c r="A139" s="243"/>
      <c r="B139" s="246"/>
      <c r="C139" s="241"/>
      <c r="D139" s="241"/>
      <c r="E139" s="241"/>
      <c r="R139" s="243"/>
      <c r="S139" s="246"/>
      <c r="T139" s="241"/>
      <c r="U139" s="241"/>
      <c r="V139" s="241"/>
    </row>
    <row r="140" spans="1:30" x14ac:dyDescent="0.35">
      <c r="A140" s="243"/>
      <c r="B140" s="246"/>
      <c r="C140" s="241"/>
      <c r="D140" s="241"/>
      <c r="E140" s="241"/>
      <c r="R140" s="243"/>
      <c r="S140" s="246"/>
      <c r="T140" s="241"/>
      <c r="U140" s="241"/>
      <c r="V140" s="241"/>
    </row>
    <row r="141" spans="1:30" x14ac:dyDescent="0.35">
      <c r="A141" s="243"/>
      <c r="B141" s="246"/>
      <c r="C141" s="241"/>
      <c r="D141" s="241"/>
      <c r="E141" s="241"/>
      <c r="R141" s="243"/>
      <c r="S141" s="246"/>
      <c r="T141" s="241"/>
      <c r="U141" s="241"/>
      <c r="V141" s="241"/>
    </row>
    <row r="142" spans="1:30" x14ac:dyDescent="0.35">
      <c r="A142" s="243"/>
      <c r="B142" s="246"/>
      <c r="C142" s="241"/>
      <c r="D142" s="241"/>
      <c r="E142" s="241"/>
      <c r="R142" s="243"/>
      <c r="S142" s="246"/>
      <c r="T142" s="241"/>
      <c r="U142" s="241"/>
      <c r="V142" s="241"/>
    </row>
    <row r="143" spans="1:30" x14ac:dyDescent="0.35">
      <c r="A143" s="243"/>
      <c r="B143" s="246"/>
      <c r="C143" s="241"/>
      <c r="D143" s="241"/>
      <c r="E143" s="241"/>
      <c r="R143" s="243"/>
      <c r="S143" s="246"/>
      <c r="T143" s="241"/>
      <c r="U143" s="241"/>
      <c r="V143" s="241"/>
    </row>
    <row r="144" spans="1:30" x14ac:dyDescent="0.35">
      <c r="A144" s="243"/>
      <c r="B144" s="246"/>
      <c r="C144" s="241"/>
      <c r="D144" s="241"/>
      <c r="E144" s="241"/>
      <c r="R144" s="243"/>
      <c r="S144" s="246"/>
      <c r="T144" s="241"/>
      <c r="U144" s="241"/>
      <c r="V144" s="241"/>
    </row>
    <row r="145" spans="1:22" x14ac:dyDescent="0.35">
      <c r="A145" s="243"/>
      <c r="B145" s="246"/>
      <c r="C145" s="241"/>
      <c r="D145" s="241"/>
      <c r="E145" s="241"/>
      <c r="R145" s="243"/>
      <c r="S145" s="246"/>
      <c r="T145" s="241"/>
      <c r="U145" s="241"/>
      <c r="V145" s="241"/>
    </row>
    <row r="146" spans="1:22" x14ac:dyDescent="0.35">
      <c r="A146" s="243"/>
      <c r="B146" s="246"/>
      <c r="C146" s="241"/>
      <c r="D146" s="241"/>
      <c r="E146" s="241"/>
      <c r="R146" s="243"/>
      <c r="S146" s="246"/>
      <c r="T146" s="241"/>
      <c r="U146" s="241"/>
      <c r="V146" s="241"/>
    </row>
    <row r="147" spans="1:22" x14ac:dyDescent="0.35">
      <c r="A147" s="243"/>
      <c r="B147" s="246"/>
      <c r="C147" s="241"/>
      <c r="D147" s="241"/>
      <c r="E147" s="241"/>
      <c r="R147" s="243"/>
      <c r="S147" s="246"/>
      <c r="T147" s="241"/>
      <c r="U147" s="241"/>
      <c r="V147" s="241"/>
    </row>
    <row r="148" spans="1:22" x14ac:dyDescent="0.35">
      <c r="A148" s="243"/>
      <c r="B148" s="246"/>
      <c r="C148" s="241"/>
      <c r="D148" s="241"/>
      <c r="E148" s="241"/>
      <c r="R148" s="243"/>
      <c r="S148" s="246"/>
      <c r="T148" s="241"/>
      <c r="U148" s="241"/>
      <c r="V148" s="241"/>
    </row>
    <row r="149" spans="1:22" x14ac:dyDescent="0.35">
      <c r="A149" s="243"/>
      <c r="B149" s="246"/>
      <c r="C149" s="241"/>
      <c r="D149" s="241"/>
      <c r="E149" s="241"/>
      <c r="R149" s="243"/>
      <c r="S149" s="246"/>
      <c r="T149" s="241"/>
      <c r="U149" s="241"/>
      <c r="V149" s="241"/>
    </row>
    <row r="150" spans="1:22" x14ac:dyDescent="0.35">
      <c r="A150" s="243"/>
      <c r="B150" s="246"/>
      <c r="C150" s="241"/>
      <c r="D150" s="241"/>
      <c r="E150" s="241"/>
      <c r="R150" s="243"/>
      <c r="S150" s="246"/>
      <c r="T150" s="241"/>
      <c r="U150" s="241"/>
      <c r="V150" s="241"/>
    </row>
    <row r="151" spans="1:22" x14ac:dyDescent="0.35">
      <c r="A151" s="243"/>
      <c r="B151" s="246"/>
      <c r="C151" s="241"/>
      <c r="D151" s="241"/>
      <c r="E151" s="241"/>
      <c r="R151" s="243"/>
      <c r="S151" s="246"/>
      <c r="T151" s="241"/>
      <c r="U151" s="241"/>
      <c r="V151" s="241"/>
    </row>
    <row r="152" spans="1:22" x14ac:dyDescent="0.35">
      <c r="A152" s="243"/>
      <c r="B152" s="246"/>
      <c r="C152" s="241"/>
      <c r="D152" s="241"/>
      <c r="E152" s="241"/>
      <c r="R152" s="243"/>
      <c r="S152" s="246"/>
      <c r="T152" s="241"/>
      <c r="U152" s="241"/>
      <c r="V152" s="241"/>
    </row>
    <row r="153" spans="1:22" x14ac:dyDescent="0.35">
      <c r="A153" s="243"/>
      <c r="B153" s="246"/>
      <c r="C153" s="241"/>
      <c r="D153" s="241"/>
      <c r="E153" s="241"/>
      <c r="R153" s="243"/>
      <c r="S153" s="246"/>
      <c r="T153" s="241"/>
      <c r="U153" s="241"/>
      <c r="V153" s="241"/>
    </row>
    <row r="154" spans="1:22" x14ac:dyDescent="0.35">
      <c r="A154" s="243"/>
      <c r="B154" s="246"/>
      <c r="C154" s="241"/>
      <c r="D154" s="241"/>
      <c r="E154" s="241"/>
      <c r="R154" s="243"/>
      <c r="S154" s="246"/>
      <c r="T154" s="241"/>
      <c r="U154" s="241"/>
      <c r="V154" s="241"/>
    </row>
    <row r="155" spans="1:22" x14ac:dyDescent="0.35">
      <c r="A155" s="243"/>
      <c r="B155" s="246"/>
      <c r="C155" s="241"/>
      <c r="D155" s="241"/>
      <c r="E155" s="241"/>
      <c r="R155" s="243"/>
      <c r="S155" s="246"/>
      <c r="T155" s="241"/>
      <c r="U155" s="241"/>
      <c r="V155" s="241"/>
    </row>
    <row r="156" spans="1:22" x14ac:dyDescent="0.35">
      <c r="A156" s="243"/>
      <c r="B156" s="246"/>
      <c r="C156" s="241"/>
      <c r="D156" s="241"/>
      <c r="E156" s="241"/>
      <c r="R156" s="243"/>
      <c r="S156" s="246"/>
      <c r="T156" s="241"/>
      <c r="U156" s="241"/>
      <c r="V156" s="241"/>
    </row>
    <row r="157" spans="1:22" x14ac:dyDescent="0.35">
      <c r="A157" s="243"/>
      <c r="B157" s="246"/>
      <c r="C157" s="241"/>
      <c r="D157" s="241"/>
      <c r="E157" s="241"/>
      <c r="R157" s="243"/>
      <c r="S157" s="246"/>
      <c r="T157" s="241"/>
      <c r="U157" s="241"/>
      <c r="V157" s="241"/>
    </row>
    <row r="158" spans="1:22" x14ac:dyDescent="0.35">
      <c r="A158" s="243"/>
      <c r="B158" s="246"/>
      <c r="C158" s="241"/>
      <c r="D158" s="241"/>
      <c r="E158" s="241"/>
      <c r="R158" s="243"/>
      <c r="S158" s="246"/>
      <c r="T158" s="241"/>
      <c r="U158" s="241"/>
      <c r="V158" s="241"/>
    </row>
    <row r="159" spans="1:22" x14ac:dyDescent="0.35">
      <c r="A159" s="243"/>
      <c r="B159" s="246"/>
      <c r="C159" s="241"/>
      <c r="D159" s="241"/>
      <c r="E159" s="241"/>
      <c r="R159" s="243"/>
      <c r="S159" s="246"/>
      <c r="T159" s="241"/>
      <c r="U159" s="241"/>
      <c r="V159" s="241"/>
    </row>
    <row r="160" spans="1:22" x14ac:dyDescent="0.35">
      <c r="A160" s="243"/>
      <c r="B160" s="246"/>
      <c r="C160" s="241"/>
      <c r="D160" s="241"/>
      <c r="E160" s="241"/>
      <c r="R160" s="243"/>
      <c r="S160" s="246"/>
      <c r="T160" s="241"/>
      <c r="U160" s="241"/>
      <c r="V160" s="241"/>
    </row>
    <row r="161" spans="1:22" x14ac:dyDescent="0.35">
      <c r="A161" s="243"/>
      <c r="B161" s="246"/>
      <c r="C161" s="241"/>
      <c r="D161" s="241"/>
      <c r="E161" s="241"/>
      <c r="R161" s="243"/>
      <c r="S161" s="246"/>
      <c r="T161" s="241"/>
      <c r="U161" s="241"/>
      <c r="V161" s="241"/>
    </row>
    <row r="162" spans="1:22" x14ac:dyDescent="0.35">
      <c r="A162" s="243"/>
      <c r="B162" s="246"/>
      <c r="C162" s="241"/>
      <c r="D162" s="241"/>
      <c r="E162" s="241"/>
      <c r="R162" s="243"/>
      <c r="S162" s="246"/>
      <c r="T162" s="241"/>
      <c r="U162" s="241"/>
      <c r="V162" s="241"/>
    </row>
    <row r="163" spans="1:22" x14ac:dyDescent="0.35">
      <c r="A163" s="243"/>
      <c r="B163" s="246"/>
      <c r="C163" s="241"/>
      <c r="D163" s="241"/>
      <c r="E163" s="241"/>
      <c r="R163" s="243"/>
      <c r="S163" s="246"/>
      <c r="T163" s="241"/>
      <c r="U163" s="241"/>
      <c r="V163" s="241"/>
    </row>
    <row r="164" spans="1:22" x14ac:dyDescent="0.35">
      <c r="A164" s="243"/>
      <c r="B164" s="246"/>
      <c r="C164" s="241"/>
      <c r="D164" s="241"/>
      <c r="E164" s="241"/>
      <c r="R164" s="243"/>
      <c r="S164" s="246"/>
      <c r="T164" s="241"/>
      <c r="U164" s="241"/>
      <c r="V164" s="241"/>
    </row>
    <row r="165" spans="1:22" x14ac:dyDescent="0.35">
      <c r="A165" s="243"/>
      <c r="B165" s="246"/>
      <c r="C165" s="241"/>
      <c r="D165" s="241"/>
      <c r="E165" s="241"/>
      <c r="R165" s="243"/>
      <c r="S165" s="246"/>
      <c r="T165" s="241"/>
      <c r="U165" s="241"/>
      <c r="V165" s="241"/>
    </row>
    <row r="166" spans="1:22" x14ac:dyDescent="0.35">
      <c r="A166" s="243"/>
      <c r="B166" s="246"/>
      <c r="C166" s="241"/>
      <c r="D166" s="241"/>
      <c r="E166" s="241"/>
      <c r="R166" s="243"/>
      <c r="S166" s="246"/>
      <c r="T166" s="241"/>
      <c r="U166" s="241"/>
      <c r="V166" s="241"/>
    </row>
    <row r="167" spans="1:22" x14ac:dyDescent="0.35">
      <c r="A167" s="243"/>
      <c r="B167" s="246"/>
      <c r="C167" s="241"/>
      <c r="D167" s="241"/>
      <c r="E167" s="241"/>
      <c r="R167" s="243"/>
      <c r="S167" s="246"/>
      <c r="T167" s="241"/>
      <c r="U167" s="241"/>
      <c r="V167" s="241"/>
    </row>
    <row r="168" spans="1:22" x14ac:dyDescent="0.35">
      <c r="A168" s="243"/>
      <c r="B168" s="246"/>
      <c r="C168" s="241"/>
      <c r="D168" s="241"/>
      <c r="E168" s="241"/>
      <c r="R168" s="243"/>
      <c r="S168" s="246"/>
      <c r="T168" s="241"/>
      <c r="U168" s="241"/>
      <c r="V168" s="241"/>
    </row>
    <row r="169" spans="1:22" x14ac:dyDescent="0.35">
      <c r="A169" s="243"/>
      <c r="B169" s="246"/>
      <c r="C169" s="241"/>
      <c r="D169" s="241"/>
      <c r="E169" s="241"/>
      <c r="R169" s="243"/>
      <c r="S169" s="246"/>
      <c r="T169" s="241"/>
      <c r="U169" s="241"/>
      <c r="V169" s="241"/>
    </row>
    <row r="170" spans="1:22" x14ac:dyDescent="0.35">
      <c r="A170" s="243"/>
      <c r="B170" s="246"/>
      <c r="C170" s="241"/>
      <c r="D170" s="241"/>
      <c r="E170" s="241"/>
      <c r="R170" s="243"/>
      <c r="S170" s="246"/>
      <c r="T170" s="241"/>
      <c r="U170" s="241"/>
      <c r="V170" s="241"/>
    </row>
    <row r="171" spans="1:22" x14ac:dyDescent="0.35">
      <c r="A171" s="243"/>
      <c r="B171" s="246"/>
      <c r="C171" s="241"/>
      <c r="D171" s="241"/>
      <c r="E171" s="241"/>
      <c r="R171" s="243"/>
      <c r="S171" s="246"/>
      <c r="T171" s="241"/>
      <c r="U171" s="241"/>
      <c r="V171" s="241"/>
    </row>
    <row r="172" spans="1:22" x14ac:dyDescent="0.35">
      <c r="A172" s="243"/>
      <c r="B172" s="246"/>
      <c r="C172" s="241"/>
      <c r="D172" s="241"/>
      <c r="E172" s="241"/>
      <c r="R172" s="243"/>
      <c r="S172" s="246"/>
      <c r="T172" s="241"/>
      <c r="U172" s="241"/>
      <c r="V172" s="241"/>
    </row>
    <row r="173" spans="1:22" x14ac:dyDescent="0.35">
      <c r="A173" s="243"/>
      <c r="B173" s="246"/>
      <c r="C173" s="241"/>
      <c r="D173" s="241"/>
      <c r="E173" s="241"/>
      <c r="R173" s="243"/>
      <c r="S173" s="246"/>
      <c r="T173" s="241"/>
      <c r="U173" s="241"/>
      <c r="V173" s="241"/>
    </row>
    <row r="174" spans="1:22" x14ac:dyDescent="0.35">
      <c r="A174" s="243"/>
      <c r="B174" s="246"/>
      <c r="C174" s="241"/>
      <c r="D174" s="241"/>
      <c r="E174" s="241"/>
      <c r="R174" s="243"/>
      <c r="S174" s="246"/>
      <c r="T174" s="241"/>
      <c r="U174" s="241"/>
      <c r="V174" s="241"/>
    </row>
    <row r="175" spans="1:22" x14ac:dyDescent="0.35">
      <c r="A175" s="243"/>
      <c r="B175" s="246"/>
      <c r="C175" s="241"/>
      <c r="D175" s="241"/>
      <c r="E175" s="241"/>
      <c r="R175" s="243"/>
      <c r="S175" s="246"/>
      <c r="T175" s="241"/>
      <c r="U175" s="241"/>
      <c r="V175" s="241"/>
    </row>
    <row r="176" spans="1:22" x14ac:dyDescent="0.35">
      <c r="A176" s="243"/>
      <c r="B176" s="246"/>
      <c r="C176" s="241"/>
      <c r="D176" s="241"/>
      <c r="E176" s="241"/>
      <c r="R176" s="243"/>
      <c r="S176" s="246"/>
      <c r="T176" s="241"/>
      <c r="U176" s="241"/>
      <c r="V176" s="241"/>
    </row>
    <row r="177" spans="1:22" x14ac:dyDescent="0.35">
      <c r="A177" s="243"/>
      <c r="B177" s="246"/>
      <c r="C177" s="241"/>
      <c r="D177" s="241"/>
      <c r="E177" s="241"/>
      <c r="R177" s="243"/>
      <c r="S177" s="246"/>
      <c r="T177" s="241"/>
      <c r="U177" s="241"/>
      <c r="V177" s="241"/>
    </row>
    <row r="178" spans="1:22" x14ac:dyDescent="0.35">
      <c r="A178" s="243"/>
      <c r="B178" s="246"/>
      <c r="C178" s="241"/>
      <c r="D178" s="241"/>
      <c r="E178" s="241"/>
      <c r="R178" s="243"/>
      <c r="S178" s="246"/>
      <c r="T178" s="241"/>
      <c r="U178" s="241"/>
      <c r="V178" s="241"/>
    </row>
    <row r="179" spans="1:22" x14ac:dyDescent="0.35">
      <c r="A179" s="243"/>
      <c r="B179" s="246"/>
      <c r="C179" s="241"/>
      <c r="D179" s="241"/>
      <c r="E179" s="241"/>
      <c r="R179" s="243"/>
      <c r="S179" s="246"/>
      <c r="T179" s="241"/>
      <c r="U179" s="241"/>
      <c r="V179" s="241"/>
    </row>
    <row r="180" spans="1:22" x14ac:dyDescent="0.35">
      <c r="A180" s="243"/>
      <c r="B180" s="246"/>
      <c r="C180" s="241"/>
      <c r="D180" s="241"/>
      <c r="E180" s="241"/>
      <c r="R180" s="243"/>
      <c r="S180" s="246"/>
      <c r="T180" s="241"/>
      <c r="U180" s="241"/>
      <c r="V180" s="241"/>
    </row>
    <row r="181" spans="1:22" x14ac:dyDescent="0.35">
      <c r="A181" s="243"/>
      <c r="B181" s="246"/>
      <c r="C181" s="241"/>
      <c r="D181" s="241"/>
      <c r="E181" s="241"/>
      <c r="R181" s="243"/>
      <c r="S181" s="246"/>
      <c r="T181" s="241"/>
      <c r="U181" s="241"/>
      <c r="V181" s="241"/>
    </row>
    <row r="182" spans="1:22" x14ac:dyDescent="0.35">
      <c r="A182" s="243"/>
      <c r="B182" s="246"/>
      <c r="C182" s="241"/>
      <c r="D182" s="241"/>
      <c r="E182" s="241"/>
      <c r="R182" s="243"/>
      <c r="S182" s="246"/>
      <c r="T182" s="241"/>
      <c r="U182" s="241"/>
      <c r="V182" s="241"/>
    </row>
    <row r="183" spans="1:22" x14ac:dyDescent="0.35">
      <c r="A183" s="243"/>
      <c r="B183" s="246"/>
      <c r="C183" s="241"/>
      <c r="D183" s="241"/>
      <c r="E183" s="241"/>
      <c r="R183" s="243"/>
      <c r="S183" s="246"/>
      <c r="T183" s="241"/>
      <c r="U183" s="241"/>
      <c r="V183" s="241"/>
    </row>
    <row r="184" spans="1:22" x14ac:dyDescent="0.35">
      <c r="A184" s="243"/>
      <c r="B184" s="246"/>
      <c r="C184" s="241"/>
      <c r="D184" s="241"/>
      <c r="E184" s="241"/>
      <c r="R184" s="243"/>
      <c r="S184" s="246"/>
      <c r="T184" s="241"/>
      <c r="U184" s="241"/>
      <c r="V184" s="241"/>
    </row>
    <row r="185" spans="1:22" x14ac:dyDescent="0.35">
      <c r="A185" s="243"/>
      <c r="B185" s="246"/>
      <c r="C185" s="241"/>
      <c r="D185" s="241"/>
      <c r="E185" s="241"/>
      <c r="R185" s="243"/>
      <c r="S185" s="246"/>
      <c r="T185" s="241"/>
      <c r="U185" s="241"/>
      <c r="V185" s="241"/>
    </row>
    <row r="186" spans="1:22" x14ac:dyDescent="0.35">
      <c r="A186" s="243"/>
      <c r="B186" s="246"/>
      <c r="C186" s="241"/>
      <c r="D186" s="241"/>
      <c r="E186" s="241"/>
      <c r="R186" s="243"/>
      <c r="S186" s="246"/>
      <c r="T186" s="241"/>
      <c r="U186" s="241"/>
      <c r="V186" s="241"/>
    </row>
    <row r="187" spans="1:22" x14ac:dyDescent="0.35">
      <c r="A187" s="243"/>
      <c r="B187" s="246"/>
      <c r="C187" s="241"/>
      <c r="D187" s="241"/>
      <c r="E187" s="241"/>
      <c r="R187" s="243"/>
      <c r="S187" s="246"/>
      <c r="T187" s="241"/>
      <c r="U187" s="241"/>
      <c r="V187" s="241"/>
    </row>
    <row r="188" spans="1:22" x14ac:dyDescent="0.35">
      <c r="A188" s="243"/>
      <c r="B188" s="246"/>
      <c r="C188" s="241"/>
      <c r="D188" s="241"/>
      <c r="E188" s="241"/>
      <c r="R188" s="243"/>
      <c r="S188" s="246"/>
      <c r="T188" s="241"/>
      <c r="U188" s="241"/>
      <c r="V188" s="241"/>
    </row>
    <row r="189" spans="1:22" x14ac:dyDescent="0.35">
      <c r="A189" s="243"/>
      <c r="B189" s="246"/>
      <c r="C189" s="241"/>
      <c r="D189" s="241"/>
      <c r="E189" s="241"/>
      <c r="R189" s="243"/>
      <c r="S189" s="246"/>
      <c r="T189" s="241"/>
      <c r="U189" s="241"/>
      <c r="V189" s="241"/>
    </row>
    <row r="190" spans="1:22" x14ac:dyDescent="0.35">
      <c r="A190" s="243"/>
      <c r="B190" s="246"/>
      <c r="C190" s="241"/>
      <c r="D190" s="241"/>
      <c r="E190" s="241"/>
      <c r="R190" s="243"/>
      <c r="S190" s="246"/>
      <c r="T190" s="241"/>
      <c r="U190" s="241"/>
      <c r="V190" s="241"/>
    </row>
    <row r="191" spans="1:22" x14ac:dyDescent="0.35">
      <c r="A191" s="243"/>
      <c r="B191" s="246"/>
      <c r="C191" s="241"/>
      <c r="D191" s="241"/>
      <c r="E191" s="241"/>
      <c r="R191" s="243"/>
      <c r="S191" s="246"/>
      <c r="T191" s="241"/>
      <c r="U191" s="241"/>
      <c r="V191" s="241"/>
    </row>
    <row r="192" spans="1:22" x14ac:dyDescent="0.35">
      <c r="A192" s="243"/>
      <c r="B192" s="246"/>
      <c r="C192" s="241"/>
      <c r="D192" s="241"/>
      <c r="E192" s="241"/>
      <c r="R192" s="243"/>
      <c r="S192" s="246"/>
      <c r="T192" s="241"/>
      <c r="U192" s="241"/>
      <c r="V192" s="241"/>
    </row>
    <row r="193" spans="1:22" x14ac:dyDescent="0.35">
      <c r="A193" s="243"/>
      <c r="B193" s="246"/>
      <c r="C193" s="241"/>
      <c r="D193" s="241"/>
      <c r="E193" s="241"/>
      <c r="R193" s="243"/>
      <c r="S193" s="246"/>
      <c r="T193" s="241"/>
      <c r="U193" s="241"/>
      <c r="V193" s="241"/>
    </row>
    <row r="194" spans="1:22" x14ac:dyDescent="0.35">
      <c r="A194" s="243"/>
      <c r="B194" s="246"/>
      <c r="C194" s="241"/>
      <c r="D194" s="241"/>
      <c r="E194" s="241"/>
      <c r="R194" s="243"/>
      <c r="S194" s="246"/>
      <c r="T194" s="241"/>
      <c r="U194" s="241"/>
      <c r="V194" s="241"/>
    </row>
    <row r="195" spans="1:22" x14ac:dyDescent="0.35">
      <c r="A195" s="243"/>
      <c r="B195" s="246"/>
      <c r="C195" s="241"/>
      <c r="D195" s="241"/>
      <c r="E195" s="241"/>
      <c r="R195" s="243"/>
      <c r="S195" s="246"/>
      <c r="T195" s="241"/>
      <c r="U195" s="241"/>
      <c r="V195" s="241"/>
    </row>
    <row r="196" spans="1:22" x14ac:dyDescent="0.35">
      <c r="A196" s="243"/>
      <c r="B196" s="246"/>
      <c r="C196" s="241"/>
      <c r="D196" s="241"/>
      <c r="E196" s="241"/>
      <c r="R196" s="243"/>
      <c r="S196" s="246"/>
      <c r="T196" s="241"/>
      <c r="U196" s="241"/>
      <c r="V196" s="241"/>
    </row>
    <row r="197" spans="1:22" x14ac:dyDescent="0.35">
      <c r="A197" s="243"/>
      <c r="B197" s="246"/>
      <c r="C197" s="241"/>
      <c r="D197" s="241"/>
      <c r="E197" s="241"/>
      <c r="R197" s="243"/>
      <c r="S197" s="246"/>
      <c r="T197" s="241"/>
      <c r="U197" s="241"/>
      <c r="V197" s="241"/>
    </row>
    <row r="198" spans="1:22" x14ac:dyDescent="0.35">
      <c r="A198" s="243"/>
      <c r="B198" s="246"/>
      <c r="C198" s="241"/>
      <c r="D198" s="241"/>
      <c r="E198" s="241"/>
      <c r="R198" s="243"/>
      <c r="S198" s="246"/>
      <c r="T198" s="241"/>
      <c r="U198" s="241"/>
      <c r="V198" s="241"/>
    </row>
    <row r="199" spans="1:22" x14ac:dyDescent="0.35">
      <c r="A199" s="243"/>
      <c r="B199" s="246"/>
      <c r="C199" s="241"/>
      <c r="D199" s="241"/>
      <c r="E199" s="241"/>
      <c r="R199" s="243"/>
      <c r="S199" s="246"/>
      <c r="T199" s="241"/>
      <c r="U199" s="241"/>
      <c r="V199" s="241"/>
    </row>
    <row r="200" spans="1:22" x14ac:dyDescent="0.35">
      <c r="A200" s="243"/>
      <c r="B200" s="246"/>
      <c r="C200" s="241"/>
      <c r="D200" s="241"/>
      <c r="E200" s="241"/>
      <c r="R200" s="243"/>
      <c r="S200" s="246"/>
      <c r="T200" s="241"/>
      <c r="U200" s="241"/>
      <c r="V200" s="241"/>
    </row>
    <row r="201" spans="1:22" x14ac:dyDescent="0.35">
      <c r="A201" s="243"/>
      <c r="B201" s="246"/>
      <c r="C201" s="241"/>
      <c r="D201" s="241"/>
      <c r="E201" s="241"/>
      <c r="R201" s="243"/>
      <c r="S201" s="246"/>
      <c r="T201" s="241"/>
      <c r="U201" s="241"/>
      <c r="V201" s="241"/>
    </row>
    <row r="202" spans="1:22" x14ac:dyDescent="0.35">
      <c r="A202" s="243"/>
      <c r="B202" s="246"/>
      <c r="C202" s="241"/>
      <c r="D202" s="241"/>
      <c r="E202" s="241"/>
      <c r="R202" s="243"/>
      <c r="S202" s="246"/>
      <c r="T202" s="241"/>
      <c r="U202" s="241"/>
      <c r="V202" s="241"/>
    </row>
    <row r="203" spans="1:22" x14ac:dyDescent="0.35">
      <c r="A203" s="243"/>
      <c r="B203" s="246"/>
      <c r="C203" s="241"/>
      <c r="D203" s="241"/>
      <c r="E203" s="241"/>
      <c r="R203" s="243"/>
      <c r="S203" s="246"/>
      <c r="T203" s="241"/>
      <c r="U203" s="241"/>
      <c r="V203" s="241"/>
    </row>
    <row r="204" spans="1:22" x14ac:dyDescent="0.35">
      <c r="A204" s="243"/>
      <c r="B204" s="246"/>
      <c r="C204" s="241"/>
      <c r="D204" s="241"/>
      <c r="E204" s="241"/>
      <c r="R204" s="243"/>
      <c r="S204" s="246"/>
      <c r="T204" s="241"/>
      <c r="U204" s="241"/>
      <c r="V204" s="241"/>
    </row>
    <row r="205" spans="1:22" x14ac:dyDescent="0.35">
      <c r="A205" s="243"/>
      <c r="B205" s="246"/>
      <c r="C205" s="241"/>
      <c r="D205" s="241"/>
      <c r="E205" s="241"/>
      <c r="R205" s="243"/>
      <c r="S205" s="246"/>
      <c r="T205" s="241"/>
      <c r="U205" s="241"/>
      <c r="V205" s="241"/>
    </row>
    <row r="206" spans="1:22" x14ac:dyDescent="0.35">
      <c r="A206" s="243"/>
      <c r="B206" s="246"/>
      <c r="C206" s="241"/>
      <c r="D206" s="241"/>
      <c r="E206" s="241"/>
      <c r="R206" s="243"/>
      <c r="S206" s="246"/>
      <c r="T206" s="241"/>
      <c r="U206" s="241"/>
      <c r="V206" s="241"/>
    </row>
    <row r="207" spans="1:22" x14ac:dyDescent="0.35">
      <c r="A207" s="243"/>
      <c r="B207" s="246"/>
      <c r="C207" s="241"/>
      <c r="D207" s="241"/>
      <c r="E207" s="241"/>
      <c r="R207" s="243"/>
      <c r="S207" s="246"/>
      <c r="T207" s="241"/>
      <c r="U207" s="241"/>
      <c r="V207" s="241"/>
    </row>
    <row r="208" spans="1:22" x14ac:dyDescent="0.35">
      <c r="A208" s="243"/>
      <c r="B208" s="246"/>
      <c r="C208" s="241"/>
      <c r="D208" s="241"/>
      <c r="E208" s="241"/>
      <c r="R208" s="243"/>
      <c r="S208" s="246"/>
      <c r="T208" s="241"/>
      <c r="U208" s="241"/>
      <c r="V208" s="241"/>
    </row>
    <row r="209" spans="1:22" x14ac:dyDescent="0.35">
      <c r="A209" s="243"/>
      <c r="B209" s="246"/>
      <c r="C209" s="241"/>
      <c r="D209" s="241"/>
      <c r="E209" s="241"/>
      <c r="R209" s="243"/>
      <c r="S209" s="246"/>
      <c r="T209" s="241"/>
      <c r="U209" s="241"/>
      <c r="V209" s="241"/>
    </row>
    <row r="210" spans="1:22" x14ac:dyDescent="0.35">
      <c r="A210" s="243"/>
      <c r="B210" s="246"/>
      <c r="C210" s="241"/>
      <c r="D210" s="241"/>
      <c r="E210" s="241"/>
      <c r="R210" s="243"/>
      <c r="S210" s="246"/>
      <c r="T210" s="241"/>
      <c r="U210" s="241"/>
      <c r="V210" s="241"/>
    </row>
    <row r="211" spans="1:22" x14ac:dyDescent="0.35">
      <c r="A211" s="243"/>
      <c r="B211" s="246"/>
      <c r="C211" s="241"/>
      <c r="D211" s="241"/>
      <c r="E211" s="241"/>
      <c r="R211" s="243"/>
      <c r="S211" s="246"/>
      <c r="T211" s="241"/>
      <c r="U211" s="241"/>
      <c r="V211" s="241"/>
    </row>
    <row r="212" spans="1:22" x14ac:dyDescent="0.35">
      <c r="A212" s="243"/>
      <c r="B212" s="246"/>
      <c r="C212" s="241"/>
      <c r="D212" s="241"/>
      <c r="E212" s="241"/>
      <c r="R212" s="243"/>
      <c r="S212" s="246"/>
      <c r="T212" s="241"/>
      <c r="U212" s="241"/>
      <c r="V212" s="241"/>
    </row>
    <row r="213" spans="1:22" x14ac:dyDescent="0.35">
      <c r="A213" s="243"/>
      <c r="B213" s="246"/>
      <c r="C213" s="241"/>
      <c r="D213" s="241"/>
      <c r="E213" s="241"/>
      <c r="R213" s="243"/>
      <c r="S213" s="246"/>
      <c r="T213" s="241"/>
      <c r="U213" s="241"/>
      <c r="V213" s="241"/>
    </row>
    <row r="214" spans="1:22" x14ac:dyDescent="0.35">
      <c r="A214" s="243"/>
      <c r="B214" s="246"/>
      <c r="C214" s="241"/>
      <c r="D214" s="241"/>
      <c r="E214" s="241"/>
      <c r="R214" s="243"/>
      <c r="S214" s="246"/>
      <c r="T214" s="241"/>
      <c r="U214" s="241"/>
      <c r="V214" s="241"/>
    </row>
    <row r="215" spans="1:22" x14ac:dyDescent="0.35">
      <c r="A215" s="243"/>
      <c r="B215" s="246"/>
      <c r="C215" s="241"/>
      <c r="D215" s="241"/>
      <c r="E215" s="241"/>
      <c r="R215" s="243"/>
      <c r="S215" s="246"/>
      <c r="T215" s="241"/>
      <c r="U215" s="241"/>
      <c r="V215" s="241"/>
    </row>
    <row r="216" spans="1:22" x14ac:dyDescent="0.35">
      <c r="A216" s="243"/>
      <c r="B216" s="246"/>
      <c r="C216" s="241"/>
      <c r="D216" s="241"/>
      <c r="E216" s="241"/>
      <c r="R216" s="243"/>
      <c r="S216" s="246"/>
      <c r="T216" s="241"/>
      <c r="U216" s="241"/>
      <c r="V216" s="241"/>
    </row>
    <row r="217" spans="1:22" x14ac:dyDescent="0.35">
      <c r="A217" s="243"/>
      <c r="B217" s="246"/>
      <c r="C217" s="241"/>
      <c r="D217" s="241"/>
      <c r="E217" s="241"/>
      <c r="R217" s="243"/>
      <c r="S217" s="246"/>
      <c r="T217" s="241"/>
      <c r="U217" s="241"/>
      <c r="V217" s="241"/>
    </row>
    <row r="218" spans="1:22" x14ac:dyDescent="0.35">
      <c r="A218" s="243"/>
      <c r="B218" s="246"/>
      <c r="C218" s="241"/>
      <c r="D218" s="241"/>
      <c r="E218" s="241"/>
      <c r="R218" s="243"/>
      <c r="S218" s="246"/>
      <c r="T218" s="241"/>
      <c r="U218" s="241"/>
      <c r="V218" s="241"/>
    </row>
    <row r="219" spans="1:22" x14ac:dyDescent="0.35">
      <c r="A219" s="243"/>
      <c r="B219" s="246"/>
      <c r="C219" s="241"/>
      <c r="D219" s="241"/>
      <c r="E219" s="241"/>
      <c r="R219" s="243"/>
      <c r="S219" s="246"/>
      <c r="T219" s="241"/>
      <c r="U219" s="241"/>
      <c r="V219" s="241"/>
    </row>
    <row r="220" spans="1:22" x14ac:dyDescent="0.35">
      <c r="A220" s="243"/>
      <c r="B220" s="246"/>
      <c r="C220" s="241"/>
      <c r="D220" s="241"/>
      <c r="E220" s="241"/>
      <c r="R220" s="243"/>
      <c r="S220" s="246"/>
      <c r="T220" s="241"/>
      <c r="U220" s="241"/>
      <c r="V220" s="241"/>
    </row>
    <row r="221" spans="1:22" x14ac:dyDescent="0.35">
      <c r="A221" s="243"/>
      <c r="B221" s="246"/>
      <c r="C221" s="241"/>
      <c r="D221" s="241"/>
      <c r="E221" s="241"/>
      <c r="R221" s="243"/>
      <c r="S221" s="246"/>
      <c r="T221" s="241"/>
      <c r="U221" s="241"/>
      <c r="V221" s="241"/>
    </row>
    <row r="222" spans="1:22" x14ac:dyDescent="0.35">
      <c r="A222" s="243"/>
      <c r="B222" s="246"/>
      <c r="C222" s="241"/>
      <c r="D222" s="241"/>
      <c r="E222" s="241"/>
      <c r="R222" s="243"/>
      <c r="S222" s="246"/>
      <c r="T222" s="241"/>
      <c r="U222" s="241"/>
      <c r="V222" s="241"/>
    </row>
    <row r="223" spans="1:22" x14ac:dyDescent="0.35">
      <c r="A223" s="243"/>
      <c r="B223" s="246"/>
      <c r="C223" s="241"/>
      <c r="D223" s="241"/>
      <c r="E223" s="241"/>
      <c r="R223" s="243"/>
      <c r="S223" s="246"/>
      <c r="T223" s="241"/>
      <c r="U223" s="241"/>
      <c r="V223" s="241"/>
    </row>
    <row r="224" spans="1:22" x14ac:dyDescent="0.35">
      <c r="A224" s="243"/>
      <c r="B224" s="246"/>
      <c r="C224" s="241"/>
      <c r="D224" s="241"/>
      <c r="E224" s="241"/>
      <c r="R224" s="243"/>
      <c r="S224" s="246"/>
      <c r="T224" s="241"/>
      <c r="U224" s="241"/>
      <c r="V224" s="241"/>
    </row>
    <row r="225" spans="1:22" x14ac:dyDescent="0.35">
      <c r="A225" s="243"/>
      <c r="B225" s="246"/>
      <c r="C225" s="241"/>
      <c r="D225" s="241"/>
      <c r="E225" s="241"/>
      <c r="R225" s="243"/>
      <c r="S225" s="246"/>
      <c r="T225" s="241"/>
      <c r="U225" s="241"/>
      <c r="V225" s="241"/>
    </row>
    <row r="226" spans="1:22" x14ac:dyDescent="0.35">
      <c r="A226" s="243"/>
      <c r="B226" s="246"/>
      <c r="C226" s="241"/>
      <c r="D226" s="241"/>
      <c r="E226" s="241"/>
      <c r="R226" s="243"/>
      <c r="S226" s="246"/>
      <c r="T226" s="241"/>
      <c r="U226" s="241"/>
      <c r="V226" s="241"/>
    </row>
    <row r="227" spans="1:22" x14ac:dyDescent="0.35">
      <c r="A227" s="243"/>
      <c r="B227" s="246"/>
      <c r="C227" s="241"/>
      <c r="D227" s="241"/>
      <c r="E227" s="241"/>
      <c r="R227" s="243"/>
      <c r="S227" s="246"/>
      <c r="T227" s="241"/>
      <c r="U227" s="241"/>
      <c r="V227" s="241"/>
    </row>
    <row r="228" spans="1:22" x14ac:dyDescent="0.35">
      <c r="A228" s="243"/>
      <c r="B228" s="246"/>
      <c r="C228" s="241"/>
      <c r="D228" s="241"/>
      <c r="E228" s="241"/>
      <c r="R228" s="243"/>
      <c r="S228" s="246"/>
      <c r="T228" s="241"/>
      <c r="U228" s="241"/>
      <c r="V228" s="241"/>
    </row>
    <row r="229" spans="1:22" x14ac:dyDescent="0.35">
      <c r="A229" s="243"/>
      <c r="B229" s="246"/>
      <c r="C229" s="241"/>
      <c r="D229" s="241"/>
      <c r="E229" s="241"/>
      <c r="R229" s="243"/>
      <c r="S229" s="246"/>
      <c r="T229" s="241"/>
      <c r="U229" s="241"/>
      <c r="V229" s="241"/>
    </row>
    <row r="230" spans="1:22" x14ac:dyDescent="0.35">
      <c r="A230" s="243"/>
      <c r="B230" s="246"/>
      <c r="C230" s="241"/>
      <c r="D230" s="241"/>
      <c r="E230" s="241"/>
      <c r="R230" s="243"/>
      <c r="S230" s="246"/>
      <c r="T230" s="241"/>
      <c r="U230" s="241"/>
      <c r="V230" s="241"/>
    </row>
    <row r="231" spans="1:22" x14ac:dyDescent="0.35">
      <c r="A231" s="243"/>
      <c r="B231" s="246"/>
      <c r="C231" s="241"/>
      <c r="D231" s="241"/>
      <c r="E231" s="241"/>
      <c r="R231" s="243"/>
      <c r="S231" s="246"/>
      <c r="T231" s="241"/>
      <c r="U231" s="241"/>
      <c r="V231" s="241"/>
    </row>
    <row r="232" spans="1:22" x14ac:dyDescent="0.35">
      <c r="A232" s="243"/>
      <c r="B232" s="246"/>
      <c r="C232" s="241"/>
      <c r="D232" s="241"/>
      <c r="E232" s="241"/>
      <c r="R232" s="243"/>
      <c r="S232" s="246"/>
      <c r="T232" s="241"/>
      <c r="U232" s="241"/>
      <c r="V232" s="241"/>
    </row>
    <row r="233" spans="1:22" x14ac:dyDescent="0.35">
      <c r="A233" s="243"/>
      <c r="B233" s="246"/>
      <c r="C233" s="241"/>
      <c r="D233" s="241"/>
      <c r="E233" s="241"/>
      <c r="R233" s="243"/>
      <c r="S233" s="246"/>
      <c r="T233" s="241"/>
      <c r="U233" s="241"/>
      <c r="V233" s="241"/>
    </row>
    <row r="234" spans="1:22" x14ac:dyDescent="0.35">
      <c r="A234" s="243"/>
      <c r="B234" s="246"/>
      <c r="C234" s="241"/>
      <c r="D234" s="241"/>
      <c r="E234" s="241"/>
      <c r="R234" s="243"/>
      <c r="S234" s="246"/>
      <c r="T234" s="241"/>
      <c r="U234" s="241"/>
      <c r="V234" s="241"/>
    </row>
    <row r="235" spans="1:22" x14ac:dyDescent="0.35">
      <c r="A235" s="243"/>
      <c r="B235" s="246"/>
      <c r="C235" s="241"/>
      <c r="D235" s="241"/>
      <c r="E235" s="241"/>
      <c r="R235" s="243"/>
      <c r="S235" s="246"/>
      <c r="T235" s="241"/>
      <c r="U235" s="241"/>
      <c r="V235" s="241"/>
    </row>
    <row r="236" spans="1:22" x14ac:dyDescent="0.35">
      <c r="A236" s="243"/>
      <c r="B236" s="246"/>
      <c r="C236" s="241"/>
      <c r="D236" s="241"/>
      <c r="E236" s="241"/>
      <c r="R236" s="243"/>
      <c r="S236" s="246"/>
      <c r="T236" s="241"/>
      <c r="U236" s="241"/>
      <c r="V236" s="241"/>
    </row>
    <row r="237" spans="1:22" x14ac:dyDescent="0.35">
      <c r="A237" s="243"/>
      <c r="B237" s="246"/>
      <c r="C237" s="241"/>
      <c r="D237" s="241"/>
      <c r="E237" s="241"/>
      <c r="R237" s="243"/>
      <c r="S237" s="246"/>
      <c r="T237" s="241"/>
      <c r="U237" s="241"/>
      <c r="V237" s="241"/>
    </row>
    <row r="238" spans="1:22" x14ac:dyDescent="0.35">
      <c r="A238" s="243"/>
      <c r="B238" s="246"/>
      <c r="C238" s="241"/>
      <c r="D238" s="241"/>
      <c r="E238" s="241"/>
      <c r="R238" s="243"/>
      <c r="S238" s="246"/>
      <c r="T238" s="241"/>
      <c r="U238" s="241"/>
      <c r="V238" s="241"/>
    </row>
    <row r="239" spans="1:22" x14ac:dyDescent="0.35">
      <c r="A239" s="243"/>
      <c r="B239" s="246"/>
      <c r="C239" s="241"/>
      <c r="D239" s="241"/>
      <c r="E239" s="241"/>
      <c r="R239" s="243"/>
      <c r="S239" s="246"/>
      <c r="T239" s="241"/>
      <c r="U239" s="241"/>
      <c r="V239" s="241"/>
    </row>
    <row r="240" spans="1:22" x14ac:dyDescent="0.35">
      <c r="A240" s="243"/>
      <c r="B240" s="246"/>
      <c r="C240" s="241"/>
      <c r="D240" s="241"/>
      <c r="E240" s="241"/>
      <c r="R240" s="243"/>
      <c r="S240" s="246"/>
      <c r="T240" s="241"/>
      <c r="U240" s="241"/>
      <c r="V240" s="241"/>
    </row>
    <row r="241" spans="1:22" x14ac:dyDescent="0.35">
      <c r="A241" s="243"/>
      <c r="B241" s="246"/>
      <c r="C241" s="241"/>
      <c r="D241" s="241"/>
      <c r="E241" s="241"/>
      <c r="R241" s="243"/>
      <c r="S241" s="246"/>
      <c r="T241" s="241"/>
      <c r="U241" s="241"/>
      <c r="V241" s="241"/>
    </row>
    <row r="242" spans="1:22" x14ac:dyDescent="0.35">
      <c r="A242" s="243"/>
      <c r="B242" s="246"/>
      <c r="C242" s="241"/>
      <c r="D242" s="241"/>
      <c r="E242" s="241"/>
      <c r="R242" s="243"/>
      <c r="S242" s="246"/>
      <c r="T242" s="241"/>
      <c r="U242" s="241"/>
      <c r="V242" s="241"/>
    </row>
    <row r="243" spans="1:22" x14ac:dyDescent="0.35">
      <c r="A243" s="243"/>
      <c r="B243" s="246"/>
      <c r="C243" s="241"/>
      <c r="D243" s="241"/>
      <c r="E243" s="241"/>
      <c r="R243" s="243"/>
      <c r="S243" s="246"/>
      <c r="T243" s="241"/>
      <c r="U243" s="241"/>
      <c r="V243" s="241"/>
    </row>
    <row r="244" spans="1:22" x14ac:dyDescent="0.35">
      <c r="A244" s="243"/>
      <c r="B244" s="246"/>
      <c r="C244" s="241"/>
      <c r="D244" s="241"/>
      <c r="E244" s="241"/>
      <c r="R244" s="243"/>
      <c r="S244" s="246"/>
      <c r="T244" s="241"/>
      <c r="U244" s="241"/>
      <c r="V244" s="241"/>
    </row>
    <row r="245" spans="1:22" x14ac:dyDescent="0.35">
      <c r="A245" s="243"/>
      <c r="B245" s="246"/>
      <c r="C245" s="241"/>
      <c r="D245" s="241"/>
      <c r="E245" s="241"/>
      <c r="R245" s="243"/>
      <c r="S245" s="246"/>
      <c r="T245" s="241"/>
      <c r="U245" s="241"/>
      <c r="V245" s="241"/>
    </row>
    <row r="246" spans="1:22" x14ac:dyDescent="0.35">
      <c r="A246" s="243"/>
      <c r="B246" s="246"/>
      <c r="C246" s="241"/>
      <c r="D246" s="241"/>
      <c r="E246" s="241"/>
      <c r="R246" s="243"/>
      <c r="S246" s="246"/>
      <c r="T246" s="241"/>
      <c r="U246" s="241"/>
      <c r="V246" s="241"/>
    </row>
    <row r="247" spans="1:22" x14ac:dyDescent="0.35">
      <c r="A247" s="243"/>
      <c r="B247" s="246"/>
      <c r="C247" s="241"/>
      <c r="D247" s="241"/>
      <c r="E247" s="241"/>
      <c r="R247" s="243"/>
      <c r="S247" s="246"/>
      <c r="T247" s="241"/>
      <c r="U247" s="241"/>
      <c r="V247" s="241"/>
    </row>
    <row r="248" spans="1:22" x14ac:dyDescent="0.35">
      <c r="A248" s="243"/>
      <c r="B248" s="246"/>
      <c r="C248" s="241"/>
      <c r="D248" s="241"/>
      <c r="E248" s="241"/>
      <c r="R248" s="243"/>
      <c r="S248" s="246"/>
      <c r="T248" s="241"/>
      <c r="U248" s="241"/>
      <c r="V248" s="241"/>
    </row>
    <row r="249" spans="1:22" x14ac:dyDescent="0.35">
      <c r="A249" s="243"/>
      <c r="B249" s="246"/>
      <c r="C249" s="241"/>
      <c r="D249" s="241"/>
      <c r="E249" s="241"/>
      <c r="R249" s="243"/>
      <c r="S249" s="246"/>
      <c r="T249" s="241"/>
      <c r="U249" s="241"/>
      <c r="V249" s="241"/>
    </row>
    <row r="250" spans="1:22" x14ac:dyDescent="0.35">
      <c r="A250" s="243"/>
      <c r="B250" s="246"/>
      <c r="C250" s="241"/>
      <c r="D250" s="241"/>
      <c r="E250" s="241"/>
      <c r="R250" s="243"/>
      <c r="S250" s="246"/>
      <c r="T250" s="241"/>
      <c r="U250" s="241"/>
      <c r="V250" s="241"/>
    </row>
    <row r="251" spans="1:22" x14ac:dyDescent="0.35">
      <c r="A251" s="243"/>
      <c r="B251" s="246"/>
      <c r="C251" s="241"/>
      <c r="D251" s="241"/>
      <c r="E251" s="241"/>
      <c r="R251" s="243"/>
      <c r="S251" s="246"/>
      <c r="T251" s="241"/>
      <c r="U251" s="241"/>
      <c r="V251" s="241"/>
    </row>
    <row r="252" spans="1:22" x14ac:dyDescent="0.35">
      <c r="A252" s="243"/>
      <c r="B252" s="246"/>
      <c r="C252" s="241"/>
      <c r="D252" s="241"/>
      <c r="E252" s="241"/>
      <c r="R252" s="243"/>
      <c r="S252" s="246"/>
      <c r="T252" s="241"/>
      <c r="U252" s="241"/>
      <c r="V252" s="241"/>
    </row>
    <row r="253" spans="1:22" x14ac:dyDescent="0.35">
      <c r="A253" s="243"/>
      <c r="B253" s="246"/>
      <c r="C253" s="241"/>
      <c r="D253" s="241"/>
      <c r="E253" s="241"/>
      <c r="R253" s="243"/>
      <c r="S253" s="246"/>
      <c r="T253" s="241"/>
      <c r="U253" s="241"/>
      <c r="V253" s="241"/>
    </row>
    <row r="254" spans="1:22" x14ac:dyDescent="0.35">
      <c r="A254" s="243"/>
      <c r="B254" s="246"/>
      <c r="C254" s="241"/>
      <c r="D254" s="241"/>
      <c r="E254" s="241"/>
      <c r="R254" s="243"/>
      <c r="S254" s="246"/>
      <c r="T254" s="241"/>
      <c r="U254" s="241"/>
      <c r="V254" s="241"/>
    </row>
    <row r="255" spans="1:22" x14ac:dyDescent="0.35">
      <c r="A255" s="243"/>
      <c r="B255" s="246"/>
      <c r="C255" s="241"/>
      <c r="D255" s="241"/>
      <c r="E255" s="241"/>
      <c r="R255" s="243"/>
      <c r="S255" s="246"/>
      <c r="T255" s="241"/>
      <c r="U255" s="241"/>
      <c r="V255" s="241"/>
    </row>
    <row r="256" spans="1:22" x14ac:dyDescent="0.35">
      <c r="A256" s="243"/>
      <c r="B256" s="246"/>
      <c r="C256" s="241"/>
      <c r="D256" s="241"/>
      <c r="E256" s="241"/>
      <c r="R256" s="243"/>
      <c r="S256" s="246"/>
      <c r="T256" s="241"/>
      <c r="U256" s="241"/>
      <c r="V256" s="241"/>
    </row>
    <row r="257" spans="1:22" x14ac:dyDescent="0.35">
      <c r="A257" s="243"/>
      <c r="B257" s="246"/>
      <c r="C257" s="241"/>
      <c r="D257" s="241"/>
      <c r="E257" s="241"/>
      <c r="R257" s="243"/>
      <c r="S257" s="246"/>
      <c r="T257" s="241"/>
      <c r="U257" s="241"/>
      <c r="V257" s="241"/>
    </row>
    <row r="258" spans="1:22" x14ac:dyDescent="0.35">
      <c r="A258" s="243"/>
      <c r="B258" s="246"/>
      <c r="C258" s="241"/>
      <c r="D258" s="241"/>
      <c r="E258" s="241"/>
      <c r="R258" s="243"/>
      <c r="S258" s="246"/>
      <c r="T258" s="241"/>
      <c r="U258" s="241"/>
      <c r="V258" s="241"/>
    </row>
    <row r="259" spans="1:22" x14ac:dyDescent="0.35">
      <c r="A259" s="243"/>
      <c r="B259" s="246"/>
      <c r="C259" s="241"/>
      <c r="D259" s="241"/>
      <c r="E259" s="241"/>
      <c r="R259" s="243"/>
      <c r="S259" s="246"/>
      <c r="T259" s="241"/>
      <c r="U259" s="241"/>
      <c r="V259" s="241"/>
    </row>
    <row r="260" spans="1:22" x14ac:dyDescent="0.35">
      <c r="A260" s="243"/>
      <c r="B260" s="246"/>
      <c r="C260" s="241"/>
      <c r="D260" s="241"/>
      <c r="E260" s="241"/>
      <c r="R260" s="243"/>
      <c r="S260" s="246"/>
      <c r="T260" s="241"/>
      <c r="U260" s="241"/>
      <c r="V260" s="241"/>
    </row>
    <row r="261" spans="1:22" x14ac:dyDescent="0.35">
      <c r="A261" s="243"/>
      <c r="B261" s="246"/>
      <c r="C261" s="241"/>
      <c r="D261" s="241"/>
      <c r="E261" s="241"/>
      <c r="R261" s="243"/>
      <c r="S261" s="246"/>
      <c r="T261" s="241"/>
      <c r="U261" s="241"/>
      <c r="V261" s="241"/>
    </row>
    <row r="262" spans="1:22" x14ac:dyDescent="0.35">
      <c r="A262" s="243"/>
      <c r="B262" s="246"/>
      <c r="C262" s="241"/>
      <c r="D262" s="241"/>
      <c r="E262" s="241"/>
      <c r="R262" s="243"/>
      <c r="S262" s="246"/>
      <c r="T262" s="241"/>
      <c r="U262" s="241"/>
      <c r="V262" s="241"/>
    </row>
    <row r="263" spans="1:22" x14ac:dyDescent="0.35">
      <c r="A263" s="243"/>
      <c r="B263" s="246"/>
      <c r="C263" s="241"/>
      <c r="D263" s="241"/>
      <c r="E263" s="241"/>
      <c r="R263" s="243"/>
      <c r="S263" s="246"/>
      <c r="T263" s="241"/>
      <c r="U263" s="241"/>
      <c r="V263" s="241"/>
    </row>
    <row r="264" spans="1:22" x14ac:dyDescent="0.35">
      <c r="A264" s="243"/>
      <c r="B264" s="246"/>
      <c r="C264" s="241"/>
      <c r="D264" s="241"/>
      <c r="E264" s="241"/>
      <c r="R264" s="243"/>
      <c r="S264" s="246"/>
      <c r="T264" s="241"/>
      <c r="U264" s="241"/>
      <c r="V264" s="241"/>
    </row>
    <row r="265" spans="1:22" x14ac:dyDescent="0.35">
      <c r="A265" s="243"/>
      <c r="B265" s="246"/>
      <c r="C265" s="241"/>
      <c r="D265" s="241"/>
      <c r="E265" s="241"/>
      <c r="R265" s="243"/>
      <c r="S265" s="246"/>
      <c r="T265" s="241"/>
      <c r="U265" s="241"/>
      <c r="V265" s="241"/>
    </row>
    <row r="266" spans="1:22" x14ac:dyDescent="0.35">
      <c r="A266" s="243"/>
      <c r="B266" s="246"/>
      <c r="C266" s="241"/>
      <c r="D266" s="241"/>
      <c r="E266" s="241"/>
      <c r="R266" s="243"/>
      <c r="S266" s="246"/>
      <c r="T266" s="241"/>
      <c r="U266" s="241"/>
      <c r="V266" s="241"/>
    </row>
    <row r="267" spans="1:22" x14ac:dyDescent="0.35">
      <c r="A267" s="243"/>
      <c r="B267" s="246"/>
      <c r="C267" s="241"/>
      <c r="D267" s="241"/>
      <c r="E267" s="241"/>
      <c r="R267" s="243"/>
      <c r="S267" s="246"/>
      <c r="T267" s="241"/>
      <c r="U267" s="241"/>
      <c r="V267" s="241"/>
    </row>
    <row r="268" spans="1:22" x14ac:dyDescent="0.35">
      <c r="A268" s="243"/>
      <c r="B268" s="246"/>
      <c r="C268" s="241"/>
      <c r="D268" s="241"/>
      <c r="E268" s="241"/>
      <c r="R268" s="243"/>
      <c r="S268" s="246"/>
      <c r="T268" s="241"/>
      <c r="U268" s="241"/>
      <c r="V268" s="241"/>
    </row>
    <row r="269" spans="1:22" x14ac:dyDescent="0.35">
      <c r="A269" s="243"/>
      <c r="B269" s="246"/>
      <c r="C269" s="241"/>
      <c r="D269" s="241"/>
      <c r="E269" s="241"/>
      <c r="R269" s="243"/>
      <c r="S269" s="246"/>
      <c r="T269" s="241"/>
      <c r="U269" s="241"/>
      <c r="V269" s="241"/>
    </row>
    <row r="270" spans="1:22" x14ac:dyDescent="0.35">
      <c r="A270" s="243"/>
      <c r="B270" s="246"/>
      <c r="C270" s="241"/>
      <c r="D270" s="241"/>
      <c r="E270" s="241"/>
      <c r="R270" s="243"/>
      <c r="S270" s="246"/>
      <c r="T270" s="241"/>
      <c r="U270" s="241"/>
      <c r="V270" s="241"/>
    </row>
    <row r="271" spans="1:22" x14ac:dyDescent="0.35">
      <c r="A271" s="243"/>
      <c r="B271" s="246"/>
      <c r="C271" s="241"/>
      <c r="D271" s="241"/>
      <c r="E271" s="241"/>
      <c r="R271" s="243"/>
      <c r="S271" s="246"/>
      <c r="T271" s="241"/>
      <c r="U271" s="241"/>
      <c r="V271" s="241"/>
    </row>
    <row r="272" spans="1:22" x14ac:dyDescent="0.35">
      <c r="A272" s="243"/>
      <c r="B272" s="246"/>
      <c r="C272" s="241"/>
      <c r="D272" s="241"/>
      <c r="E272" s="241"/>
      <c r="R272" s="243"/>
      <c r="S272" s="246"/>
      <c r="T272" s="241"/>
      <c r="U272" s="241"/>
      <c r="V272" s="241"/>
    </row>
    <row r="273" spans="1:22" x14ac:dyDescent="0.35">
      <c r="A273" s="243"/>
      <c r="B273" s="246"/>
      <c r="C273" s="241"/>
      <c r="D273" s="241"/>
      <c r="E273" s="241"/>
      <c r="R273" s="243"/>
      <c r="S273" s="246"/>
      <c r="T273" s="241"/>
      <c r="U273" s="241"/>
      <c r="V273" s="241"/>
    </row>
    <row r="274" spans="1:22" x14ac:dyDescent="0.35">
      <c r="A274" s="243"/>
      <c r="B274" s="246"/>
      <c r="C274" s="241"/>
      <c r="D274" s="241"/>
      <c r="E274" s="241"/>
      <c r="R274" s="243"/>
      <c r="S274" s="246"/>
      <c r="T274" s="241"/>
      <c r="U274" s="241"/>
      <c r="V274" s="241"/>
    </row>
    <row r="275" spans="1:22" x14ac:dyDescent="0.35">
      <c r="A275" s="243"/>
      <c r="B275" s="246"/>
      <c r="C275" s="241"/>
      <c r="D275" s="241"/>
      <c r="E275" s="241"/>
      <c r="R275" s="243"/>
      <c r="S275" s="246"/>
      <c r="T275" s="241"/>
      <c r="U275" s="241"/>
      <c r="V275" s="241"/>
    </row>
    <row r="276" spans="1:22" x14ac:dyDescent="0.35">
      <c r="A276" s="243"/>
      <c r="B276" s="246"/>
      <c r="C276" s="241"/>
      <c r="D276" s="241"/>
      <c r="E276" s="241"/>
      <c r="R276" s="243"/>
      <c r="S276" s="246"/>
      <c r="T276" s="241"/>
      <c r="U276" s="241"/>
      <c r="V276" s="241"/>
    </row>
    <row r="277" spans="1:22" x14ac:dyDescent="0.35">
      <c r="A277" s="243"/>
      <c r="B277" s="246"/>
      <c r="C277" s="241"/>
      <c r="D277" s="241"/>
      <c r="E277" s="241"/>
      <c r="R277" s="243"/>
      <c r="S277" s="246"/>
      <c r="T277" s="241"/>
      <c r="U277" s="241"/>
      <c r="V277" s="241"/>
    </row>
    <row r="278" spans="1:22" x14ac:dyDescent="0.35">
      <c r="A278" s="243"/>
      <c r="B278" s="246"/>
      <c r="C278" s="241"/>
      <c r="D278" s="241"/>
      <c r="E278" s="241"/>
      <c r="R278" s="243"/>
      <c r="S278" s="246"/>
      <c r="T278" s="241"/>
      <c r="U278" s="241"/>
      <c r="V278" s="241"/>
    </row>
    <row r="279" spans="1:22" x14ac:dyDescent="0.35">
      <c r="A279" s="243"/>
      <c r="B279" s="246"/>
      <c r="C279" s="241"/>
      <c r="D279" s="241"/>
      <c r="E279" s="241"/>
      <c r="R279" s="243"/>
      <c r="S279" s="246"/>
      <c r="T279" s="241"/>
      <c r="U279" s="241"/>
      <c r="V279" s="241"/>
    </row>
    <row r="280" spans="1:22" x14ac:dyDescent="0.35">
      <c r="A280" s="243"/>
      <c r="B280" s="246"/>
      <c r="C280" s="241"/>
      <c r="D280" s="241"/>
      <c r="E280" s="241"/>
      <c r="R280" s="243"/>
      <c r="S280" s="246"/>
      <c r="T280" s="241"/>
      <c r="U280" s="241"/>
      <c r="V280" s="241"/>
    </row>
    <row r="281" spans="1:22" x14ac:dyDescent="0.35">
      <c r="A281" s="243"/>
      <c r="B281" s="246"/>
      <c r="C281" s="241"/>
      <c r="D281" s="241"/>
      <c r="E281" s="241"/>
      <c r="R281" s="243"/>
      <c r="S281" s="246"/>
      <c r="T281" s="241"/>
      <c r="U281" s="241"/>
      <c r="V281" s="241"/>
    </row>
    <row r="282" spans="1:22" x14ac:dyDescent="0.35">
      <c r="A282" s="243"/>
      <c r="B282" s="246"/>
      <c r="C282" s="241"/>
      <c r="D282" s="241"/>
      <c r="E282" s="241"/>
      <c r="R282" s="243"/>
      <c r="S282" s="246"/>
      <c r="T282" s="241"/>
      <c r="U282" s="241"/>
      <c r="V282" s="241"/>
    </row>
    <row r="283" spans="1:22" x14ac:dyDescent="0.35">
      <c r="A283" s="243"/>
      <c r="B283" s="246"/>
      <c r="C283" s="241"/>
      <c r="D283" s="241"/>
      <c r="E283" s="241"/>
      <c r="R283" s="243"/>
      <c r="S283" s="246"/>
      <c r="T283" s="241"/>
      <c r="U283" s="241"/>
      <c r="V283" s="241"/>
    </row>
    <row r="284" spans="1:22" x14ac:dyDescent="0.35">
      <c r="A284" s="243"/>
      <c r="B284" s="246"/>
      <c r="C284" s="241"/>
      <c r="D284" s="241"/>
      <c r="E284" s="241"/>
      <c r="R284" s="243"/>
      <c r="S284" s="246"/>
      <c r="T284" s="241"/>
      <c r="U284" s="241"/>
      <c r="V284" s="241"/>
    </row>
    <row r="285" spans="1:22" x14ac:dyDescent="0.35">
      <c r="A285" s="243"/>
      <c r="B285" s="246"/>
      <c r="C285" s="241"/>
      <c r="D285" s="241"/>
      <c r="E285" s="241"/>
      <c r="R285" s="243"/>
      <c r="S285" s="246"/>
      <c r="T285" s="241"/>
      <c r="U285" s="241"/>
      <c r="V285" s="241"/>
    </row>
    <row r="286" spans="1:22" x14ac:dyDescent="0.35">
      <c r="A286" s="243"/>
      <c r="B286" s="246"/>
      <c r="C286" s="241"/>
      <c r="D286" s="241"/>
      <c r="E286" s="241"/>
      <c r="R286" s="243"/>
      <c r="S286" s="246"/>
      <c r="T286" s="241"/>
      <c r="U286" s="241"/>
      <c r="V286" s="241"/>
    </row>
    <row r="287" spans="1:22" x14ac:dyDescent="0.35">
      <c r="A287" s="243"/>
      <c r="B287" s="246"/>
      <c r="C287" s="241"/>
      <c r="D287" s="241"/>
      <c r="E287" s="241"/>
      <c r="R287" s="243"/>
      <c r="S287" s="246"/>
      <c r="T287" s="241"/>
      <c r="U287" s="241"/>
      <c r="V287" s="241"/>
    </row>
    <row r="288" spans="1:22" x14ac:dyDescent="0.35">
      <c r="A288" s="243"/>
      <c r="B288" s="246"/>
      <c r="C288" s="241"/>
      <c r="D288" s="241"/>
      <c r="E288" s="241"/>
      <c r="R288" s="243"/>
      <c r="S288" s="246"/>
      <c r="T288" s="241"/>
      <c r="U288" s="241"/>
      <c r="V288" s="241"/>
    </row>
    <row r="289" spans="1:22" x14ac:dyDescent="0.35">
      <c r="A289" s="243"/>
      <c r="B289" s="246"/>
      <c r="C289" s="241"/>
      <c r="D289" s="241"/>
      <c r="E289" s="241"/>
      <c r="R289" s="243"/>
      <c r="S289" s="246"/>
      <c r="T289" s="241"/>
      <c r="U289" s="241"/>
      <c r="V289" s="241"/>
    </row>
    <row r="290" spans="1:22" x14ac:dyDescent="0.35">
      <c r="A290" s="243"/>
      <c r="B290" s="246"/>
      <c r="C290" s="241"/>
      <c r="D290" s="241"/>
      <c r="E290" s="241"/>
      <c r="R290" s="243"/>
      <c r="S290" s="246"/>
      <c r="T290" s="241"/>
      <c r="U290" s="241"/>
      <c r="V290" s="241"/>
    </row>
    <row r="291" spans="1:22" x14ac:dyDescent="0.35">
      <c r="A291" s="243"/>
      <c r="B291" s="246"/>
      <c r="C291" s="241"/>
      <c r="D291" s="241"/>
      <c r="E291" s="241"/>
      <c r="R291" s="243"/>
      <c r="S291" s="246"/>
      <c r="T291" s="241"/>
      <c r="U291" s="241"/>
      <c r="V291" s="241"/>
    </row>
    <row r="292" spans="1:22" x14ac:dyDescent="0.35">
      <c r="A292" s="243"/>
      <c r="B292" s="246"/>
      <c r="C292" s="241"/>
      <c r="D292" s="241"/>
      <c r="E292" s="241"/>
      <c r="R292" s="243"/>
      <c r="S292" s="246"/>
      <c r="T292" s="241"/>
      <c r="U292" s="241"/>
      <c r="V292" s="241"/>
    </row>
    <row r="293" spans="1:22" x14ac:dyDescent="0.35">
      <c r="A293" s="243"/>
      <c r="B293" s="246"/>
      <c r="C293" s="241"/>
      <c r="D293" s="241"/>
      <c r="E293" s="241"/>
      <c r="R293" s="243"/>
      <c r="S293" s="246"/>
      <c r="T293" s="241"/>
      <c r="U293" s="241"/>
      <c r="V293" s="241"/>
    </row>
    <row r="294" spans="1:22" x14ac:dyDescent="0.35">
      <c r="A294" s="243"/>
      <c r="B294" s="246"/>
      <c r="C294" s="241"/>
      <c r="D294" s="241"/>
      <c r="E294" s="241"/>
      <c r="R294" s="243"/>
      <c r="S294" s="246"/>
      <c r="T294" s="241"/>
      <c r="U294" s="241"/>
      <c r="V294" s="241"/>
    </row>
    <row r="295" spans="1:22" x14ac:dyDescent="0.35">
      <c r="A295" s="243"/>
      <c r="B295" s="246"/>
      <c r="C295" s="241"/>
      <c r="D295" s="241"/>
      <c r="E295" s="241"/>
      <c r="R295" s="243"/>
      <c r="S295" s="246"/>
      <c r="T295" s="241"/>
      <c r="U295" s="241"/>
      <c r="V295" s="241"/>
    </row>
    <row r="296" spans="1:22" x14ac:dyDescent="0.35">
      <c r="A296" s="243"/>
      <c r="B296" s="246"/>
      <c r="C296" s="241"/>
      <c r="D296" s="241"/>
      <c r="E296" s="241"/>
      <c r="R296" s="243"/>
      <c r="S296" s="246"/>
      <c r="T296" s="241"/>
      <c r="U296" s="241"/>
      <c r="V296" s="241"/>
    </row>
    <row r="297" spans="1:22" x14ac:dyDescent="0.35">
      <c r="A297" s="243"/>
      <c r="B297" s="246"/>
      <c r="C297" s="241"/>
      <c r="D297" s="241"/>
      <c r="E297" s="241"/>
      <c r="R297" s="243"/>
      <c r="S297" s="246"/>
      <c r="T297" s="241"/>
      <c r="U297" s="241"/>
      <c r="V297" s="241"/>
    </row>
    <row r="298" spans="1:22" x14ac:dyDescent="0.35">
      <c r="A298" s="243"/>
      <c r="B298" s="246"/>
      <c r="C298" s="241"/>
      <c r="D298" s="241"/>
      <c r="E298" s="241"/>
      <c r="R298" s="243"/>
      <c r="S298" s="246"/>
      <c r="T298" s="241"/>
      <c r="U298" s="241"/>
      <c r="V298" s="241"/>
    </row>
    <row r="299" spans="1:22" x14ac:dyDescent="0.35">
      <c r="A299" s="243"/>
      <c r="B299" s="246"/>
      <c r="C299" s="241"/>
      <c r="D299" s="241"/>
      <c r="E299" s="241"/>
      <c r="R299" s="243"/>
      <c r="S299" s="246"/>
      <c r="T299" s="241"/>
      <c r="U299" s="241"/>
      <c r="V299" s="241"/>
    </row>
    <row r="300" spans="1:22" x14ac:dyDescent="0.35">
      <c r="A300" s="243"/>
      <c r="B300" s="246"/>
      <c r="C300" s="241"/>
      <c r="D300" s="241"/>
      <c r="E300" s="241"/>
      <c r="R300" s="243"/>
      <c r="S300" s="246"/>
      <c r="T300" s="241"/>
      <c r="U300" s="241"/>
      <c r="V300" s="241"/>
    </row>
    <row r="301" spans="1:22" x14ac:dyDescent="0.35">
      <c r="A301" s="243"/>
      <c r="B301" s="246"/>
      <c r="C301" s="241"/>
      <c r="D301" s="241"/>
      <c r="E301" s="241"/>
      <c r="R301" s="243"/>
      <c r="S301" s="246"/>
      <c r="T301" s="241"/>
      <c r="U301" s="241"/>
      <c r="V301" s="241"/>
    </row>
    <row r="302" spans="1:22" x14ac:dyDescent="0.35">
      <c r="A302" s="243"/>
      <c r="B302" s="246"/>
      <c r="C302" s="241"/>
      <c r="D302" s="241"/>
      <c r="E302" s="241"/>
      <c r="R302" s="243"/>
      <c r="S302" s="246"/>
      <c r="T302" s="241"/>
      <c r="U302" s="241"/>
      <c r="V302" s="241"/>
    </row>
    <row r="303" spans="1:22" x14ac:dyDescent="0.35">
      <c r="A303" s="243"/>
      <c r="B303" s="246"/>
      <c r="C303" s="241"/>
      <c r="D303" s="241"/>
      <c r="E303" s="241"/>
      <c r="R303" s="243"/>
      <c r="S303" s="246"/>
      <c r="T303" s="241"/>
      <c r="U303" s="241"/>
      <c r="V303" s="241"/>
    </row>
    <row r="304" spans="1:22" x14ac:dyDescent="0.35">
      <c r="A304" s="243"/>
      <c r="B304" s="246"/>
      <c r="C304" s="241"/>
      <c r="D304" s="241"/>
      <c r="E304" s="241"/>
      <c r="R304" s="243"/>
      <c r="S304" s="246"/>
      <c r="T304" s="241"/>
      <c r="U304" s="241"/>
      <c r="V304" s="241"/>
    </row>
    <row r="305" spans="1:22" x14ac:dyDescent="0.35">
      <c r="A305" s="243"/>
      <c r="B305" s="246"/>
      <c r="C305" s="241"/>
      <c r="D305" s="241"/>
      <c r="E305" s="241"/>
      <c r="R305" s="243"/>
      <c r="S305" s="246"/>
      <c r="T305" s="241"/>
      <c r="U305" s="241"/>
      <c r="V305" s="241"/>
    </row>
    <row r="306" spans="1:22" x14ac:dyDescent="0.35">
      <c r="A306" s="243"/>
      <c r="B306" s="246"/>
      <c r="C306" s="241"/>
      <c r="D306" s="241"/>
      <c r="E306" s="241"/>
      <c r="R306" s="243"/>
      <c r="S306" s="246"/>
      <c r="T306" s="241"/>
      <c r="U306" s="241"/>
      <c r="V306" s="241"/>
    </row>
    <row r="307" spans="1:22" x14ac:dyDescent="0.35">
      <c r="A307" s="243"/>
      <c r="B307" s="246"/>
      <c r="C307" s="241"/>
      <c r="D307" s="241"/>
      <c r="E307" s="241"/>
      <c r="R307" s="243"/>
      <c r="S307" s="246"/>
      <c r="T307" s="241"/>
      <c r="U307" s="241"/>
      <c r="V307" s="241"/>
    </row>
    <row r="308" spans="1:22" x14ac:dyDescent="0.35">
      <c r="A308" s="243"/>
      <c r="B308" s="246"/>
      <c r="C308" s="241"/>
      <c r="D308" s="241"/>
      <c r="E308" s="241"/>
      <c r="R308" s="243"/>
      <c r="S308" s="246"/>
      <c r="T308" s="241"/>
      <c r="U308" s="241"/>
      <c r="V308" s="241"/>
    </row>
    <row r="309" spans="1:22" x14ac:dyDescent="0.35">
      <c r="A309" s="243"/>
      <c r="B309" s="246"/>
      <c r="C309" s="241"/>
      <c r="D309" s="241"/>
      <c r="E309" s="241"/>
      <c r="R309" s="243"/>
      <c r="S309" s="246"/>
      <c r="T309" s="241"/>
      <c r="U309" s="241"/>
      <c r="V309" s="241"/>
    </row>
    <row r="310" spans="1:22" x14ac:dyDescent="0.35">
      <c r="A310" s="243"/>
      <c r="B310" s="246"/>
      <c r="C310" s="241"/>
      <c r="D310" s="241"/>
      <c r="E310" s="241"/>
      <c r="R310" s="243"/>
      <c r="S310" s="246"/>
      <c r="T310" s="241"/>
      <c r="U310" s="241"/>
      <c r="V310" s="241"/>
    </row>
    <row r="311" spans="1:22" x14ac:dyDescent="0.35">
      <c r="A311" s="243"/>
      <c r="B311" s="246"/>
      <c r="C311" s="241"/>
      <c r="D311" s="241"/>
      <c r="E311" s="241"/>
      <c r="R311" s="243"/>
      <c r="S311" s="246"/>
      <c r="T311" s="241"/>
      <c r="U311" s="241"/>
      <c r="V311" s="241"/>
    </row>
    <row r="312" spans="1:22" x14ac:dyDescent="0.35">
      <c r="A312" s="243"/>
      <c r="B312" s="246"/>
      <c r="C312" s="241"/>
      <c r="D312" s="241"/>
      <c r="E312" s="241"/>
      <c r="R312" s="243"/>
      <c r="S312" s="246"/>
      <c r="T312" s="241"/>
      <c r="U312" s="241"/>
      <c r="V312" s="241"/>
    </row>
    <row r="313" spans="1:22" x14ac:dyDescent="0.35">
      <c r="A313" s="243"/>
      <c r="B313" s="246"/>
      <c r="C313" s="241"/>
      <c r="D313" s="241"/>
      <c r="E313" s="241"/>
      <c r="R313" s="243"/>
      <c r="S313" s="246"/>
      <c r="T313" s="241"/>
      <c r="U313" s="241"/>
      <c r="V313" s="241"/>
    </row>
    <row r="314" spans="1:22" x14ac:dyDescent="0.35">
      <c r="A314" s="243"/>
      <c r="B314" s="246"/>
      <c r="C314" s="241"/>
      <c r="D314" s="241"/>
      <c r="E314" s="241"/>
      <c r="R314" s="243"/>
      <c r="S314" s="246"/>
      <c r="T314" s="241"/>
      <c r="U314" s="241"/>
      <c r="V314" s="241"/>
    </row>
    <row r="315" spans="1:22" x14ac:dyDescent="0.35">
      <c r="A315" s="243"/>
      <c r="B315" s="246"/>
      <c r="C315" s="241"/>
      <c r="D315" s="241"/>
      <c r="E315" s="241"/>
      <c r="R315" s="243"/>
      <c r="S315" s="246"/>
      <c r="T315" s="241"/>
      <c r="U315" s="241"/>
      <c r="V315" s="241"/>
    </row>
    <row r="316" spans="1:22" x14ac:dyDescent="0.35">
      <c r="A316" s="243"/>
      <c r="B316" s="246"/>
      <c r="C316" s="241"/>
      <c r="D316" s="241"/>
      <c r="E316" s="241"/>
      <c r="R316" s="243"/>
      <c r="S316" s="246"/>
      <c r="T316" s="241"/>
      <c r="U316" s="241"/>
      <c r="V316" s="241"/>
    </row>
    <row r="317" spans="1:22" x14ac:dyDescent="0.35">
      <c r="A317" s="243"/>
      <c r="B317" s="246"/>
      <c r="C317" s="241"/>
      <c r="D317" s="241"/>
      <c r="E317" s="241"/>
      <c r="R317" s="243"/>
      <c r="S317" s="246"/>
      <c r="T317" s="241"/>
      <c r="U317" s="241"/>
      <c r="V317" s="241"/>
    </row>
    <row r="318" spans="1:22" x14ac:dyDescent="0.35">
      <c r="A318" s="243"/>
      <c r="B318" s="246"/>
      <c r="C318" s="241"/>
      <c r="D318" s="241"/>
      <c r="E318" s="241"/>
      <c r="R318" s="243"/>
      <c r="S318" s="246"/>
      <c r="T318" s="241"/>
      <c r="U318" s="241"/>
      <c r="V318" s="241"/>
    </row>
    <row r="319" spans="1:22" x14ac:dyDescent="0.35">
      <c r="A319" s="243"/>
      <c r="B319" s="246"/>
      <c r="C319" s="241"/>
      <c r="D319" s="241"/>
      <c r="E319" s="241"/>
      <c r="R319" s="243"/>
      <c r="S319" s="246"/>
      <c r="T319" s="241"/>
      <c r="U319" s="241"/>
      <c r="V319" s="241"/>
    </row>
    <row r="320" spans="1:22" x14ac:dyDescent="0.35">
      <c r="A320" s="243"/>
      <c r="B320" s="246"/>
      <c r="C320" s="241"/>
      <c r="D320" s="241"/>
      <c r="E320" s="241"/>
      <c r="R320" s="243"/>
      <c r="S320" s="246"/>
      <c r="T320" s="241"/>
      <c r="U320" s="241"/>
      <c r="V320" s="241"/>
    </row>
    <row r="321" spans="1:22" x14ac:dyDescent="0.35">
      <c r="A321" s="243"/>
      <c r="B321" s="246"/>
      <c r="C321" s="241"/>
      <c r="D321" s="241"/>
      <c r="E321" s="241"/>
      <c r="R321" s="243"/>
      <c r="S321" s="246"/>
      <c r="T321" s="241"/>
      <c r="U321" s="241"/>
      <c r="V321" s="241"/>
    </row>
    <row r="322" spans="1:22" x14ac:dyDescent="0.35">
      <c r="A322" s="243"/>
      <c r="B322" s="246"/>
      <c r="C322" s="241"/>
      <c r="D322" s="241"/>
      <c r="E322" s="241"/>
      <c r="R322" s="243"/>
      <c r="S322" s="246"/>
      <c r="T322" s="241"/>
      <c r="U322" s="241"/>
      <c r="V322" s="241"/>
    </row>
    <row r="323" spans="1:22" x14ac:dyDescent="0.35">
      <c r="A323" s="243"/>
      <c r="B323" s="246"/>
      <c r="C323" s="241"/>
      <c r="D323" s="241"/>
      <c r="E323" s="241"/>
      <c r="R323" s="243"/>
      <c r="S323" s="246"/>
      <c r="T323" s="241"/>
      <c r="U323" s="241"/>
      <c r="V323" s="241"/>
    </row>
    <row r="324" spans="1:22" x14ac:dyDescent="0.35">
      <c r="A324" s="243"/>
      <c r="B324" s="246"/>
      <c r="C324" s="241"/>
      <c r="D324" s="241"/>
      <c r="E324" s="241"/>
      <c r="R324" s="243"/>
      <c r="S324" s="246"/>
      <c r="T324" s="241"/>
      <c r="U324" s="241"/>
      <c r="V324" s="241"/>
    </row>
    <row r="325" spans="1:22" x14ac:dyDescent="0.35">
      <c r="A325" s="243"/>
      <c r="B325" s="246"/>
      <c r="C325" s="241"/>
      <c r="D325" s="241"/>
      <c r="E325" s="241"/>
      <c r="R325" s="243"/>
      <c r="S325" s="246"/>
      <c r="T325" s="241"/>
      <c r="U325" s="241"/>
      <c r="V325" s="241"/>
    </row>
    <row r="326" spans="1:22" x14ac:dyDescent="0.35">
      <c r="A326" s="243"/>
      <c r="B326" s="246"/>
      <c r="C326" s="241"/>
      <c r="D326" s="257"/>
      <c r="E326" s="241"/>
      <c r="R326" s="243"/>
      <c r="S326" s="246"/>
      <c r="T326" s="241"/>
      <c r="U326" s="257"/>
      <c r="V326" s="241"/>
    </row>
    <row r="327" spans="1:22" x14ac:dyDescent="0.35">
      <c r="A327" s="243"/>
      <c r="B327" s="246"/>
      <c r="C327" s="241"/>
      <c r="D327" s="241"/>
      <c r="E327" s="241"/>
      <c r="R327" s="243"/>
      <c r="S327" s="246"/>
      <c r="T327" s="241"/>
      <c r="U327" s="241"/>
      <c r="V327" s="241"/>
    </row>
    <row r="328" spans="1:22" x14ac:dyDescent="0.35">
      <c r="A328" s="243"/>
      <c r="B328" s="246"/>
      <c r="C328" s="241"/>
      <c r="D328" s="241"/>
      <c r="E328" s="241"/>
      <c r="R328" s="243"/>
      <c r="S328" s="246"/>
      <c r="T328" s="241"/>
      <c r="U328" s="241"/>
      <c r="V328" s="241"/>
    </row>
    <row r="329" spans="1:22" x14ac:dyDescent="0.35">
      <c r="A329" s="243"/>
      <c r="B329" s="246"/>
      <c r="C329" s="241"/>
      <c r="D329" s="241"/>
      <c r="E329" s="241"/>
      <c r="R329" s="243"/>
      <c r="S329" s="246"/>
      <c r="T329" s="241"/>
      <c r="U329" s="241"/>
      <c r="V329" s="241"/>
    </row>
    <row r="330" spans="1:22" x14ac:dyDescent="0.35">
      <c r="A330" s="243"/>
      <c r="B330" s="246"/>
      <c r="C330" s="241"/>
      <c r="D330" s="241"/>
      <c r="E330" s="241"/>
      <c r="R330" s="243"/>
      <c r="S330" s="246"/>
      <c r="T330" s="241"/>
      <c r="U330" s="241"/>
      <c r="V330" s="241"/>
    </row>
    <row r="331" spans="1:22" x14ac:dyDescent="0.35">
      <c r="A331" s="243"/>
      <c r="B331" s="246"/>
      <c r="C331" s="241"/>
      <c r="D331" s="241"/>
      <c r="E331" s="241"/>
      <c r="R331" s="243"/>
      <c r="S331" s="246"/>
      <c r="T331" s="241"/>
      <c r="U331" s="241"/>
      <c r="V331" s="241"/>
    </row>
    <row r="332" spans="1:22" x14ac:dyDescent="0.35">
      <c r="A332" s="243"/>
      <c r="B332" s="246"/>
      <c r="C332" s="241"/>
      <c r="D332" s="241"/>
      <c r="E332" s="241"/>
      <c r="R332" s="243"/>
      <c r="S332" s="246"/>
      <c r="T332" s="241"/>
      <c r="U332" s="241"/>
      <c r="V332" s="241"/>
    </row>
    <row r="333" spans="1:22" x14ac:dyDescent="0.35">
      <c r="A333" s="243"/>
      <c r="B333" s="246"/>
      <c r="C333" s="241"/>
      <c r="D333" s="241"/>
      <c r="E333" s="241"/>
      <c r="R333" s="243"/>
      <c r="S333" s="246"/>
      <c r="T333" s="241"/>
      <c r="U333" s="241"/>
      <c r="V333" s="241"/>
    </row>
    <row r="334" spans="1:22" x14ac:dyDescent="0.35">
      <c r="A334" s="243"/>
      <c r="B334" s="246"/>
      <c r="C334" s="241"/>
      <c r="D334" s="241"/>
      <c r="E334" s="241"/>
      <c r="R334" s="243"/>
      <c r="S334" s="246"/>
      <c r="T334" s="241"/>
      <c r="U334" s="241"/>
      <c r="V334" s="241"/>
    </row>
    <row r="335" spans="1:22" x14ac:dyDescent="0.35">
      <c r="A335" s="243"/>
      <c r="B335" s="246"/>
      <c r="C335" s="241"/>
      <c r="D335" s="241"/>
      <c r="E335" s="241"/>
      <c r="R335" s="243"/>
      <c r="S335" s="246"/>
      <c r="T335" s="241"/>
      <c r="U335" s="241"/>
      <c r="V335" s="241"/>
    </row>
    <row r="336" spans="1:22" x14ac:dyDescent="0.35">
      <c r="A336" s="243"/>
      <c r="B336" s="246"/>
      <c r="C336" s="241"/>
      <c r="D336" s="241"/>
      <c r="E336" s="241"/>
      <c r="R336" s="243"/>
      <c r="S336" s="246"/>
      <c r="T336" s="241"/>
      <c r="U336" s="241"/>
      <c r="V336" s="241"/>
    </row>
    <row r="337" spans="1:22" x14ac:dyDescent="0.35">
      <c r="A337" s="243"/>
      <c r="B337" s="246"/>
      <c r="C337" s="241"/>
      <c r="D337" s="241"/>
      <c r="E337" s="241"/>
      <c r="R337" s="243"/>
      <c r="S337" s="246"/>
      <c r="T337" s="241"/>
      <c r="U337" s="241"/>
      <c r="V337" s="241"/>
    </row>
    <row r="338" spans="1:22" x14ac:dyDescent="0.35">
      <c r="A338" s="243"/>
      <c r="B338" s="246"/>
      <c r="C338" s="241"/>
      <c r="D338" s="241"/>
      <c r="E338" s="241"/>
      <c r="R338" s="243"/>
      <c r="S338" s="246"/>
      <c r="T338" s="241"/>
      <c r="U338" s="241"/>
      <c r="V338" s="241"/>
    </row>
    <row r="339" spans="1:22" x14ac:dyDescent="0.35">
      <c r="A339" s="243"/>
      <c r="B339" s="246"/>
      <c r="C339" s="241"/>
      <c r="D339" s="241"/>
      <c r="E339" s="241"/>
      <c r="R339" s="243"/>
      <c r="S339" s="246"/>
      <c r="T339" s="241"/>
      <c r="U339" s="241"/>
      <c r="V339" s="241"/>
    </row>
    <row r="340" spans="1:22" x14ac:dyDescent="0.35">
      <c r="A340" s="243"/>
      <c r="B340" s="246"/>
      <c r="C340" s="241"/>
      <c r="D340" s="241"/>
      <c r="E340" s="241"/>
      <c r="R340" s="243"/>
      <c r="S340" s="246"/>
      <c r="T340" s="241"/>
      <c r="U340" s="241"/>
      <c r="V340" s="241"/>
    </row>
    <row r="341" spans="1:22" x14ac:dyDescent="0.35">
      <c r="A341" s="243"/>
      <c r="B341" s="246"/>
      <c r="C341" s="241"/>
      <c r="D341" s="241"/>
      <c r="E341" s="241"/>
      <c r="R341" s="243"/>
      <c r="S341" s="246"/>
      <c r="T341" s="241"/>
      <c r="U341" s="241"/>
      <c r="V341" s="241"/>
    </row>
    <row r="342" spans="1:22" x14ac:dyDescent="0.35">
      <c r="A342" s="243"/>
      <c r="B342" s="246"/>
      <c r="C342" s="241"/>
      <c r="D342" s="241"/>
      <c r="E342" s="241"/>
      <c r="R342" s="243"/>
      <c r="S342" s="246"/>
      <c r="T342" s="241"/>
      <c r="U342" s="241"/>
      <c r="V342" s="241"/>
    </row>
    <row r="343" spans="1:22" x14ac:dyDescent="0.35">
      <c r="A343" s="243"/>
      <c r="B343" s="246"/>
      <c r="C343" s="241"/>
      <c r="D343" s="241"/>
      <c r="E343" s="241"/>
      <c r="R343" s="243"/>
      <c r="S343" s="246"/>
      <c r="T343" s="241"/>
      <c r="U343" s="241"/>
      <c r="V343" s="241"/>
    </row>
    <row r="344" spans="1:22" x14ac:dyDescent="0.35">
      <c r="A344" s="243"/>
      <c r="B344" s="246"/>
      <c r="C344" s="241"/>
      <c r="D344" s="241"/>
      <c r="E344" s="241"/>
      <c r="R344" s="243"/>
      <c r="S344" s="246"/>
      <c r="T344" s="241"/>
      <c r="U344" s="241"/>
      <c r="V344" s="241"/>
    </row>
    <row r="345" spans="1:22" x14ac:dyDescent="0.35">
      <c r="A345" s="243"/>
      <c r="B345" s="246"/>
      <c r="C345" s="241"/>
      <c r="D345" s="241"/>
      <c r="E345" s="241"/>
      <c r="R345" s="243"/>
      <c r="S345" s="246"/>
      <c r="T345" s="241"/>
      <c r="U345" s="241"/>
      <c r="V345" s="241"/>
    </row>
    <row r="346" spans="1:22" x14ac:dyDescent="0.35">
      <c r="A346" s="243"/>
      <c r="B346" s="246"/>
      <c r="C346" s="241"/>
      <c r="D346" s="241"/>
      <c r="E346" s="241"/>
      <c r="R346" s="243"/>
      <c r="S346" s="246"/>
      <c r="T346" s="241"/>
      <c r="U346" s="241"/>
      <c r="V346" s="241"/>
    </row>
    <row r="347" spans="1:22" x14ac:dyDescent="0.35">
      <c r="A347" s="243"/>
      <c r="B347" s="246"/>
      <c r="C347" s="241"/>
      <c r="D347" s="241"/>
      <c r="E347" s="241"/>
      <c r="R347" s="243"/>
      <c r="S347" s="246"/>
      <c r="T347" s="241"/>
      <c r="U347" s="241"/>
      <c r="V347" s="241"/>
    </row>
    <row r="348" spans="1:22" x14ac:dyDescent="0.35">
      <c r="A348" s="243"/>
      <c r="B348" s="246"/>
      <c r="C348" s="241"/>
      <c r="D348" s="241"/>
      <c r="E348" s="241"/>
      <c r="R348" s="243"/>
      <c r="S348" s="246"/>
      <c r="T348" s="241"/>
      <c r="U348" s="241"/>
      <c r="V348" s="241"/>
    </row>
    <row r="349" spans="1:22" x14ac:dyDescent="0.35">
      <c r="A349" s="243"/>
      <c r="B349" s="246"/>
      <c r="C349" s="241"/>
      <c r="D349" s="241"/>
      <c r="E349" s="241"/>
      <c r="R349" s="243"/>
      <c r="S349" s="246"/>
      <c r="T349" s="241"/>
      <c r="U349" s="241"/>
      <c r="V349" s="241"/>
    </row>
    <row r="350" spans="1:22" x14ac:dyDescent="0.35">
      <c r="A350" s="243"/>
      <c r="B350" s="246"/>
      <c r="C350" s="241"/>
      <c r="D350" s="241"/>
      <c r="E350" s="241"/>
      <c r="R350" s="243"/>
      <c r="S350" s="246"/>
      <c r="T350" s="241"/>
      <c r="U350" s="241"/>
      <c r="V350" s="241"/>
    </row>
    <row r="351" spans="1:22" x14ac:dyDescent="0.35">
      <c r="A351" s="243"/>
      <c r="B351" s="246"/>
      <c r="C351" s="241"/>
      <c r="D351" s="241"/>
      <c r="E351" s="241"/>
      <c r="R351" s="243"/>
      <c r="S351" s="246"/>
      <c r="T351" s="241"/>
      <c r="U351" s="241"/>
      <c r="V351" s="241"/>
    </row>
    <row r="352" spans="1:22" x14ac:dyDescent="0.35">
      <c r="A352" s="243"/>
      <c r="B352" s="246"/>
      <c r="C352" s="241"/>
      <c r="D352" s="241"/>
      <c r="E352" s="241"/>
      <c r="R352" s="243"/>
      <c r="S352" s="246"/>
      <c r="T352" s="241"/>
      <c r="U352" s="241"/>
      <c r="V352" s="241"/>
    </row>
    <row r="353" spans="1:22" x14ac:dyDescent="0.35">
      <c r="A353" s="243"/>
      <c r="B353" s="246"/>
      <c r="C353" s="241"/>
      <c r="D353" s="241"/>
      <c r="E353" s="241"/>
      <c r="R353" s="243"/>
      <c r="S353" s="246"/>
      <c r="T353" s="241"/>
      <c r="U353" s="241"/>
      <c r="V353" s="241"/>
    </row>
    <row r="354" spans="1:22" x14ac:dyDescent="0.35">
      <c r="A354" s="243"/>
      <c r="B354" s="246"/>
      <c r="C354" s="241"/>
      <c r="D354" s="241"/>
      <c r="E354" s="241"/>
      <c r="R354" s="243"/>
      <c r="S354" s="246"/>
      <c r="T354" s="241"/>
      <c r="U354" s="241"/>
      <c r="V354" s="241"/>
    </row>
    <row r="355" spans="1:22" x14ac:dyDescent="0.35">
      <c r="A355" s="243"/>
      <c r="B355" s="246"/>
      <c r="C355" s="241"/>
      <c r="D355" s="241"/>
      <c r="E355" s="241"/>
      <c r="R355" s="243"/>
      <c r="S355" s="246"/>
      <c r="T355" s="241"/>
      <c r="U355" s="241"/>
      <c r="V355" s="241"/>
    </row>
    <row r="356" spans="1:22" x14ac:dyDescent="0.35">
      <c r="A356" s="243"/>
      <c r="B356" s="246"/>
      <c r="C356" s="241"/>
      <c r="D356" s="241"/>
      <c r="E356" s="241"/>
      <c r="R356" s="243"/>
      <c r="S356" s="246"/>
      <c r="T356" s="241"/>
      <c r="U356" s="241"/>
      <c r="V356" s="241"/>
    </row>
    <row r="357" spans="1:22" x14ac:dyDescent="0.35">
      <c r="A357" s="243"/>
      <c r="B357" s="246"/>
      <c r="C357" s="241"/>
      <c r="D357" s="241"/>
      <c r="E357" s="241"/>
      <c r="R357" s="243"/>
      <c r="S357" s="246"/>
      <c r="T357" s="241"/>
      <c r="U357" s="241"/>
      <c r="V357" s="241"/>
    </row>
    <row r="358" spans="1:22" x14ac:dyDescent="0.35">
      <c r="A358" s="243"/>
      <c r="B358" s="246"/>
      <c r="C358" s="241"/>
      <c r="D358" s="241"/>
      <c r="E358" s="241"/>
      <c r="R358" s="243"/>
      <c r="S358" s="246"/>
      <c r="T358" s="241"/>
      <c r="U358" s="241"/>
      <c r="V358" s="241"/>
    </row>
    <row r="359" spans="1:22" x14ac:dyDescent="0.35">
      <c r="A359" s="243"/>
      <c r="B359" s="246"/>
      <c r="C359" s="241"/>
      <c r="D359" s="241"/>
      <c r="E359" s="241"/>
      <c r="R359" s="243"/>
      <c r="S359" s="246"/>
      <c r="T359" s="241"/>
      <c r="U359" s="241"/>
      <c r="V359" s="241"/>
    </row>
    <row r="360" spans="1:22" x14ac:dyDescent="0.35">
      <c r="A360" s="243"/>
      <c r="B360" s="246"/>
      <c r="C360" s="241"/>
      <c r="D360" s="241"/>
      <c r="E360" s="241"/>
      <c r="R360" s="243"/>
      <c r="S360" s="246"/>
      <c r="T360" s="241"/>
      <c r="U360" s="241"/>
      <c r="V360" s="241"/>
    </row>
    <row r="361" spans="1:22" x14ac:dyDescent="0.35">
      <c r="A361" s="243"/>
      <c r="B361" s="246"/>
      <c r="C361" s="241"/>
      <c r="D361" s="241"/>
      <c r="E361" s="241"/>
      <c r="R361" s="243"/>
      <c r="S361" s="246"/>
      <c r="T361" s="241"/>
      <c r="U361" s="241"/>
      <c r="V361" s="241"/>
    </row>
    <row r="362" spans="1:22" x14ac:dyDescent="0.35">
      <c r="A362" s="243"/>
      <c r="B362" s="246"/>
      <c r="C362" s="241"/>
      <c r="D362" s="241"/>
      <c r="E362" s="241"/>
      <c r="R362" s="243"/>
      <c r="S362" s="246"/>
      <c r="T362" s="241"/>
      <c r="U362" s="241"/>
      <c r="V362" s="241"/>
    </row>
    <row r="363" spans="1:22" x14ac:dyDescent="0.35">
      <c r="A363" s="243"/>
      <c r="B363" s="246"/>
      <c r="C363" s="241"/>
      <c r="D363" s="241"/>
      <c r="E363" s="241"/>
      <c r="R363" s="243"/>
      <c r="S363" s="246"/>
      <c r="T363" s="241"/>
      <c r="U363" s="241"/>
      <c r="V363" s="241"/>
    </row>
    <row r="364" spans="1:22" x14ac:dyDescent="0.35">
      <c r="A364" s="243"/>
      <c r="B364" s="246"/>
      <c r="C364" s="241"/>
      <c r="D364" s="241"/>
      <c r="E364" s="241"/>
      <c r="R364" s="243"/>
      <c r="S364" s="246"/>
      <c r="T364" s="241"/>
      <c r="U364" s="241"/>
      <c r="V364" s="241"/>
    </row>
    <row r="365" spans="1:22" x14ac:dyDescent="0.35">
      <c r="A365" s="243"/>
      <c r="B365" s="246"/>
      <c r="C365" s="241"/>
      <c r="D365" s="241"/>
      <c r="E365" s="241"/>
      <c r="R365" s="243"/>
      <c r="S365" s="246"/>
      <c r="T365" s="241"/>
      <c r="U365" s="241"/>
      <c r="V365" s="241"/>
    </row>
    <row r="366" spans="1:22" x14ac:dyDescent="0.35">
      <c r="A366" s="243"/>
      <c r="B366" s="246"/>
      <c r="C366" s="241"/>
      <c r="D366" s="241"/>
      <c r="E366" s="241"/>
      <c r="R366" s="243"/>
      <c r="S366" s="246"/>
      <c r="T366" s="241"/>
      <c r="U366" s="241"/>
      <c r="V366" s="241"/>
    </row>
    <row r="367" spans="1:22" x14ac:dyDescent="0.35">
      <c r="A367" s="243"/>
      <c r="B367" s="246"/>
      <c r="C367" s="241"/>
      <c r="D367" s="241"/>
      <c r="E367" s="241"/>
      <c r="R367" s="243"/>
      <c r="S367" s="246"/>
      <c r="T367" s="241"/>
      <c r="U367" s="241"/>
      <c r="V367" s="241"/>
    </row>
    <row r="368" spans="1:22" x14ac:dyDescent="0.35">
      <c r="A368" s="243"/>
      <c r="B368" s="246"/>
      <c r="C368" s="241"/>
      <c r="D368" s="241"/>
      <c r="E368" s="241"/>
      <c r="R368" s="243"/>
      <c r="S368" s="246"/>
      <c r="T368" s="241"/>
      <c r="U368" s="241"/>
      <c r="V368" s="241"/>
    </row>
    <row r="369" spans="1:26" x14ac:dyDescent="0.35">
      <c r="A369" s="243"/>
      <c r="B369" s="246"/>
      <c r="C369" s="241"/>
      <c r="D369" s="241"/>
      <c r="E369" s="241"/>
      <c r="R369" s="243"/>
      <c r="S369" s="246"/>
      <c r="T369" s="241"/>
      <c r="U369" s="241"/>
      <c r="V369" s="241"/>
    </row>
    <row r="370" spans="1:26" x14ac:dyDescent="0.35">
      <c r="A370" s="243"/>
      <c r="B370" s="246"/>
      <c r="C370" s="241"/>
      <c r="D370" s="241"/>
      <c r="E370" s="241"/>
      <c r="R370" s="243"/>
      <c r="S370" s="246"/>
      <c r="T370" s="241"/>
      <c r="U370" s="241"/>
      <c r="V370" s="241"/>
    </row>
    <row r="371" spans="1:26" x14ac:dyDescent="0.35">
      <c r="A371" s="243"/>
      <c r="B371" s="246"/>
      <c r="C371" s="241"/>
      <c r="D371" s="241"/>
      <c r="E371" s="241"/>
      <c r="R371" s="243"/>
      <c r="S371" s="246"/>
      <c r="T371" s="241"/>
      <c r="U371" s="241"/>
      <c r="V371" s="241"/>
    </row>
    <row r="372" spans="1:26" x14ac:dyDescent="0.35">
      <c r="A372" s="243"/>
      <c r="B372" s="246"/>
      <c r="C372" s="241"/>
      <c r="D372" s="241"/>
      <c r="E372" s="241"/>
      <c r="R372" s="243"/>
      <c r="S372" s="246"/>
      <c r="T372" s="241"/>
      <c r="U372" s="241"/>
      <c r="V372" s="241"/>
    </row>
    <row r="373" spans="1:26" x14ac:dyDescent="0.35">
      <c r="A373" s="243"/>
      <c r="B373" s="246"/>
      <c r="C373" s="241"/>
      <c r="D373" s="241"/>
      <c r="E373" s="241"/>
      <c r="R373" s="243"/>
      <c r="S373" s="246"/>
      <c r="T373" s="241"/>
      <c r="U373" s="241"/>
      <c r="V373" s="241"/>
    </row>
    <row r="374" spans="1:26" x14ac:dyDescent="0.35">
      <c r="A374" s="243"/>
      <c r="B374" s="246"/>
      <c r="C374" s="241"/>
      <c r="D374" s="241"/>
      <c r="E374" s="241"/>
      <c r="R374" s="243"/>
      <c r="S374" s="246"/>
      <c r="T374" s="241"/>
      <c r="U374" s="241"/>
      <c r="V374" s="241"/>
    </row>
    <row r="375" spans="1:26" x14ac:dyDescent="0.35">
      <c r="A375" s="243"/>
      <c r="B375" s="246"/>
      <c r="C375" s="241"/>
      <c r="D375" s="241"/>
      <c r="E375" s="241"/>
      <c r="R375" s="243"/>
      <c r="S375" s="246"/>
      <c r="T375" s="241"/>
      <c r="U375" s="241"/>
      <c r="V375" s="241"/>
    </row>
    <row r="376" spans="1:26" x14ac:dyDescent="0.35">
      <c r="A376" s="243"/>
      <c r="B376" s="246"/>
      <c r="C376" s="241"/>
      <c r="D376" s="241"/>
      <c r="E376" s="241"/>
      <c r="R376" s="243"/>
      <c r="S376" s="246"/>
      <c r="T376" s="241"/>
      <c r="U376" s="241"/>
      <c r="V376" s="241"/>
    </row>
    <row r="377" spans="1:26" x14ac:dyDescent="0.35">
      <c r="A377" s="243"/>
      <c r="B377" s="246"/>
      <c r="C377" s="241"/>
      <c r="D377" s="241"/>
      <c r="E377" s="241"/>
      <c r="R377" s="243"/>
      <c r="S377" s="246"/>
      <c r="T377" s="241"/>
      <c r="U377" s="241"/>
      <c r="V377" s="241"/>
    </row>
    <row r="378" spans="1:26" x14ac:dyDescent="0.35">
      <c r="A378" s="243"/>
      <c r="B378" s="246"/>
      <c r="C378" s="241"/>
      <c r="D378" s="241"/>
      <c r="E378" s="241"/>
      <c r="R378" s="243"/>
      <c r="S378" s="246"/>
      <c r="T378" s="241"/>
      <c r="U378" s="241"/>
      <c r="V378" s="241"/>
    </row>
    <row r="379" spans="1:26" x14ac:dyDescent="0.35">
      <c r="I379" s="258"/>
      <c r="Z379" s="258"/>
    </row>
    <row r="380" spans="1:26" x14ac:dyDescent="0.35">
      <c r="I380" s="258"/>
      <c r="Z380" s="258"/>
    </row>
    <row r="381" spans="1:26" x14ac:dyDescent="0.35">
      <c r="I381" s="258"/>
      <c r="Z381" s="258"/>
    </row>
    <row r="382" spans="1:26" x14ac:dyDescent="0.35">
      <c r="I382" s="258"/>
      <c r="Z382" s="258"/>
    </row>
    <row r="383" spans="1:26" x14ac:dyDescent="0.35">
      <c r="I383" s="258"/>
      <c r="Z383" s="258"/>
    </row>
    <row r="384" spans="1:26" x14ac:dyDescent="0.35">
      <c r="I384" s="258"/>
      <c r="Z384" s="258"/>
    </row>
    <row r="385" spans="9:26" x14ac:dyDescent="0.35">
      <c r="I385" s="258"/>
      <c r="Z385" s="258"/>
    </row>
    <row r="386" spans="9:26" x14ac:dyDescent="0.35">
      <c r="I386" s="258"/>
      <c r="Z386" s="258"/>
    </row>
    <row r="387" spans="9:26" x14ac:dyDescent="0.35">
      <c r="I387" s="258"/>
      <c r="Z387" s="258"/>
    </row>
    <row r="388" spans="9:26" x14ac:dyDescent="0.35">
      <c r="I388" s="258"/>
      <c r="Z388" s="258"/>
    </row>
    <row r="389" spans="9:26" x14ac:dyDescent="0.35">
      <c r="I389" s="258"/>
      <c r="Z389" s="258"/>
    </row>
    <row r="390" spans="9:26" x14ac:dyDescent="0.35">
      <c r="I390" s="258"/>
      <c r="Z390" s="258"/>
    </row>
    <row r="391" spans="9:26" x14ac:dyDescent="0.35">
      <c r="I391" s="258"/>
      <c r="Z391" s="258"/>
    </row>
    <row r="392" spans="9:26" x14ac:dyDescent="0.35">
      <c r="I392" s="258"/>
      <c r="Z392" s="258"/>
    </row>
    <row r="393" spans="9:26" x14ac:dyDescent="0.35">
      <c r="I393" s="258"/>
      <c r="Z393" s="258"/>
    </row>
    <row r="394" spans="9:26" x14ac:dyDescent="0.35">
      <c r="I394" s="258"/>
      <c r="Z394" s="258"/>
    </row>
    <row r="395" spans="9:26" x14ac:dyDescent="0.35">
      <c r="I395" s="258"/>
      <c r="Z395" s="258"/>
    </row>
    <row r="396" spans="9:26" x14ac:dyDescent="0.35">
      <c r="I396" s="258"/>
      <c r="Z396" s="258"/>
    </row>
    <row r="397" spans="9:26" x14ac:dyDescent="0.35">
      <c r="I397" s="258"/>
      <c r="Z397" s="258"/>
    </row>
    <row r="398" spans="9:26" x14ac:dyDescent="0.35">
      <c r="I398" s="258"/>
      <c r="Z398" s="258"/>
    </row>
    <row r="399" spans="9:26" x14ac:dyDescent="0.35">
      <c r="I399" s="258"/>
      <c r="Z399" s="258"/>
    </row>
    <row r="400" spans="9:26" x14ac:dyDescent="0.35">
      <c r="I400" s="258"/>
      <c r="Z400" s="258"/>
    </row>
    <row r="401" spans="9:26" x14ac:dyDescent="0.35">
      <c r="I401" s="258"/>
      <c r="Z401" s="258"/>
    </row>
    <row r="402" spans="9:26" x14ac:dyDescent="0.35">
      <c r="I402" s="258"/>
      <c r="Z402" s="258"/>
    </row>
    <row r="403" spans="9:26" x14ac:dyDescent="0.35">
      <c r="I403" s="258"/>
      <c r="Z403" s="258"/>
    </row>
    <row r="404" spans="9:26" x14ac:dyDescent="0.35">
      <c r="I404" s="258"/>
      <c r="Z404" s="258"/>
    </row>
    <row r="405" spans="9:26" x14ac:dyDescent="0.35">
      <c r="I405" s="258"/>
      <c r="Z405" s="258"/>
    </row>
    <row r="406" spans="9:26" x14ac:dyDescent="0.35">
      <c r="I406" s="258"/>
      <c r="Z406" s="258"/>
    </row>
    <row r="407" spans="9:26" x14ac:dyDescent="0.35">
      <c r="I407" s="258"/>
      <c r="Z407" s="258"/>
    </row>
    <row r="408" spans="9:26" x14ac:dyDescent="0.35">
      <c r="I408" s="258"/>
      <c r="Z408" s="258"/>
    </row>
    <row r="409" spans="9:26" x14ac:dyDescent="0.35">
      <c r="I409" s="258"/>
      <c r="Z409" s="258"/>
    </row>
    <row r="410" spans="9:26" x14ac:dyDescent="0.35">
      <c r="I410" s="258"/>
      <c r="Z410" s="258"/>
    </row>
    <row r="411" spans="9:26" x14ac:dyDescent="0.35">
      <c r="I411" s="258"/>
      <c r="Z411" s="258"/>
    </row>
    <row r="412" spans="9:26" x14ac:dyDescent="0.35">
      <c r="I412" s="258"/>
      <c r="Z412" s="258"/>
    </row>
    <row r="413" spans="9:26" x14ac:dyDescent="0.35">
      <c r="I413" s="258"/>
      <c r="Z413" s="258"/>
    </row>
    <row r="414" spans="9:26" x14ac:dyDescent="0.35">
      <c r="I414" s="258"/>
      <c r="Z414" s="258"/>
    </row>
    <row r="415" spans="9:26" x14ac:dyDescent="0.35">
      <c r="I415" s="258"/>
      <c r="Z415" s="258"/>
    </row>
    <row r="416" spans="9:26" x14ac:dyDescent="0.35">
      <c r="I416" s="258"/>
      <c r="Z416" s="258"/>
    </row>
    <row r="417" spans="9:26" x14ac:dyDescent="0.35">
      <c r="I417" s="258"/>
      <c r="Z417" s="258"/>
    </row>
    <row r="418" spans="9:26" x14ac:dyDescent="0.35">
      <c r="I418" s="258"/>
      <c r="Z418" s="258"/>
    </row>
    <row r="419" spans="9:26" x14ac:dyDescent="0.35">
      <c r="I419" s="258"/>
      <c r="Z419" s="258"/>
    </row>
    <row r="420" spans="9:26" x14ac:dyDescent="0.35">
      <c r="I420" s="258"/>
      <c r="Z420" s="258"/>
    </row>
    <row r="421" spans="9:26" x14ac:dyDescent="0.35">
      <c r="I421" s="258"/>
      <c r="Z421" s="258"/>
    </row>
    <row r="422" spans="9:26" x14ac:dyDescent="0.35">
      <c r="I422" s="258"/>
      <c r="Z422" s="258"/>
    </row>
    <row r="423" spans="9:26" x14ac:dyDescent="0.35">
      <c r="I423" s="258"/>
      <c r="Z423" s="258"/>
    </row>
    <row r="424" spans="9:26" x14ac:dyDescent="0.35">
      <c r="I424" s="258"/>
      <c r="Z424" s="258"/>
    </row>
    <row r="425" spans="9:26" x14ac:dyDescent="0.35">
      <c r="I425" s="258"/>
      <c r="Z425" s="258"/>
    </row>
    <row r="426" spans="9:26" x14ac:dyDescent="0.35">
      <c r="I426" s="258"/>
      <c r="Z426" s="258"/>
    </row>
    <row r="427" spans="9:26" x14ac:dyDescent="0.35">
      <c r="I427" s="258"/>
      <c r="Z427" s="258"/>
    </row>
    <row r="428" spans="9:26" x14ac:dyDescent="0.35">
      <c r="I428" s="258"/>
      <c r="Z428" s="258"/>
    </row>
    <row r="429" spans="9:26" x14ac:dyDescent="0.35">
      <c r="I429" s="258"/>
      <c r="Z429" s="258"/>
    </row>
    <row r="430" spans="9:26" x14ac:dyDescent="0.35">
      <c r="I430" s="258"/>
      <c r="Z430" s="258"/>
    </row>
    <row r="431" spans="9:26" x14ac:dyDescent="0.35">
      <c r="I431" s="258"/>
      <c r="Z431" s="258"/>
    </row>
    <row r="432" spans="9:26" x14ac:dyDescent="0.35">
      <c r="I432" s="258"/>
      <c r="Z432" s="258"/>
    </row>
    <row r="433" spans="9:26" x14ac:dyDescent="0.35">
      <c r="I433" s="258"/>
      <c r="Z433" s="258"/>
    </row>
    <row r="434" spans="9:26" x14ac:dyDescent="0.35">
      <c r="I434" s="258"/>
      <c r="Z434" s="258"/>
    </row>
    <row r="435" spans="9:26" x14ac:dyDescent="0.35">
      <c r="I435" s="258"/>
      <c r="Z435" s="258"/>
    </row>
    <row r="436" spans="9:26" x14ac:dyDescent="0.35">
      <c r="I436" s="258"/>
      <c r="Z436" s="258"/>
    </row>
    <row r="437" spans="9:26" x14ac:dyDescent="0.35">
      <c r="I437" s="258"/>
      <c r="Z437" s="258"/>
    </row>
    <row r="438" spans="9:26" x14ac:dyDescent="0.35">
      <c r="I438" s="258"/>
      <c r="Z438" s="258"/>
    </row>
    <row r="439" spans="9:26" x14ac:dyDescent="0.35">
      <c r="I439" s="258"/>
      <c r="Z439" s="258"/>
    </row>
    <row r="440" spans="9:26" x14ac:dyDescent="0.35">
      <c r="I440" s="258"/>
      <c r="Z440" s="258"/>
    </row>
    <row r="441" spans="9:26" x14ac:dyDescent="0.35">
      <c r="I441" s="258"/>
      <c r="Z441" s="258"/>
    </row>
    <row r="442" spans="9:26" x14ac:dyDescent="0.35">
      <c r="I442" s="258"/>
      <c r="Z442" s="258"/>
    </row>
    <row r="443" spans="9:26" x14ac:dyDescent="0.35">
      <c r="I443" s="258"/>
      <c r="Z443" s="258"/>
    </row>
    <row r="444" spans="9:26" x14ac:dyDescent="0.35">
      <c r="I444" s="258"/>
      <c r="Z444" s="258"/>
    </row>
    <row r="445" spans="9:26" x14ac:dyDescent="0.35">
      <c r="I445" s="258"/>
      <c r="Z445" s="258"/>
    </row>
    <row r="446" spans="9:26" x14ac:dyDescent="0.35">
      <c r="I446" s="258"/>
      <c r="Z446" s="258"/>
    </row>
    <row r="447" spans="9:26" x14ac:dyDescent="0.35">
      <c r="I447" s="258"/>
      <c r="Z447" s="258"/>
    </row>
    <row r="448" spans="9:26" x14ac:dyDescent="0.35">
      <c r="I448" s="258"/>
      <c r="Z448" s="258"/>
    </row>
    <row r="449" spans="9:26" x14ac:dyDescent="0.35">
      <c r="I449" s="258"/>
      <c r="Z449" s="258"/>
    </row>
    <row r="450" spans="9:26" x14ac:dyDescent="0.35">
      <c r="I450" s="258"/>
      <c r="Z450" s="258"/>
    </row>
    <row r="451" spans="9:26" x14ac:dyDescent="0.35">
      <c r="I451" s="258"/>
      <c r="Z451" s="258"/>
    </row>
    <row r="452" spans="9:26" x14ac:dyDescent="0.35">
      <c r="I452" s="258"/>
      <c r="Z452" s="258"/>
    </row>
    <row r="453" spans="9:26" x14ac:dyDescent="0.35">
      <c r="I453" s="258"/>
      <c r="Z453" s="258"/>
    </row>
    <row r="454" spans="9:26" x14ac:dyDescent="0.35">
      <c r="I454" s="258"/>
      <c r="Z454" s="258"/>
    </row>
    <row r="455" spans="9:26" x14ac:dyDescent="0.35">
      <c r="I455" s="258"/>
      <c r="Z455" s="258"/>
    </row>
    <row r="456" spans="9:26" x14ac:dyDescent="0.35">
      <c r="I456" s="258"/>
      <c r="Z456" s="258"/>
    </row>
    <row r="457" spans="9:26" x14ac:dyDescent="0.35">
      <c r="I457" s="258"/>
      <c r="Z457" s="258"/>
    </row>
    <row r="458" spans="9:26" x14ac:dyDescent="0.35">
      <c r="I458" s="258"/>
      <c r="Z458" s="258"/>
    </row>
    <row r="459" spans="9:26" x14ac:dyDescent="0.35">
      <c r="I459" s="258"/>
      <c r="Z459" s="258"/>
    </row>
    <row r="460" spans="9:26" x14ac:dyDescent="0.35">
      <c r="I460" s="258"/>
      <c r="Z460" s="258"/>
    </row>
    <row r="461" spans="9:26" x14ac:dyDescent="0.35">
      <c r="I461" s="258"/>
      <c r="Z461" s="258"/>
    </row>
    <row r="462" spans="9:26" x14ac:dyDescent="0.35">
      <c r="I462" s="258"/>
      <c r="Z462" s="258"/>
    </row>
    <row r="463" spans="9:26" x14ac:dyDescent="0.35">
      <c r="I463" s="258"/>
      <c r="Z463" s="258"/>
    </row>
    <row r="464" spans="9:26" x14ac:dyDescent="0.35">
      <c r="I464" s="258"/>
      <c r="Z464" s="258"/>
    </row>
    <row r="465" spans="9:26" x14ac:dyDescent="0.35">
      <c r="I465" s="258"/>
      <c r="Z465" s="258"/>
    </row>
    <row r="466" spans="9:26" x14ac:dyDescent="0.35">
      <c r="I466" s="258"/>
      <c r="Z466" s="258"/>
    </row>
    <row r="467" spans="9:26" x14ac:dyDescent="0.35">
      <c r="I467" s="258"/>
      <c r="Z467" s="258"/>
    </row>
    <row r="468" spans="9:26" x14ac:dyDescent="0.35">
      <c r="I468" s="258"/>
      <c r="Z468" s="258"/>
    </row>
    <row r="469" spans="9:26" x14ac:dyDescent="0.35">
      <c r="I469" s="258"/>
      <c r="Z469" s="258"/>
    </row>
    <row r="470" spans="9:26" x14ac:dyDescent="0.35">
      <c r="I470" s="258"/>
      <c r="Z470" s="258"/>
    </row>
    <row r="471" spans="9:26" x14ac:dyDescent="0.35">
      <c r="I471" s="258"/>
      <c r="Z471" s="258"/>
    </row>
    <row r="472" spans="9:26" x14ac:dyDescent="0.35">
      <c r="I472" s="258"/>
      <c r="Z472" s="258"/>
    </row>
    <row r="473" spans="9:26" x14ac:dyDescent="0.35">
      <c r="I473" s="258"/>
      <c r="Z473" s="258"/>
    </row>
    <row r="474" spans="9:26" x14ac:dyDescent="0.35">
      <c r="I474" s="258"/>
      <c r="Z474" s="258"/>
    </row>
    <row r="475" spans="9:26" x14ac:dyDescent="0.35">
      <c r="I475" s="258"/>
      <c r="Z475" s="258"/>
    </row>
    <row r="476" spans="9:26" x14ac:dyDescent="0.35">
      <c r="I476" s="258"/>
      <c r="Z476" s="258"/>
    </row>
    <row r="477" spans="9:26" x14ac:dyDescent="0.35">
      <c r="I477" s="258"/>
      <c r="Z477" s="258"/>
    </row>
    <row r="478" spans="9:26" x14ac:dyDescent="0.35">
      <c r="I478" s="258"/>
      <c r="Z478" s="258"/>
    </row>
    <row r="479" spans="9:26" x14ac:dyDescent="0.35">
      <c r="I479" s="258"/>
      <c r="Z479" s="258"/>
    </row>
    <row r="480" spans="9:26" x14ac:dyDescent="0.35">
      <c r="I480" s="258"/>
      <c r="Z480" s="258"/>
    </row>
    <row r="481" spans="9:26" x14ac:dyDescent="0.35">
      <c r="I481" s="258"/>
      <c r="Z481" s="258"/>
    </row>
    <row r="482" spans="9:26" x14ac:dyDescent="0.35">
      <c r="I482" s="258"/>
      <c r="Z482" s="258"/>
    </row>
    <row r="483" spans="9:26" x14ac:dyDescent="0.35">
      <c r="I483" s="258"/>
      <c r="Z483" s="258"/>
    </row>
    <row r="484" spans="9:26" x14ac:dyDescent="0.35">
      <c r="I484" s="258"/>
      <c r="Z484" s="258"/>
    </row>
    <row r="485" spans="9:26" x14ac:dyDescent="0.35">
      <c r="I485" s="258"/>
      <c r="Z485" s="258"/>
    </row>
    <row r="486" spans="9:26" x14ac:dyDescent="0.35">
      <c r="I486" s="258"/>
      <c r="Z486" s="258"/>
    </row>
    <row r="487" spans="9:26" x14ac:dyDescent="0.35">
      <c r="I487" s="258"/>
      <c r="Z487" s="258"/>
    </row>
    <row r="488" spans="9:26" x14ac:dyDescent="0.35">
      <c r="I488" s="258"/>
      <c r="Z488" s="258"/>
    </row>
    <row r="489" spans="9:26" x14ac:dyDescent="0.35">
      <c r="I489" s="258"/>
      <c r="Z489" s="258"/>
    </row>
    <row r="490" spans="9:26" x14ac:dyDescent="0.35">
      <c r="I490" s="258"/>
      <c r="Z490" s="258"/>
    </row>
    <row r="491" spans="9:26" x14ac:dyDescent="0.35">
      <c r="I491" s="258"/>
      <c r="Z491" s="258"/>
    </row>
    <row r="492" spans="9:26" x14ac:dyDescent="0.35">
      <c r="I492" s="258"/>
      <c r="Z492" s="258"/>
    </row>
    <row r="493" spans="9:26" x14ac:dyDescent="0.35">
      <c r="I493" s="258"/>
      <c r="Z493" s="258"/>
    </row>
    <row r="494" spans="9:26" x14ac:dyDescent="0.35">
      <c r="I494" s="258"/>
      <c r="Z494" s="258"/>
    </row>
    <row r="495" spans="9:26" x14ac:dyDescent="0.35">
      <c r="I495" s="258"/>
      <c r="Z495" s="258"/>
    </row>
    <row r="496" spans="9:26" x14ac:dyDescent="0.35">
      <c r="I496" s="258"/>
      <c r="Z496" s="258"/>
    </row>
    <row r="497" spans="9:26" x14ac:dyDescent="0.35">
      <c r="I497" s="258"/>
      <c r="Z497" s="258"/>
    </row>
    <row r="498" spans="9:26" x14ac:dyDescent="0.35">
      <c r="I498" s="258"/>
      <c r="Z498" s="258"/>
    </row>
    <row r="499" spans="9:26" x14ac:dyDescent="0.35">
      <c r="I499" s="258"/>
      <c r="Z499" s="258"/>
    </row>
    <row r="500" spans="9:26" x14ac:dyDescent="0.35">
      <c r="I500" s="258"/>
      <c r="Z500" s="258"/>
    </row>
    <row r="501" spans="9:26" x14ac:dyDescent="0.35">
      <c r="I501" s="258"/>
      <c r="Z501" s="258"/>
    </row>
    <row r="502" spans="9:26" x14ac:dyDescent="0.35">
      <c r="I502" s="258"/>
      <c r="Z502" s="258"/>
    </row>
    <row r="503" spans="9:26" x14ac:dyDescent="0.35">
      <c r="I503" s="258"/>
      <c r="Z503" s="258"/>
    </row>
    <row r="504" spans="9:26" x14ac:dyDescent="0.35">
      <c r="I504" s="258"/>
      <c r="Z504" s="258"/>
    </row>
    <row r="505" spans="9:26" x14ac:dyDescent="0.35">
      <c r="I505" s="258"/>
      <c r="Z505" s="258"/>
    </row>
    <row r="506" spans="9:26" x14ac:dyDescent="0.35">
      <c r="I506" s="258"/>
      <c r="Z506" s="258"/>
    </row>
    <row r="507" spans="9:26" x14ac:dyDescent="0.35">
      <c r="I507" s="258"/>
      <c r="Z507" s="258"/>
    </row>
    <row r="508" spans="9:26" x14ac:dyDescent="0.35">
      <c r="I508" s="258"/>
      <c r="Z508" s="258"/>
    </row>
    <row r="509" spans="9:26" x14ac:dyDescent="0.35">
      <c r="I509" s="258"/>
      <c r="Z509" s="258"/>
    </row>
    <row r="510" spans="9:26" x14ac:dyDescent="0.35">
      <c r="I510" s="258"/>
      <c r="Z510" s="258"/>
    </row>
    <row r="511" spans="9:26" x14ac:dyDescent="0.35">
      <c r="I511" s="258"/>
      <c r="Z511" s="258"/>
    </row>
    <row r="512" spans="9:26" x14ac:dyDescent="0.35">
      <c r="I512" s="258"/>
      <c r="Z512" s="258"/>
    </row>
    <row r="513" spans="9:26" x14ac:dyDescent="0.35">
      <c r="I513" s="258"/>
      <c r="Z513" s="258"/>
    </row>
    <row r="514" spans="9:26" x14ac:dyDescent="0.35">
      <c r="I514" s="258"/>
      <c r="Z514" s="258"/>
    </row>
    <row r="515" spans="9:26" x14ac:dyDescent="0.35">
      <c r="I515" s="258"/>
      <c r="Z515" s="258"/>
    </row>
    <row r="516" spans="9:26" x14ac:dyDescent="0.35">
      <c r="I516" s="258"/>
      <c r="Z516" s="258"/>
    </row>
    <row r="517" spans="9:26" x14ac:dyDescent="0.35">
      <c r="I517" s="258"/>
      <c r="Z517" s="258"/>
    </row>
    <row r="518" spans="9:26" x14ac:dyDescent="0.35">
      <c r="I518" s="258"/>
      <c r="Z518" s="258"/>
    </row>
    <row r="519" spans="9:26" x14ac:dyDescent="0.35">
      <c r="I519" s="258"/>
      <c r="Z519" s="258"/>
    </row>
    <row r="520" spans="9:26" x14ac:dyDescent="0.35">
      <c r="I520" s="258"/>
      <c r="Z520" s="258"/>
    </row>
    <row r="521" spans="9:26" x14ac:dyDescent="0.35">
      <c r="I521" s="258"/>
      <c r="Z521" s="258"/>
    </row>
    <row r="522" spans="9:26" x14ac:dyDescent="0.35">
      <c r="I522" s="258"/>
      <c r="Z522" s="258"/>
    </row>
    <row r="523" spans="9:26" x14ac:dyDescent="0.35">
      <c r="I523" s="258"/>
      <c r="Z523" s="258"/>
    </row>
    <row r="524" spans="9:26" x14ac:dyDescent="0.35">
      <c r="I524" s="258"/>
      <c r="Z524" s="258"/>
    </row>
    <row r="525" spans="9:26" x14ac:dyDescent="0.35">
      <c r="I525" s="258"/>
      <c r="Z525" s="258"/>
    </row>
    <row r="526" spans="9:26" x14ac:dyDescent="0.35">
      <c r="I526" s="258"/>
      <c r="Z526" s="258"/>
    </row>
    <row r="527" spans="9:26" x14ac:dyDescent="0.35">
      <c r="I527" s="258"/>
      <c r="Z527" s="258"/>
    </row>
    <row r="528" spans="9:26" x14ac:dyDescent="0.35">
      <c r="I528" s="258"/>
      <c r="Z528" s="258"/>
    </row>
    <row r="529" spans="9:26" x14ac:dyDescent="0.35">
      <c r="I529" s="258"/>
      <c r="Z529" s="258"/>
    </row>
    <row r="530" spans="9:26" x14ac:dyDescent="0.35">
      <c r="I530" s="258"/>
      <c r="Z530" s="258"/>
    </row>
    <row r="531" spans="9:26" x14ac:dyDescent="0.35">
      <c r="I531" s="258"/>
      <c r="Z531" s="258"/>
    </row>
    <row r="532" spans="9:26" x14ac:dyDescent="0.35">
      <c r="I532" s="258"/>
      <c r="Z532" s="258"/>
    </row>
    <row r="533" spans="9:26" x14ac:dyDescent="0.35">
      <c r="I533" s="258"/>
      <c r="Z533" s="258"/>
    </row>
    <row r="534" spans="9:26" x14ac:dyDescent="0.35">
      <c r="I534" s="258"/>
      <c r="Z534" s="258"/>
    </row>
    <row r="535" spans="9:26" x14ac:dyDescent="0.35">
      <c r="I535" s="258"/>
      <c r="Z535" s="258"/>
    </row>
    <row r="536" spans="9:26" x14ac:dyDescent="0.35">
      <c r="I536" s="258"/>
      <c r="Z536" s="258"/>
    </row>
    <row r="537" spans="9:26" x14ac:dyDescent="0.35">
      <c r="I537" s="258"/>
      <c r="Z537" s="258"/>
    </row>
    <row r="538" spans="9:26" x14ac:dyDescent="0.35">
      <c r="I538" s="258"/>
      <c r="Z538" s="258"/>
    </row>
    <row r="539" spans="9:26" x14ac:dyDescent="0.35">
      <c r="I539" s="258"/>
      <c r="Z539" s="258"/>
    </row>
    <row r="540" spans="9:26" x14ac:dyDescent="0.35">
      <c r="I540" s="258"/>
      <c r="Z540" s="258"/>
    </row>
    <row r="541" spans="9:26" x14ac:dyDescent="0.35">
      <c r="I541" s="258"/>
      <c r="Z541" s="258"/>
    </row>
    <row r="542" spans="9:26" x14ac:dyDescent="0.35">
      <c r="I542" s="258"/>
      <c r="Z542" s="258"/>
    </row>
    <row r="543" spans="9:26" x14ac:dyDescent="0.35">
      <c r="I543" s="258"/>
      <c r="Z543" s="258"/>
    </row>
    <row r="544" spans="9:26" x14ac:dyDescent="0.35">
      <c r="I544" s="258"/>
      <c r="Z544" s="258"/>
    </row>
    <row r="545" spans="9:26" x14ac:dyDescent="0.35">
      <c r="I545" s="258"/>
      <c r="Z545" s="258"/>
    </row>
    <row r="546" spans="9:26" x14ac:dyDescent="0.35">
      <c r="I546" s="258"/>
      <c r="Z546" s="258"/>
    </row>
    <row r="547" spans="9:26" x14ac:dyDescent="0.35">
      <c r="I547" s="258"/>
      <c r="Z547" s="258"/>
    </row>
    <row r="548" spans="9:26" x14ac:dyDescent="0.35">
      <c r="I548" s="258"/>
      <c r="Z548" s="258"/>
    </row>
    <row r="549" spans="9:26" x14ac:dyDescent="0.35">
      <c r="I549" s="258"/>
      <c r="Z549" s="258"/>
    </row>
    <row r="550" spans="9:26" x14ac:dyDescent="0.35">
      <c r="I550" s="258"/>
      <c r="Z550" s="258"/>
    </row>
    <row r="551" spans="9:26" x14ac:dyDescent="0.35">
      <c r="I551" s="258"/>
      <c r="Z551" s="258"/>
    </row>
    <row r="552" spans="9:26" x14ac:dyDescent="0.35">
      <c r="I552" s="258"/>
      <c r="Z552" s="258"/>
    </row>
    <row r="553" spans="9:26" x14ac:dyDescent="0.35">
      <c r="I553" s="258"/>
      <c r="Z553" s="258"/>
    </row>
    <row r="554" spans="9:26" x14ac:dyDescent="0.35">
      <c r="I554" s="258"/>
      <c r="Z554" s="258"/>
    </row>
    <row r="555" spans="9:26" x14ac:dyDescent="0.35">
      <c r="I555" s="258"/>
      <c r="Z555" s="258"/>
    </row>
    <row r="556" spans="9:26" x14ac:dyDescent="0.35">
      <c r="I556" s="258"/>
      <c r="Z556" s="258"/>
    </row>
    <row r="557" spans="9:26" x14ac:dyDescent="0.35">
      <c r="I557" s="258"/>
      <c r="Z557" s="258"/>
    </row>
    <row r="558" spans="9:26" x14ac:dyDescent="0.35">
      <c r="I558" s="258"/>
      <c r="Z558" s="258"/>
    </row>
    <row r="559" spans="9:26" x14ac:dyDescent="0.35">
      <c r="I559" s="258"/>
      <c r="Z559" s="258"/>
    </row>
    <row r="560" spans="9:26" x14ac:dyDescent="0.35">
      <c r="I560" s="258"/>
      <c r="Z560" s="258"/>
    </row>
    <row r="561" spans="9:26" x14ac:dyDescent="0.35">
      <c r="I561" s="258"/>
      <c r="Z561" s="258"/>
    </row>
    <row r="562" spans="9:26" x14ac:dyDescent="0.35">
      <c r="I562" s="258"/>
      <c r="Z562" s="258"/>
    </row>
    <row r="563" spans="9:26" x14ac:dyDescent="0.35">
      <c r="I563" s="258"/>
      <c r="Z563" s="258"/>
    </row>
    <row r="564" spans="9:26" x14ac:dyDescent="0.35">
      <c r="I564" s="258"/>
      <c r="Z564" s="258"/>
    </row>
    <row r="565" spans="9:26" x14ac:dyDescent="0.35">
      <c r="I565" s="258"/>
      <c r="Z565" s="258"/>
    </row>
    <row r="566" spans="9:26" x14ac:dyDescent="0.35">
      <c r="I566" s="258"/>
      <c r="Z566" s="258"/>
    </row>
    <row r="567" spans="9:26" x14ac:dyDescent="0.35">
      <c r="I567" s="258"/>
      <c r="Z567" s="258"/>
    </row>
    <row r="568" spans="9:26" x14ac:dyDescent="0.35">
      <c r="I568" s="258"/>
      <c r="Z568" s="258"/>
    </row>
    <row r="569" spans="9:26" x14ac:dyDescent="0.35">
      <c r="I569" s="258"/>
      <c r="Z569" s="258"/>
    </row>
    <row r="570" spans="9:26" x14ac:dyDescent="0.35">
      <c r="I570" s="258"/>
      <c r="Z570" s="258"/>
    </row>
    <row r="571" spans="9:26" x14ac:dyDescent="0.35">
      <c r="I571" s="258"/>
      <c r="Z571" s="258"/>
    </row>
    <row r="572" spans="9:26" x14ac:dyDescent="0.35">
      <c r="I572" s="258"/>
      <c r="Z572" s="258"/>
    </row>
    <row r="573" spans="9:26" x14ac:dyDescent="0.35">
      <c r="I573" s="258"/>
      <c r="Z573" s="258"/>
    </row>
    <row r="574" spans="9:26" x14ac:dyDescent="0.35">
      <c r="I574" s="258"/>
      <c r="Z574" s="258"/>
    </row>
    <row r="575" spans="9:26" x14ac:dyDescent="0.35">
      <c r="I575" s="258"/>
      <c r="Z575" s="258"/>
    </row>
    <row r="576" spans="9:26" x14ac:dyDescent="0.35">
      <c r="I576" s="258"/>
      <c r="Z576" s="258"/>
    </row>
    <row r="577" spans="9:26" x14ac:dyDescent="0.35">
      <c r="I577" s="258"/>
      <c r="Z577" s="258"/>
    </row>
    <row r="578" spans="9:26" x14ac:dyDescent="0.35">
      <c r="I578" s="258"/>
      <c r="Z578" s="258"/>
    </row>
  </sheetData>
  <mergeCells count="2">
    <mergeCell ref="R1:AG1"/>
    <mergeCell ref="A1:P1"/>
  </mergeCells>
  <conditionalFormatting sqref="A13:A14">
    <cfRule type="cellIs" dxfId="1" priority="2" stopIfTrue="1" operator="notEqual">
      <formula>0</formula>
    </cfRule>
  </conditionalFormatting>
  <conditionalFormatting sqref="R13:R14">
    <cfRule type="cellIs" dxfId="0" priority="1" stopIfTrue="1" operator="notEqual">
      <formula>0</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13</vt:i4>
      </vt:variant>
    </vt:vector>
  </HeadingPairs>
  <TitlesOfParts>
    <vt:vector size="21" baseType="lpstr">
      <vt:lpstr>Disclaimer</vt:lpstr>
      <vt:lpstr>UW Process</vt:lpstr>
      <vt:lpstr>UW Model</vt:lpstr>
      <vt:lpstr>IRR Sensitivity</vt:lpstr>
      <vt:lpstr>Administrative --&gt;</vt:lpstr>
      <vt:lpstr>GPR Logic</vt:lpstr>
      <vt:lpstr>Version</vt:lpstr>
      <vt:lpstr>Loans</vt:lpstr>
      <vt:lpstr>Nav_DealAssumptions</vt:lpstr>
      <vt:lpstr>Nav_Expenses</vt:lpstr>
      <vt:lpstr>Nav_GrowthRates</vt:lpstr>
      <vt:lpstr>Nav_Income</vt:lpstr>
      <vt:lpstr>Nav_QuikUw</vt:lpstr>
      <vt:lpstr>Nav_UnitMix</vt:lpstr>
      <vt:lpstr>UW_Baths</vt:lpstr>
      <vt:lpstr>UW_Beds</vt:lpstr>
      <vt:lpstr>UW_InPlaceRent</vt:lpstr>
      <vt:lpstr>UW_MarketRent</vt:lpstr>
      <vt:lpstr>UW_SF</vt:lpstr>
      <vt:lpstr>UW_UnitNames</vt:lpstr>
      <vt:lpstr>UW_Units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Craig Drummond</dc:creator>
  <cp:lastModifiedBy>Craig Drummond</cp:lastModifiedBy>
  <cp:lastPrinted>2022-10-23T14:55:09Z</cp:lastPrinted>
  <dcterms:created xsi:type="dcterms:W3CDTF">2022-09-21T22:36:10Z</dcterms:created>
  <dcterms:modified xsi:type="dcterms:W3CDTF">2023-05-25T16:38:19Z</dcterms:modified>
</cp:coreProperties>
</file>