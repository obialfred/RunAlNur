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ropbox\Documents\Syndication Superstars LLC\Mentoring - Courses - Products\Mentoring\Mentoring Documents\Mentoring Documents - Client Ready\Syndication\"/>
    </mc:Choice>
  </mc:AlternateContent>
  <xr:revisionPtr revIDLastSave="0" documentId="13_ncr:1_{EF12379D-F330-471A-AB65-F9262E7056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turns" sheetId="1" r:id="rId1"/>
  </sheets>
  <externalReferences>
    <externalReference r:id="rId2"/>
    <externalReference r:id="rId3"/>
  </externalReferences>
  <definedNames>
    <definedName name="cum_interest">OFFSET('[1]1st Mortgage 1'!$E$16,2,0,'[1]1st Mortgage 1'!$D$5,1)</definedName>
    <definedName name="cum_principal">OFFSET('[1]1st Mortgage 1'!$G$16,2,0,'[1]1st Mortgage 1'!$D$5,1)</definedName>
    <definedName name="cumulative_interest">OFFSET(#REF!,2,0,#REF!,1)</definedName>
    <definedName name="fff">OFFSET('[2]Amortization-Loan 1'!$E$13,2,0,'[2]Amortization-Loan 1'!$D$6,1)</definedName>
    <definedName name="period_number">OFFSET('[1]1st Mortgage 1'!$B$16,2,0,'[1]1st Mortgage 1'!$D$5,1)</definedName>
    <definedName name="_xlnm.Print_Area" localSheetId="0">Returns!$A$1:$P$42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L35" i="1"/>
  <c r="J35" i="1"/>
  <c r="H8" i="1"/>
  <c r="H9" i="1"/>
  <c r="L39" i="1" l="1"/>
  <c r="L40" i="1"/>
  <c r="H6" i="1"/>
  <c r="H12" i="1"/>
  <c r="H24" i="1"/>
  <c r="H30" i="1"/>
  <c r="H13" i="1"/>
  <c r="M22" i="1"/>
  <c r="H25" i="1"/>
  <c r="H31" i="1"/>
  <c r="H14" i="1"/>
  <c r="H26" i="1"/>
  <c r="H32" i="1"/>
  <c r="H15" i="1"/>
  <c r="H27" i="1"/>
  <c r="H33" i="1"/>
  <c r="E15" i="1"/>
  <c r="E27" i="1" s="1"/>
  <c r="E33" i="1" s="1"/>
  <c r="E40" i="1" s="1"/>
  <c r="E14" i="1"/>
  <c r="E26" i="1" s="1"/>
  <c r="E32" i="1" s="1"/>
  <c r="E39" i="1" s="1"/>
  <c r="E13" i="1"/>
  <c r="E19" i="1" s="1"/>
  <c r="E12" i="1"/>
  <c r="E24" i="1" s="1"/>
  <c r="E30" i="1" s="1"/>
  <c r="E37" i="1" s="1"/>
  <c r="F35" i="1"/>
  <c r="G34" i="1"/>
  <c r="G28" i="1"/>
  <c r="G16" i="1"/>
  <c r="G10" i="1"/>
  <c r="D39" i="1"/>
  <c r="M41" i="1" s="1"/>
  <c r="L41" i="1" l="1"/>
  <c r="J41" i="1"/>
  <c r="G18" i="1"/>
  <c r="G19" i="1"/>
  <c r="H19" i="1" s="1"/>
  <c r="E25" i="1"/>
  <c r="E31" i="1" s="1"/>
  <c r="E38" i="1" s="1"/>
  <c r="E20" i="1"/>
  <c r="E21" i="1"/>
  <c r="G21" i="1"/>
  <c r="H21" i="1" s="1"/>
  <c r="H40" i="1" s="1"/>
  <c r="G20" i="1"/>
  <c r="H20" i="1" s="1"/>
  <c r="H39" i="1" s="1"/>
  <c r="M39" i="1" s="1"/>
  <c r="E18" i="1"/>
  <c r="M40" i="1" l="1"/>
  <c r="H38" i="1"/>
  <c r="M38" i="1" s="1"/>
  <c r="H18" i="1"/>
  <c r="H37" i="1" s="1"/>
  <c r="G22" i="1"/>
  <c r="H35" i="1" l="1"/>
  <c r="M37" i="1"/>
  <c r="H41" i="1"/>
</calcChain>
</file>

<file path=xl/sharedStrings.xml><?xml version="1.0" encoding="utf-8"?>
<sst xmlns="http://schemas.openxmlformats.org/spreadsheetml/2006/main" count="39" uniqueCount="35">
  <si>
    <t>GP %</t>
  </si>
  <si>
    <t>Split</t>
  </si>
  <si>
    <t>% of GP</t>
  </si>
  <si>
    <t>Sourcing, Contract, Due Diligence and Closing</t>
  </si>
  <si>
    <t>Support</t>
  </si>
  <si>
    <t>SUB-TOTAL</t>
  </si>
  <si>
    <t>Risk Capital (EMD &amp; DD Expenses)</t>
  </si>
  <si>
    <t>Asset Management</t>
  </si>
  <si>
    <t>Lead Asset Manager</t>
  </si>
  <si>
    <t>Overall</t>
  </si>
  <si>
    <t>Due Diligence Lead, Oversight, Secure Financing</t>
  </si>
  <si>
    <t>Equity Split</t>
  </si>
  <si>
    <t>Investors</t>
  </si>
  <si>
    <t>GP</t>
  </si>
  <si>
    <t>Responsibilities</t>
  </si>
  <si>
    <t xml:space="preserve">Equity Capital </t>
  </si>
  <si>
    <t>GP Split Worksheet</t>
  </si>
  <si>
    <t>Partner 1</t>
  </si>
  <si>
    <t>Partner 2</t>
  </si>
  <si>
    <t>Partner 3</t>
  </si>
  <si>
    <t>Partner 4</t>
  </si>
  <si>
    <t>% of Acq Fee</t>
  </si>
  <si>
    <t>% of Asset Mgmt</t>
  </si>
  <si>
    <t>$2MM</t>
  </si>
  <si>
    <t>% of Asset</t>
  </si>
  <si>
    <t>% of Equity</t>
  </si>
  <si>
    <t>Pre-Close Work</t>
  </si>
  <si>
    <t>Pre-Close Money</t>
  </si>
  <si>
    <t>Equity Raise</t>
  </si>
  <si>
    <t>Just raising the equity to close/CAPEX</t>
  </si>
  <si>
    <t>Net worth, liquidity, guarantors</t>
  </si>
  <si>
    <t>Guarantor</t>
  </si>
  <si>
    <t>Manage PM, Site Visit, Investor Relations</t>
  </si>
  <si>
    <t>$3MM</t>
  </si>
  <si>
    <t>Need total of $5MM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</si>
</sst>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;[Red]\-&quot;$&quot;#,##0"/>
    <numFmt numFmtId="165" formatCode="0.0%"/>
  </numFmts>
  <fonts count="16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12"/>
      <name val="Arial"/>
      <family val="2"/>
    </font>
    <font>
      <b/>
      <i/>
      <sz val="9"/>
      <color indexed="8"/>
      <name val="Arial"/>
      <family val="2"/>
    </font>
    <font>
      <b/>
      <i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18"/>
      <name val="Arial Black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u/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5" borderId="0" applyNumberFormat="0" applyBorder="0" applyAlignment="0" applyProtection="0"/>
  </cellStyleXfs>
  <cellXfs count="4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5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/>
    <xf numFmtId="164" fontId="6" fillId="2" borderId="0" xfId="0" applyNumberFormat="1" applyFont="1" applyFill="1" applyAlignment="1">
      <alignment horizontal="right" vertical="top" wrapText="1"/>
    </xf>
    <xf numFmtId="165" fontId="2" fillId="2" borderId="0" xfId="0" applyNumberFormat="1" applyFont="1" applyFill="1" applyAlignment="1">
      <alignment horizontal="center" vertical="top" wrapText="1"/>
    </xf>
    <xf numFmtId="0" fontId="0" fillId="2" borderId="0" xfId="0" applyFill="1"/>
    <xf numFmtId="164" fontId="3" fillId="2" borderId="0" xfId="0" applyNumberFormat="1" applyFont="1" applyFill="1" applyAlignment="1">
      <alignment horizontal="right" vertical="top" wrapText="1"/>
    </xf>
    <xf numFmtId="9" fontId="3" fillId="2" borderId="0" xfId="0" applyNumberFormat="1" applyFont="1" applyFill="1" applyAlignment="1">
      <alignment horizontal="center" vertical="top" wrapText="1"/>
    </xf>
    <xf numFmtId="0" fontId="2" fillId="3" borderId="0" xfId="0" applyFont="1" applyFill="1"/>
    <xf numFmtId="164" fontId="2" fillId="2" borderId="0" xfId="0" applyNumberFormat="1" applyFont="1" applyFill="1" applyAlignment="1">
      <alignment horizontal="right" vertical="top" wrapText="1"/>
    </xf>
    <xf numFmtId="6" fontId="6" fillId="2" borderId="0" xfId="0" applyNumberFormat="1" applyFont="1" applyFill="1" applyAlignment="1">
      <alignment vertical="top"/>
    </xf>
    <xf numFmtId="6" fontId="3" fillId="2" borderId="0" xfId="0" applyNumberFormat="1" applyFont="1" applyFill="1" applyAlignment="1">
      <alignment vertical="top"/>
    </xf>
    <xf numFmtId="0" fontId="7" fillId="4" borderId="0" xfId="0" applyFont="1" applyFill="1" applyAlignment="1">
      <alignment horizontal="right" vertical="top" wrapText="1"/>
    </xf>
    <xf numFmtId="9" fontId="9" fillId="4" borderId="0" xfId="0" applyNumberFormat="1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10" fillId="4" borderId="0" xfId="0" applyFont="1" applyFill="1"/>
    <xf numFmtId="164" fontId="4" fillId="4" borderId="0" xfId="0" applyNumberFormat="1" applyFont="1" applyFill="1" applyAlignment="1">
      <alignment horizontal="right" vertical="top" wrapText="1"/>
    </xf>
    <xf numFmtId="165" fontId="4" fillId="4" borderId="0" xfId="0" applyNumberFormat="1" applyFont="1" applyFill="1" applyAlignment="1">
      <alignment horizontal="right" vertical="top" wrapText="1"/>
    </xf>
    <xf numFmtId="9" fontId="3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2" borderId="0" xfId="0" applyFont="1" applyFill="1" applyAlignment="1">
      <alignment vertical="top" wrapText="1"/>
    </xf>
    <xf numFmtId="9" fontId="4" fillId="4" borderId="0" xfId="0" applyNumberFormat="1" applyFont="1" applyFill="1" applyAlignment="1">
      <alignment horizontal="center" vertical="top" wrapText="1"/>
    </xf>
    <xf numFmtId="165" fontId="4" fillId="4" borderId="0" xfId="0" applyNumberFormat="1" applyFont="1" applyFill="1" applyAlignment="1">
      <alignment horizontal="center" vertical="top" wrapText="1"/>
    </xf>
    <xf numFmtId="9" fontId="3" fillId="2" borderId="0" xfId="0" applyNumberFormat="1" applyFont="1" applyFill="1" applyAlignment="1">
      <alignment horizontal="center"/>
    </xf>
    <xf numFmtId="9" fontId="4" fillId="4" borderId="0" xfId="0" applyNumberFormat="1" applyFont="1" applyFill="1" applyAlignment="1">
      <alignment horizontal="right" vertical="top"/>
    </xf>
    <xf numFmtId="9" fontId="11" fillId="6" borderId="0" xfId="2" applyNumberFormat="1" applyFill="1" applyBorder="1" applyAlignment="1">
      <alignment horizontal="center" vertical="top" wrapText="1"/>
    </xf>
    <xf numFmtId="9" fontId="11" fillId="7" borderId="0" xfId="2" applyNumberFormat="1" applyFill="1" applyBorder="1" applyAlignment="1">
      <alignment horizontal="center" vertical="top" wrapText="1"/>
    </xf>
    <xf numFmtId="165" fontId="13" fillId="6" borderId="0" xfId="0" applyNumberFormat="1" applyFont="1" applyFill="1" applyAlignment="1">
      <alignment horizontal="center" vertical="top" wrapText="1"/>
    </xf>
    <xf numFmtId="0" fontId="13" fillId="8" borderId="0" xfId="0" applyFont="1" applyFill="1"/>
    <xf numFmtId="0" fontId="14" fillId="8" borderId="0" xfId="0" applyFont="1" applyFill="1" applyAlignment="1">
      <alignment horizontal="right"/>
    </xf>
    <xf numFmtId="0" fontId="14" fillId="8" borderId="0" xfId="0" applyFont="1" applyFill="1"/>
    <xf numFmtId="9" fontId="15" fillId="8" borderId="0" xfId="1" applyFont="1" applyFill="1"/>
    <xf numFmtId="9" fontId="13" fillId="8" borderId="0" xfId="0" applyNumberFormat="1" applyFont="1" applyFill="1"/>
    <xf numFmtId="9" fontId="11" fillId="9" borderId="0" xfId="2" applyNumberFormat="1" applyFill="1"/>
    <xf numFmtId="0" fontId="14" fillId="8" borderId="0" xfId="0" applyFont="1" applyFill="1" applyAlignment="1">
      <alignment horizontal="left"/>
    </xf>
    <xf numFmtId="0" fontId="2" fillId="0" borderId="0" xfId="0" applyFont="1"/>
    <xf numFmtId="0" fontId="13" fillId="0" borderId="0" xfId="0" applyFont="1"/>
    <xf numFmtId="0" fontId="2" fillId="10" borderId="0" xfId="0" applyFont="1" applyFill="1"/>
    <xf numFmtId="0" fontId="7" fillId="10" borderId="0" xfId="0" applyFont="1" applyFill="1" applyAlignment="1">
      <alignment horizontal="right" vertical="top" wrapText="1"/>
    </xf>
    <xf numFmtId="9" fontId="9" fillId="10" borderId="0" xfId="0" applyNumberFormat="1" applyFont="1" applyFill="1" applyAlignment="1">
      <alignment horizontal="center" vertical="top" wrapText="1"/>
    </xf>
    <xf numFmtId="0" fontId="10" fillId="10" borderId="0" xfId="0" applyFont="1" applyFill="1" applyAlignment="1">
      <alignment horizontal="center" vertical="top" wrapText="1"/>
    </xf>
    <xf numFmtId="0" fontId="10" fillId="10" borderId="0" xfId="0" applyFont="1" applyFill="1"/>
    <xf numFmtId="9" fontId="8" fillId="3" borderId="0" xfId="0" applyNumberFormat="1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center" wrapText="1"/>
    </xf>
  </cellXfs>
  <cellStyles count="3"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MICHAEL/New%20Biz/Misc/Deal%20Exchange/Midtown%20Portfolio%20SDA%20-%20Potential%20Deal%20Structure%20for%20XYZ%20Capit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ichael%20Blank/My%20Documents/Dropbox/MICHAEL/New%20Biz/Products/eBook/Harbor%20Terrace,%20Oxon%20Hill%20(Caleb)/2500%20Pinebrook%20Ave%20(Mike%20Traeger)/Financials-Pinebrook-2%20Addl%20Uni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About"/>
      <sheetName val="Scenarios"/>
      <sheetName val="Summary"/>
      <sheetName val="P&amp;L"/>
      <sheetName val="Acquisition Costs"/>
      <sheetName val="Exit Strategies"/>
      <sheetName val="Returns"/>
      <sheetName val="IRR"/>
      <sheetName val="Loans"/>
      <sheetName val="1st Mortgage 1"/>
      <sheetName val="2nd Mortgage 1"/>
      <sheetName val="1st Mortgage Re-Fi"/>
      <sheetName val="LEGAL NOTICES"/>
      <sheetName val="YR 1 P&amp;L Monthly"/>
    </sheetNames>
    <sheetDataSet>
      <sheetData sheetId="0"/>
      <sheetData sheetId="1"/>
      <sheetData sheetId="2"/>
      <sheetData sheetId="3">
        <row r="42">
          <cell r="D42">
            <v>0.30000000000000004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D5">
            <v>30</v>
          </cell>
        </row>
        <row r="16">
          <cell r="B16" t="str">
            <v>Month</v>
          </cell>
          <cell r="E16" t="str">
            <v>Cumulative Interest</v>
          </cell>
          <cell r="G16" t="str">
            <v>Principal Paid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 Worksheet"/>
      <sheetName val="Summary"/>
      <sheetName val="AS-IS Analysis"/>
      <sheetName val="P&amp;L"/>
      <sheetName val="Resale"/>
      <sheetName val="IRR"/>
      <sheetName val="Acquisition Costs"/>
      <sheetName val="Returns-5 Years"/>
      <sheetName val="Returns 10 years"/>
      <sheetName val="Amortization-Loan 1"/>
      <sheetName val="Amortization-Loan 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>
            <v>300</v>
          </cell>
        </row>
        <row r="13">
          <cell r="E13" t="str">
            <v>Cumulative Interest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outlinePr summaryBelow="0" summaryRight="0"/>
  </sheetPr>
  <dimension ref="A1:P41"/>
  <sheetViews>
    <sheetView tabSelected="1" zoomScaleNormal="100" workbookViewId="0">
      <selection activeCell="K6" sqref="K6"/>
    </sheetView>
  </sheetViews>
  <sheetFormatPr defaultColWidth="11.44140625" defaultRowHeight="11.4" x14ac:dyDescent="0.2"/>
  <cols>
    <col min="1" max="1" width="3.109375" style="1" customWidth="1"/>
    <col min="2" max="2" width="7.5546875" style="1" customWidth="1"/>
    <col min="3" max="3" width="11" style="1" customWidth="1"/>
    <col min="4" max="4" width="10.5546875" style="1" customWidth="1"/>
    <col min="5" max="5" width="17.109375" style="1" customWidth="1"/>
    <col min="6" max="6" width="10.33203125" style="1" customWidth="1"/>
    <col min="7" max="7" width="5.5546875" style="1" bestFit="1" customWidth="1"/>
    <col min="8" max="8" width="10.33203125" style="1" customWidth="1"/>
    <col min="9" max="9" width="5.5546875" style="1" bestFit="1" customWidth="1"/>
    <col min="10" max="10" width="7.88671875" style="1" bestFit="1" customWidth="1"/>
    <col min="11" max="11" width="5.5546875" style="1" bestFit="1" customWidth="1"/>
    <col min="12" max="12" width="9.44140625" style="1" bestFit="1" customWidth="1"/>
    <col min="13" max="13" width="16.5546875" style="1" customWidth="1"/>
    <col min="14" max="15" width="10.33203125" style="1" customWidth="1"/>
    <col min="16" max="16" width="4.5546875" style="1" customWidth="1"/>
    <col min="17" max="258" width="11.44140625" style="1"/>
    <col min="259" max="259" width="3.109375" style="1" customWidth="1"/>
    <col min="260" max="260" width="40.6640625" style="1" customWidth="1"/>
    <col min="261" max="270" width="10.33203125" style="1" customWidth="1"/>
    <col min="271" max="271" width="11" style="1" customWidth="1"/>
    <col min="272" max="272" width="10.6640625" style="1" customWidth="1"/>
    <col min="273" max="514" width="11.44140625" style="1"/>
    <col min="515" max="515" width="3.109375" style="1" customWidth="1"/>
    <col min="516" max="516" width="40.6640625" style="1" customWidth="1"/>
    <col min="517" max="526" width="10.33203125" style="1" customWidth="1"/>
    <col min="527" max="527" width="11" style="1" customWidth="1"/>
    <col min="528" max="528" width="10.6640625" style="1" customWidth="1"/>
    <col min="529" max="770" width="11.44140625" style="1"/>
    <col min="771" max="771" width="3.109375" style="1" customWidth="1"/>
    <col min="772" max="772" width="40.6640625" style="1" customWidth="1"/>
    <col min="773" max="782" width="10.33203125" style="1" customWidth="1"/>
    <col min="783" max="783" width="11" style="1" customWidth="1"/>
    <col min="784" max="784" width="10.6640625" style="1" customWidth="1"/>
    <col min="785" max="1026" width="11.44140625" style="1"/>
    <col min="1027" max="1027" width="3.109375" style="1" customWidth="1"/>
    <col min="1028" max="1028" width="40.6640625" style="1" customWidth="1"/>
    <col min="1029" max="1038" width="10.33203125" style="1" customWidth="1"/>
    <col min="1039" max="1039" width="11" style="1" customWidth="1"/>
    <col min="1040" max="1040" width="10.6640625" style="1" customWidth="1"/>
    <col min="1041" max="1282" width="11.44140625" style="1"/>
    <col min="1283" max="1283" width="3.109375" style="1" customWidth="1"/>
    <col min="1284" max="1284" width="40.6640625" style="1" customWidth="1"/>
    <col min="1285" max="1294" width="10.33203125" style="1" customWidth="1"/>
    <col min="1295" max="1295" width="11" style="1" customWidth="1"/>
    <col min="1296" max="1296" width="10.6640625" style="1" customWidth="1"/>
    <col min="1297" max="1538" width="11.44140625" style="1"/>
    <col min="1539" max="1539" width="3.109375" style="1" customWidth="1"/>
    <col min="1540" max="1540" width="40.6640625" style="1" customWidth="1"/>
    <col min="1541" max="1550" width="10.33203125" style="1" customWidth="1"/>
    <col min="1551" max="1551" width="11" style="1" customWidth="1"/>
    <col min="1552" max="1552" width="10.6640625" style="1" customWidth="1"/>
    <col min="1553" max="1794" width="11.44140625" style="1"/>
    <col min="1795" max="1795" width="3.109375" style="1" customWidth="1"/>
    <col min="1796" max="1796" width="40.6640625" style="1" customWidth="1"/>
    <col min="1797" max="1806" width="10.33203125" style="1" customWidth="1"/>
    <col min="1807" max="1807" width="11" style="1" customWidth="1"/>
    <col min="1808" max="1808" width="10.6640625" style="1" customWidth="1"/>
    <col min="1809" max="2050" width="11.44140625" style="1"/>
    <col min="2051" max="2051" width="3.109375" style="1" customWidth="1"/>
    <col min="2052" max="2052" width="40.6640625" style="1" customWidth="1"/>
    <col min="2053" max="2062" width="10.33203125" style="1" customWidth="1"/>
    <col min="2063" max="2063" width="11" style="1" customWidth="1"/>
    <col min="2064" max="2064" width="10.6640625" style="1" customWidth="1"/>
    <col min="2065" max="2306" width="11.44140625" style="1"/>
    <col min="2307" max="2307" width="3.109375" style="1" customWidth="1"/>
    <col min="2308" max="2308" width="40.6640625" style="1" customWidth="1"/>
    <col min="2309" max="2318" width="10.33203125" style="1" customWidth="1"/>
    <col min="2319" max="2319" width="11" style="1" customWidth="1"/>
    <col min="2320" max="2320" width="10.6640625" style="1" customWidth="1"/>
    <col min="2321" max="2562" width="11.44140625" style="1"/>
    <col min="2563" max="2563" width="3.109375" style="1" customWidth="1"/>
    <col min="2564" max="2564" width="40.6640625" style="1" customWidth="1"/>
    <col min="2565" max="2574" width="10.33203125" style="1" customWidth="1"/>
    <col min="2575" max="2575" width="11" style="1" customWidth="1"/>
    <col min="2576" max="2576" width="10.6640625" style="1" customWidth="1"/>
    <col min="2577" max="2818" width="11.44140625" style="1"/>
    <col min="2819" max="2819" width="3.109375" style="1" customWidth="1"/>
    <col min="2820" max="2820" width="40.6640625" style="1" customWidth="1"/>
    <col min="2821" max="2830" width="10.33203125" style="1" customWidth="1"/>
    <col min="2831" max="2831" width="11" style="1" customWidth="1"/>
    <col min="2832" max="2832" width="10.6640625" style="1" customWidth="1"/>
    <col min="2833" max="3074" width="11.44140625" style="1"/>
    <col min="3075" max="3075" width="3.109375" style="1" customWidth="1"/>
    <col min="3076" max="3076" width="40.6640625" style="1" customWidth="1"/>
    <col min="3077" max="3086" width="10.33203125" style="1" customWidth="1"/>
    <col min="3087" max="3087" width="11" style="1" customWidth="1"/>
    <col min="3088" max="3088" width="10.6640625" style="1" customWidth="1"/>
    <col min="3089" max="3330" width="11.44140625" style="1"/>
    <col min="3331" max="3331" width="3.109375" style="1" customWidth="1"/>
    <col min="3332" max="3332" width="40.6640625" style="1" customWidth="1"/>
    <col min="3333" max="3342" width="10.33203125" style="1" customWidth="1"/>
    <col min="3343" max="3343" width="11" style="1" customWidth="1"/>
    <col min="3344" max="3344" width="10.6640625" style="1" customWidth="1"/>
    <col min="3345" max="3586" width="11.44140625" style="1"/>
    <col min="3587" max="3587" width="3.109375" style="1" customWidth="1"/>
    <col min="3588" max="3588" width="40.6640625" style="1" customWidth="1"/>
    <col min="3589" max="3598" width="10.33203125" style="1" customWidth="1"/>
    <col min="3599" max="3599" width="11" style="1" customWidth="1"/>
    <col min="3600" max="3600" width="10.6640625" style="1" customWidth="1"/>
    <col min="3601" max="3842" width="11.44140625" style="1"/>
    <col min="3843" max="3843" width="3.109375" style="1" customWidth="1"/>
    <col min="3844" max="3844" width="40.6640625" style="1" customWidth="1"/>
    <col min="3845" max="3854" width="10.33203125" style="1" customWidth="1"/>
    <col min="3855" max="3855" width="11" style="1" customWidth="1"/>
    <col min="3856" max="3856" width="10.6640625" style="1" customWidth="1"/>
    <col min="3857" max="4098" width="11.44140625" style="1"/>
    <col min="4099" max="4099" width="3.109375" style="1" customWidth="1"/>
    <col min="4100" max="4100" width="40.6640625" style="1" customWidth="1"/>
    <col min="4101" max="4110" width="10.33203125" style="1" customWidth="1"/>
    <col min="4111" max="4111" width="11" style="1" customWidth="1"/>
    <col min="4112" max="4112" width="10.6640625" style="1" customWidth="1"/>
    <col min="4113" max="4354" width="11.44140625" style="1"/>
    <col min="4355" max="4355" width="3.109375" style="1" customWidth="1"/>
    <col min="4356" max="4356" width="40.6640625" style="1" customWidth="1"/>
    <col min="4357" max="4366" width="10.33203125" style="1" customWidth="1"/>
    <col min="4367" max="4367" width="11" style="1" customWidth="1"/>
    <col min="4368" max="4368" width="10.6640625" style="1" customWidth="1"/>
    <col min="4369" max="4610" width="11.44140625" style="1"/>
    <col min="4611" max="4611" width="3.109375" style="1" customWidth="1"/>
    <col min="4612" max="4612" width="40.6640625" style="1" customWidth="1"/>
    <col min="4613" max="4622" width="10.33203125" style="1" customWidth="1"/>
    <col min="4623" max="4623" width="11" style="1" customWidth="1"/>
    <col min="4624" max="4624" width="10.6640625" style="1" customWidth="1"/>
    <col min="4625" max="4866" width="11.44140625" style="1"/>
    <col min="4867" max="4867" width="3.109375" style="1" customWidth="1"/>
    <col min="4868" max="4868" width="40.6640625" style="1" customWidth="1"/>
    <col min="4869" max="4878" width="10.33203125" style="1" customWidth="1"/>
    <col min="4879" max="4879" width="11" style="1" customWidth="1"/>
    <col min="4880" max="4880" width="10.6640625" style="1" customWidth="1"/>
    <col min="4881" max="5122" width="11.44140625" style="1"/>
    <col min="5123" max="5123" width="3.109375" style="1" customWidth="1"/>
    <col min="5124" max="5124" width="40.6640625" style="1" customWidth="1"/>
    <col min="5125" max="5134" width="10.33203125" style="1" customWidth="1"/>
    <col min="5135" max="5135" width="11" style="1" customWidth="1"/>
    <col min="5136" max="5136" width="10.6640625" style="1" customWidth="1"/>
    <col min="5137" max="5378" width="11.44140625" style="1"/>
    <col min="5379" max="5379" width="3.109375" style="1" customWidth="1"/>
    <col min="5380" max="5380" width="40.6640625" style="1" customWidth="1"/>
    <col min="5381" max="5390" width="10.33203125" style="1" customWidth="1"/>
    <col min="5391" max="5391" width="11" style="1" customWidth="1"/>
    <col min="5392" max="5392" width="10.6640625" style="1" customWidth="1"/>
    <col min="5393" max="5634" width="11.44140625" style="1"/>
    <col min="5635" max="5635" width="3.109375" style="1" customWidth="1"/>
    <col min="5636" max="5636" width="40.6640625" style="1" customWidth="1"/>
    <col min="5637" max="5646" width="10.33203125" style="1" customWidth="1"/>
    <col min="5647" max="5647" width="11" style="1" customWidth="1"/>
    <col min="5648" max="5648" width="10.6640625" style="1" customWidth="1"/>
    <col min="5649" max="5890" width="11.44140625" style="1"/>
    <col min="5891" max="5891" width="3.109375" style="1" customWidth="1"/>
    <col min="5892" max="5892" width="40.6640625" style="1" customWidth="1"/>
    <col min="5893" max="5902" width="10.33203125" style="1" customWidth="1"/>
    <col min="5903" max="5903" width="11" style="1" customWidth="1"/>
    <col min="5904" max="5904" width="10.6640625" style="1" customWidth="1"/>
    <col min="5905" max="6146" width="11.44140625" style="1"/>
    <col min="6147" max="6147" width="3.109375" style="1" customWidth="1"/>
    <col min="6148" max="6148" width="40.6640625" style="1" customWidth="1"/>
    <col min="6149" max="6158" width="10.33203125" style="1" customWidth="1"/>
    <col min="6159" max="6159" width="11" style="1" customWidth="1"/>
    <col min="6160" max="6160" width="10.6640625" style="1" customWidth="1"/>
    <col min="6161" max="6402" width="11.44140625" style="1"/>
    <col min="6403" max="6403" width="3.109375" style="1" customWidth="1"/>
    <col min="6404" max="6404" width="40.6640625" style="1" customWidth="1"/>
    <col min="6405" max="6414" width="10.33203125" style="1" customWidth="1"/>
    <col min="6415" max="6415" width="11" style="1" customWidth="1"/>
    <col min="6416" max="6416" width="10.6640625" style="1" customWidth="1"/>
    <col min="6417" max="6658" width="11.44140625" style="1"/>
    <col min="6659" max="6659" width="3.109375" style="1" customWidth="1"/>
    <col min="6660" max="6660" width="40.6640625" style="1" customWidth="1"/>
    <col min="6661" max="6670" width="10.33203125" style="1" customWidth="1"/>
    <col min="6671" max="6671" width="11" style="1" customWidth="1"/>
    <col min="6672" max="6672" width="10.6640625" style="1" customWidth="1"/>
    <col min="6673" max="6914" width="11.44140625" style="1"/>
    <col min="6915" max="6915" width="3.109375" style="1" customWidth="1"/>
    <col min="6916" max="6916" width="40.6640625" style="1" customWidth="1"/>
    <col min="6917" max="6926" width="10.33203125" style="1" customWidth="1"/>
    <col min="6927" max="6927" width="11" style="1" customWidth="1"/>
    <col min="6928" max="6928" width="10.6640625" style="1" customWidth="1"/>
    <col min="6929" max="7170" width="11.44140625" style="1"/>
    <col min="7171" max="7171" width="3.109375" style="1" customWidth="1"/>
    <col min="7172" max="7172" width="40.6640625" style="1" customWidth="1"/>
    <col min="7173" max="7182" width="10.33203125" style="1" customWidth="1"/>
    <col min="7183" max="7183" width="11" style="1" customWidth="1"/>
    <col min="7184" max="7184" width="10.6640625" style="1" customWidth="1"/>
    <col min="7185" max="7426" width="11.44140625" style="1"/>
    <col min="7427" max="7427" width="3.109375" style="1" customWidth="1"/>
    <col min="7428" max="7428" width="40.6640625" style="1" customWidth="1"/>
    <col min="7429" max="7438" width="10.33203125" style="1" customWidth="1"/>
    <col min="7439" max="7439" width="11" style="1" customWidth="1"/>
    <col min="7440" max="7440" width="10.6640625" style="1" customWidth="1"/>
    <col min="7441" max="7682" width="11.44140625" style="1"/>
    <col min="7683" max="7683" width="3.109375" style="1" customWidth="1"/>
    <col min="7684" max="7684" width="40.6640625" style="1" customWidth="1"/>
    <col min="7685" max="7694" width="10.33203125" style="1" customWidth="1"/>
    <col min="7695" max="7695" width="11" style="1" customWidth="1"/>
    <col min="7696" max="7696" width="10.6640625" style="1" customWidth="1"/>
    <col min="7697" max="7938" width="11.44140625" style="1"/>
    <col min="7939" max="7939" width="3.109375" style="1" customWidth="1"/>
    <col min="7940" max="7940" width="40.6640625" style="1" customWidth="1"/>
    <col min="7941" max="7950" width="10.33203125" style="1" customWidth="1"/>
    <col min="7951" max="7951" width="11" style="1" customWidth="1"/>
    <col min="7952" max="7952" width="10.6640625" style="1" customWidth="1"/>
    <col min="7953" max="8194" width="11.44140625" style="1"/>
    <col min="8195" max="8195" width="3.109375" style="1" customWidth="1"/>
    <col min="8196" max="8196" width="40.6640625" style="1" customWidth="1"/>
    <col min="8197" max="8206" width="10.33203125" style="1" customWidth="1"/>
    <col min="8207" max="8207" width="11" style="1" customWidth="1"/>
    <col min="8208" max="8208" width="10.6640625" style="1" customWidth="1"/>
    <col min="8209" max="8450" width="11.44140625" style="1"/>
    <col min="8451" max="8451" width="3.109375" style="1" customWidth="1"/>
    <col min="8452" max="8452" width="40.6640625" style="1" customWidth="1"/>
    <col min="8453" max="8462" width="10.33203125" style="1" customWidth="1"/>
    <col min="8463" max="8463" width="11" style="1" customWidth="1"/>
    <col min="8464" max="8464" width="10.6640625" style="1" customWidth="1"/>
    <col min="8465" max="8706" width="11.44140625" style="1"/>
    <col min="8707" max="8707" width="3.109375" style="1" customWidth="1"/>
    <col min="8708" max="8708" width="40.6640625" style="1" customWidth="1"/>
    <col min="8709" max="8718" width="10.33203125" style="1" customWidth="1"/>
    <col min="8719" max="8719" width="11" style="1" customWidth="1"/>
    <col min="8720" max="8720" width="10.6640625" style="1" customWidth="1"/>
    <col min="8721" max="8962" width="11.44140625" style="1"/>
    <col min="8963" max="8963" width="3.109375" style="1" customWidth="1"/>
    <col min="8964" max="8964" width="40.6640625" style="1" customWidth="1"/>
    <col min="8965" max="8974" width="10.33203125" style="1" customWidth="1"/>
    <col min="8975" max="8975" width="11" style="1" customWidth="1"/>
    <col min="8976" max="8976" width="10.6640625" style="1" customWidth="1"/>
    <col min="8977" max="9218" width="11.44140625" style="1"/>
    <col min="9219" max="9219" width="3.109375" style="1" customWidth="1"/>
    <col min="9220" max="9220" width="40.6640625" style="1" customWidth="1"/>
    <col min="9221" max="9230" width="10.33203125" style="1" customWidth="1"/>
    <col min="9231" max="9231" width="11" style="1" customWidth="1"/>
    <col min="9232" max="9232" width="10.6640625" style="1" customWidth="1"/>
    <col min="9233" max="9474" width="11.44140625" style="1"/>
    <col min="9475" max="9475" width="3.109375" style="1" customWidth="1"/>
    <col min="9476" max="9476" width="40.6640625" style="1" customWidth="1"/>
    <col min="9477" max="9486" width="10.33203125" style="1" customWidth="1"/>
    <col min="9487" max="9487" width="11" style="1" customWidth="1"/>
    <col min="9488" max="9488" width="10.6640625" style="1" customWidth="1"/>
    <col min="9489" max="9730" width="11.44140625" style="1"/>
    <col min="9731" max="9731" width="3.109375" style="1" customWidth="1"/>
    <col min="9732" max="9732" width="40.6640625" style="1" customWidth="1"/>
    <col min="9733" max="9742" width="10.33203125" style="1" customWidth="1"/>
    <col min="9743" max="9743" width="11" style="1" customWidth="1"/>
    <col min="9744" max="9744" width="10.6640625" style="1" customWidth="1"/>
    <col min="9745" max="9986" width="11.44140625" style="1"/>
    <col min="9987" max="9987" width="3.109375" style="1" customWidth="1"/>
    <col min="9988" max="9988" width="40.6640625" style="1" customWidth="1"/>
    <col min="9989" max="9998" width="10.33203125" style="1" customWidth="1"/>
    <col min="9999" max="9999" width="11" style="1" customWidth="1"/>
    <col min="10000" max="10000" width="10.6640625" style="1" customWidth="1"/>
    <col min="10001" max="10242" width="11.44140625" style="1"/>
    <col min="10243" max="10243" width="3.109375" style="1" customWidth="1"/>
    <col min="10244" max="10244" width="40.6640625" style="1" customWidth="1"/>
    <col min="10245" max="10254" width="10.33203125" style="1" customWidth="1"/>
    <col min="10255" max="10255" width="11" style="1" customWidth="1"/>
    <col min="10256" max="10256" width="10.6640625" style="1" customWidth="1"/>
    <col min="10257" max="10498" width="11.44140625" style="1"/>
    <col min="10499" max="10499" width="3.109375" style="1" customWidth="1"/>
    <col min="10500" max="10500" width="40.6640625" style="1" customWidth="1"/>
    <col min="10501" max="10510" width="10.33203125" style="1" customWidth="1"/>
    <col min="10511" max="10511" width="11" style="1" customWidth="1"/>
    <col min="10512" max="10512" width="10.6640625" style="1" customWidth="1"/>
    <col min="10513" max="10754" width="11.44140625" style="1"/>
    <col min="10755" max="10755" width="3.109375" style="1" customWidth="1"/>
    <col min="10756" max="10756" width="40.6640625" style="1" customWidth="1"/>
    <col min="10757" max="10766" width="10.33203125" style="1" customWidth="1"/>
    <col min="10767" max="10767" width="11" style="1" customWidth="1"/>
    <col min="10768" max="10768" width="10.6640625" style="1" customWidth="1"/>
    <col min="10769" max="11010" width="11.44140625" style="1"/>
    <col min="11011" max="11011" width="3.109375" style="1" customWidth="1"/>
    <col min="11012" max="11012" width="40.6640625" style="1" customWidth="1"/>
    <col min="11013" max="11022" width="10.33203125" style="1" customWidth="1"/>
    <col min="11023" max="11023" width="11" style="1" customWidth="1"/>
    <col min="11024" max="11024" width="10.6640625" style="1" customWidth="1"/>
    <col min="11025" max="11266" width="11.44140625" style="1"/>
    <col min="11267" max="11267" width="3.109375" style="1" customWidth="1"/>
    <col min="11268" max="11268" width="40.6640625" style="1" customWidth="1"/>
    <col min="11269" max="11278" width="10.33203125" style="1" customWidth="1"/>
    <col min="11279" max="11279" width="11" style="1" customWidth="1"/>
    <col min="11280" max="11280" width="10.6640625" style="1" customWidth="1"/>
    <col min="11281" max="11522" width="11.44140625" style="1"/>
    <col min="11523" max="11523" width="3.109375" style="1" customWidth="1"/>
    <col min="11524" max="11524" width="40.6640625" style="1" customWidth="1"/>
    <col min="11525" max="11534" width="10.33203125" style="1" customWidth="1"/>
    <col min="11535" max="11535" width="11" style="1" customWidth="1"/>
    <col min="11536" max="11536" width="10.6640625" style="1" customWidth="1"/>
    <col min="11537" max="11778" width="11.44140625" style="1"/>
    <col min="11779" max="11779" width="3.109375" style="1" customWidth="1"/>
    <col min="11780" max="11780" width="40.6640625" style="1" customWidth="1"/>
    <col min="11781" max="11790" width="10.33203125" style="1" customWidth="1"/>
    <col min="11791" max="11791" width="11" style="1" customWidth="1"/>
    <col min="11792" max="11792" width="10.6640625" style="1" customWidth="1"/>
    <col min="11793" max="12034" width="11.44140625" style="1"/>
    <col min="12035" max="12035" width="3.109375" style="1" customWidth="1"/>
    <col min="12036" max="12036" width="40.6640625" style="1" customWidth="1"/>
    <col min="12037" max="12046" width="10.33203125" style="1" customWidth="1"/>
    <col min="12047" max="12047" width="11" style="1" customWidth="1"/>
    <col min="12048" max="12048" width="10.6640625" style="1" customWidth="1"/>
    <col min="12049" max="12290" width="11.44140625" style="1"/>
    <col min="12291" max="12291" width="3.109375" style="1" customWidth="1"/>
    <col min="12292" max="12292" width="40.6640625" style="1" customWidth="1"/>
    <col min="12293" max="12302" width="10.33203125" style="1" customWidth="1"/>
    <col min="12303" max="12303" width="11" style="1" customWidth="1"/>
    <col min="12304" max="12304" width="10.6640625" style="1" customWidth="1"/>
    <col min="12305" max="12546" width="11.44140625" style="1"/>
    <col min="12547" max="12547" width="3.109375" style="1" customWidth="1"/>
    <col min="12548" max="12548" width="40.6640625" style="1" customWidth="1"/>
    <col min="12549" max="12558" width="10.33203125" style="1" customWidth="1"/>
    <col min="12559" max="12559" width="11" style="1" customWidth="1"/>
    <col min="12560" max="12560" width="10.6640625" style="1" customWidth="1"/>
    <col min="12561" max="12802" width="11.44140625" style="1"/>
    <col min="12803" max="12803" width="3.109375" style="1" customWidth="1"/>
    <col min="12804" max="12804" width="40.6640625" style="1" customWidth="1"/>
    <col min="12805" max="12814" width="10.33203125" style="1" customWidth="1"/>
    <col min="12815" max="12815" width="11" style="1" customWidth="1"/>
    <col min="12816" max="12816" width="10.6640625" style="1" customWidth="1"/>
    <col min="12817" max="13058" width="11.44140625" style="1"/>
    <col min="13059" max="13059" width="3.109375" style="1" customWidth="1"/>
    <col min="13060" max="13060" width="40.6640625" style="1" customWidth="1"/>
    <col min="13061" max="13070" width="10.33203125" style="1" customWidth="1"/>
    <col min="13071" max="13071" width="11" style="1" customWidth="1"/>
    <col min="13072" max="13072" width="10.6640625" style="1" customWidth="1"/>
    <col min="13073" max="13314" width="11.44140625" style="1"/>
    <col min="13315" max="13315" width="3.109375" style="1" customWidth="1"/>
    <col min="13316" max="13316" width="40.6640625" style="1" customWidth="1"/>
    <col min="13317" max="13326" width="10.33203125" style="1" customWidth="1"/>
    <col min="13327" max="13327" width="11" style="1" customWidth="1"/>
    <col min="13328" max="13328" width="10.6640625" style="1" customWidth="1"/>
    <col min="13329" max="13570" width="11.44140625" style="1"/>
    <col min="13571" max="13571" width="3.109375" style="1" customWidth="1"/>
    <col min="13572" max="13572" width="40.6640625" style="1" customWidth="1"/>
    <col min="13573" max="13582" width="10.33203125" style="1" customWidth="1"/>
    <col min="13583" max="13583" width="11" style="1" customWidth="1"/>
    <col min="13584" max="13584" width="10.6640625" style="1" customWidth="1"/>
    <col min="13585" max="13826" width="11.44140625" style="1"/>
    <col min="13827" max="13827" width="3.109375" style="1" customWidth="1"/>
    <col min="13828" max="13828" width="40.6640625" style="1" customWidth="1"/>
    <col min="13829" max="13838" width="10.33203125" style="1" customWidth="1"/>
    <col min="13839" max="13839" width="11" style="1" customWidth="1"/>
    <col min="13840" max="13840" width="10.6640625" style="1" customWidth="1"/>
    <col min="13841" max="14082" width="11.44140625" style="1"/>
    <col min="14083" max="14083" width="3.109375" style="1" customWidth="1"/>
    <col min="14084" max="14084" width="40.6640625" style="1" customWidth="1"/>
    <col min="14085" max="14094" width="10.33203125" style="1" customWidth="1"/>
    <col min="14095" max="14095" width="11" style="1" customWidth="1"/>
    <col min="14096" max="14096" width="10.6640625" style="1" customWidth="1"/>
    <col min="14097" max="14338" width="11.44140625" style="1"/>
    <col min="14339" max="14339" width="3.109375" style="1" customWidth="1"/>
    <col min="14340" max="14340" width="40.6640625" style="1" customWidth="1"/>
    <col min="14341" max="14350" width="10.33203125" style="1" customWidth="1"/>
    <col min="14351" max="14351" width="11" style="1" customWidth="1"/>
    <col min="14352" max="14352" width="10.6640625" style="1" customWidth="1"/>
    <col min="14353" max="14594" width="11.44140625" style="1"/>
    <col min="14595" max="14595" width="3.109375" style="1" customWidth="1"/>
    <col min="14596" max="14596" width="40.6640625" style="1" customWidth="1"/>
    <col min="14597" max="14606" width="10.33203125" style="1" customWidth="1"/>
    <col min="14607" max="14607" width="11" style="1" customWidth="1"/>
    <col min="14608" max="14608" width="10.6640625" style="1" customWidth="1"/>
    <col min="14609" max="14850" width="11.44140625" style="1"/>
    <col min="14851" max="14851" width="3.109375" style="1" customWidth="1"/>
    <col min="14852" max="14852" width="40.6640625" style="1" customWidth="1"/>
    <col min="14853" max="14862" width="10.33203125" style="1" customWidth="1"/>
    <col min="14863" max="14863" width="11" style="1" customWidth="1"/>
    <col min="14864" max="14864" width="10.6640625" style="1" customWidth="1"/>
    <col min="14865" max="15106" width="11.44140625" style="1"/>
    <col min="15107" max="15107" width="3.109375" style="1" customWidth="1"/>
    <col min="15108" max="15108" width="40.6640625" style="1" customWidth="1"/>
    <col min="15109" max="15118" width="10.33203125" style="1" customWidth="1"/>
    <col min="15119" max="15119" width="11" style="1" customWidth="1"/>
    <col min="15120" max="15120" width="10.6640625" style="1" customWidth="1"/>
    <col min="15121" max="15362" width="11.44140625" style="1"/>
    <col min="15363" max="15363" width="3.109375" style="1" customWidth="1"/>
    <col min="15364" max="15364" width="40.6640625" style="1" customWidth="1"/>
    <col min="15365" max="15374" width="10.33203125" style="1" customWidth="1"/>
    <col min="15375" max="15375" width="11" style="1" customWidth="1"/>
    <col min="15376" max="15376" width="10.6640625" style="1" customWidth="1"/>
    <col min="15377" max="15618" width="11.44140625" style="1"/>
    <col min="15619" max="15619" width="3.109375" style="1" customWidth="1"/>
    <col min="15620" max="15620" width="40.6640625" style="1" customWidth="1"/>
    <col min="15621" max="15630" width="10.33203125" style="1" customWidth="1"/>
    <col min="15631" max="15631" width="11" style="1" customWidth="1"/>
    <col min="15632" max="15632" width="10.6640625" style="1" customWidth="1"/>
    <col min="15633" max="15874" width="11.44140625" style="1"/>
    <col min="15875" max="15875" width="3.109375" style="1" customWidth="1"/>
    <col min="15876" max="15876" width="40.6640625" style="1" customWidth="1"/>
    <col min="15877" max="15886" width="10.33203125" style="1" customWidth="1"/>
    <col min="15887" max="15887" width="11" style="1" customWidth="1"/>
    <col min="15888" max="15888" width="10.6640625" style="1" customWidth="1"/>
    <col min="15889" max="16130" width="11.44140625" style="1"/>
    <col min="16131" max="16131" width="3.109375" style="1" customWidth="1"/>
    <col min="16132" max="16132" width="40.6640625" style="1" customWidth="1"/>
    <col min="16133" max="16142" width="10.33203125" style="1" customWidth="1"/>
    <col min="16143" max="16143" width="11" style="1" customWidth="1"/>
    <col min="16144" max="16144" width="10.6640625" style="1" customWidth="1"/>
    <col min="16145" max="16384" width="11.44140625" style="1"/>
  </cols>
  <sheetData>
    <row r="1" spans="2:16" ht="27" customHeight="1" x14ac:dyDescent="0.2"/>
    <row r="2" spans="2:16" ht="29.25" customHeight="1" x14ac:dyDescent="0.2">
      <c r="B2" s="48" t="s">
        <v>16</v>
      </c>
      <c r="C2" s="48"/>
      <c r="D2" s="48"/>
      <c r="E2" s="48"/>
      <c r="F2" s="48"/>
      <c r="G2" s="48"/>
      <c r="H2" s="23"/>
      <c r="I2" s="23"/>
      <c r="J2" s="23"/>
      <c r="K2" s="23"/>
      <c r="L2" s="23"/>
    </row>
    <row r="3" spans="2:16" ht="31.5" customHeight="1" x14ac:dyDescent="0.2"/>
    <row r="4" spans="2:16" ht="12" x14ac:dyDescent="0.2">
      <c r="B4" s="3"/>
      <c r="C4" s="3"/>
      <c r="D4" s="3"/>
      <c r="E4" s="3"/>
      <c r="F4" s="4" t="s">
        <v>0</v>
      </c>
      <c r="G4" s="4" t="s">
        <v>1</v>
      </c>
      <c r="H4" s="4" t="s">
        <v>25</v>
      </c>
      <c r="I4" s="4"/>
      <c r="J4" s="4"/>
      <c r="K4" s="4"/>
      <c r="L4" s="4"/>
      <c r="M4" s="4" t="s">
        <v>14</v>
      </c>
      <c r="N4" s="5"/>
      <c r="O4" s="5"/>
      <c r="P4" s="5"/>
    </row>
    <row r="5" spans="2:16" ht="14.4" x14ac:dyDescent="0.2">
      <c r="B5" s="46" t="s">
        <v>26</v>
      </c>
      <c r="C5" s="46"/>
      <c r="D5" s="46"/>
      <c r="E5" s="46"/>
      <c r="F5" s="29">
        <v>0.1</v>
      </c>
      <c r="G5" s="47" t="s">
        <v>3</v>
      </c>
      <c r="H5" s="47"/>
      <c r="I5" s="47"/>
      <c r="J5" s="47"/>
      <c r="K5" s="47"/>
      <c r="L5" s="47"/>
      <c r="M5" s="47"/>
      <c r="N5" s="47"/>
      <c r="O5" s="47"/>
      <c r="P5" s="47"/>
    </row>
    <row r="6" spans="2:16" ht="12.75" customHeight="1" x14ac:dyDescent="0.25">
      <c r="E6" s="6" t="s">
        <v>17</v>
      </c>
      <c r="G6" s="29">
        <v>0.5</v>
      </c>
      <c r="H6" s="7">
        <f>G6*F5</f>
        <v>0.05</v>
      </c>
      <c r="I6" s="28"/>
      <c r="J6" s="30"/>
      <c r="K6" s="28"/>
      <c r="L6" s="30"/>
      <c r="M6" s="2" t="s">
        <v>10</v>
      </c>
      <c r="N6" s="8"/>
      <c r="O6" s="8"/>
    </row>
    <row r="7" spans="2:16" ht="12.75" customHeight="1" x14ac:dyDescent="0.25">
      <c r="E7" s="6" t="s">
        <v>18</v>
      </c>
      <c r="G7" s="29">
        <v>0.5</v>
      </c>
      <c r="H7" s="7">
        <f>G7*F5</f>
        <v>0.05</v>
      </c>
      <c r="I7" s="28"/>
      <c r="J7" s="30"/>
      <c r="K7" s="28"/>
      <c r="L7" s="30"/>
      <c r="M7" s="2"/>
      <c r="N7" s="8"/>
      <c r="O7" s="8"/>
    </row>
    <row r="8" spans="2:16" ht="12.75" customHeight="1" x14ac:dyDescent="0.25">
      <c r="E8" s="6" t="s">
        <v>19</v>
      </c>
      <c r="G8" s="29">
        <v>0</v>
      </c>
      <c r="H8" s="7">
        <f t="shared" ref="H8:H9" si="0">G8*F7</f>
        <v>0</v>
      </c>
      <c r="I8" s="28"/>
      <c r="J8" s="30"/>
      <c r="K8" s="28"/>
      <c r="L8" s="30"/>
      <c r="N8" s="8"/>
      <c r="O8" s="8"/>
    </row>
    <row r="9" spans="2:16" ht="14.4" x14ac:dyDescent="0.25">
      <c r="E9" s="6" t="s">
        <v>20</v>
      </c>
      <c r="G9" s="29">
        <v>0</v>
      </c>
      <c r="H9" s="7">
        <f t="shared" si="0"/>
        <v>0</v>
      </c>
      <c r="I9" s="28"/>
      <c r="J9" s="30"/>
      <c r="K9" s="28"/>
      <c r="L9" s="30"/>
      <c r="M9" s="2"/>
      <c r="N9" s="8"/>
      <c r="O9" s="8"/>
    </row>
    <row r="10" spans="2:16" ht="13.2" x14ac:dyDescent="0.25">
      <c r="E10" s="9" t="s">
        <v>5</v>
      </c>
      <c r="G10" s="10">
        <f>SUM(G6:G9)</f>
        <v>1</v>
      </c>
      <c r="H10" s="7"/>
      <c r="I10" s="10"/>
      <c r="J10" s="7"/>
      <c r="K10" s="10"/>
      <c r="L10" s="7"/>
      <c r="M10" s="2"/>
      <c r="N10" s="8"/>
      <c r="O10" s="8"/>
    </row>
    <row r="11" spans="2:16" ht="14.4" x14ac:dyDescent="0.2">
      <c r="B11" s="47" t="s">
        <v>27</v>
      </c>
      <c r="C11" s="47"/>
      <c r="D11" s="47"/>
      <c r="E11" s="47"/>
      <c r="F11" s="29">
        <v>0.05</v>
      </c>
      <c r="G11" s="47" t="s">
        <v>6</v>
      </c>
      <c r="H11" s="47"/>
      <c r="I11" s="47"/>
      <c r="J11" s="47"/>
      <c r="K11" s="47"/>
      <c r="L11" s="47"/>
      <c r="M11" s="47"/>
      <c r="N11" s="47"/>
      <c r="O11" s="47"/>
      <c r="P11" s="47"/>
    </row>
    <row r="12" spans="2:16" ht="14.4" x14ac:dyDescent="0.25">
      <c r="E12" s="12" t="str">
        <f>E6</f>
        <v>Partner 1</v>
      </c>
      <c r="G12" s="29">
        <v>0</v>
      </c>
      <c r="H12" s="7">
        <f>G12*F11</f>
        <v>0</v>
      </c>
      <c r="I12" s="28"/>
      <c r="J12" s="30"/>
      <c r="K12" s="28"/>
      <c r="L12" s="30"/>
      <c r="M12" s="2"/>
      <c r="N12" s="8"/>
      <c r="O12" s="8"/>
    </row>
    <row r="13" spans="2:16" ht="12.75" customHeight="1" x14ac:dyDescent="0.25">
      <c r="E13" s="12" t="str">
        <f>E7</f>
        <v>Partner 2</v>
      </c>
      <c r="G13" s="29">
        <v>1</v>
      </c>
      <c r="H13" s="7">
        <f>G13*F11</f>
        <v>0.05</v>
      </c>
      <c r="I13" s="28"/>
      <c r="J13" s="30"/>
      <c r="K13" s="28"/>
      <c r="L13" s="30"/>
      <c r="M13" s="2"/>
      <c r="N13" s="8"/>
      <c r="O13" s="8"/>
    </row>
    <row r="14" spans="2:16" ht="12.75" customHeight="1" x14ac:dyDescent="0.25">
      <c r="E14" s="12" t="str">
        <f>E8</f>
        <v>Partner 3</v>
      </c>
      <c r="G14" s="29">
        <v>0</v>
      </c>
      <c r="H14" s="7">
        <f>G14*F11</f>
        <v>0</v>
      </c>
      <c r="I14" s="28"/>
      <c r="J14" s="30"/>
      <c r="K14" s="28"/>
      <c r="L14" s="30"/>
      <c r="M14" s="2"/>
      <c r="N14" s="8"/>
      <c r="O14" s="8"/>
    </row>
    <row r="15" spans="2:16" ht="12.75" customHeight="1" x14ac:dyDescent="0.25">
      <c r="E15" s="12" t="str">
        <f>E9</f>
        <v>Partner 4</v>
      </c>
      <c r="G15" s="29">
        <v>0</v>
      </c>
      <c r="H15" s="7">
        <f>G15*F11</f>
        <v>0</v>
      </c>
      <c r="I15" s="28"/>
      <c r="J15" s="30"/>
      <c r="K15" s="28"/>
      <c r="L15" s="30"/>
      <c r="M15" s="2"/>
      <c r="N15" s="8"/>
      <c r="O15" s="8"/>
    </row>
    <row r="16" spans="2:16" ht="13.2" x14ac:dyDescent="0.25">
      <c r="E16" s="9" t="s">
        <v>5</v>
      </c>
      <c r="G16" s="10">
        <f>SUM(G12:G15)</f>
        <v>1</v>
      </c>
      <c r="H16" s="7"/>
      <c r="I16" s="10"/>
      <c r="J16" s="7"/>
      <c r="K16" s="10"/>
      <c r="L16" s="7"/>
      <c r="M16" s="2"/>
      <c r="N16" s="8"/>
      <c r="O16" s="8"/>
    </row>
    <row r="17" spans="2:16" ht="14.4" x14ac:dyDescent="0.25">
      <c r="B17" s="47" t="s">
        <v>28</v>
      </c>
      <c r="C17" s="47"/>
      <c r="D17" s="47"/>
      <c r="E17" s="47"/>
      <c r="F17" s="29">
        <v>0.35</v>
      </c>
      <c r="G17" s="47" t="s">
        <v>29</v>
      </c>
      <c r="H17" s="47"/>
      <c r="I17" s="47"/>
      <c r="J17" s="47"/>
      <c r="K17" s="47"/>
      <c r="L17" s="47"/>
      <c r="M17" s="22" t="s">
        <v>15</v>
      </c>
      <c r="N17" s="11"/>
      <c r="O17" s="11"/>
      <c r="P17" s="11"/>
    </row>
    <row r="18" spans="2:16" ht="14.4" x14ac:dyDescent="0.25">
      <c r="E18" s="12" t="str">
        <f>E12</f>
        <v>Partner 1</v>
      </c>
      <c r="G18" s="29">
        <f>M18/M22</f>
        <v>0.33333333333333331</v>
      </c>
      <c r="H18" s="7">
        <f>G18*F17</f>
        <v>0.11666666666666665</v>
      </c>
      <c r="I18" s="28"/>
      <c r="J18" s="30"/>
      <c r="K18" s="28"/>
      <c r="L18" s="30"/>
      <c r="M18" s="13">
        <v>500000</v>
      </c>
      <c r="N18" s="8"/>
      <c r="O18" s="8"/>
    </row>
    <row r="19" spans="2:16" ht="14.4" x14ac:dyDescent="0.25">
      <c r="E19" s="12" t="str">
        <f>E13</f>
        <v>Partner 2</v>
      </c>
      <c r="G19" s="29">
        <f>M19/M22</f>
        <v>0.33333333333333331</v>
      </c>
      <c r="H19" s="7">
        <f>G19*F17</f>
        <v>0.11666666666666665</v>
      </c>
      <c r="I19" s="28"/>
      <c r="J19" s="30"/>
      <c r="K19" s="28"/>
      <c r="L19" s="30"/>
      <c r="M19" s="13">
        <v>500000</v>
      </c>
      <c r="N19" s="8"/>
      <c r="O19" s="8"/>
    </row>
    <row r="20" spans="2:16" ht="14.4" x14ac:dyDescent="0.25">
      <c r="E20" s="12" t="str">
        <f>E14</f>
        <v>Partner 3</v>
      </c>
      <c r="G20" s="29">
        <f>M20/M22</f>
        <v>0.16666666666666666</v>
      </c>
      <c r="H20" s="7">
        <f>G20*F17</f>
        <v>5.8333333333333327E-2</v>
      </c>
      <c r="I20" s="28"/>
      <c r="J20" s="30"/>
      <c r="K20" s="28"/>
      <c r="L20" s="30"/>
      <c r="M20" s="13">
        <v>250000</v>
      </c>
      <c r="N20" s="8"/>
      <c r="O20" s="8"/>
    </row>
    <row r="21" spans="2:16" ht="14.4" x14ac:dyDescent="0.25">
      <c r="E21" s="12" t="str">
        <f>E15</f>
        <v>Partner 4</v>
      </c>
      <c r="G21" s="29">
        <f>M21/M22</f>
        <v>0.16666666666666666</v>
      </c>
      <c r="H21" s="7">
        <f>G21*F17</f>
        <v>5.8333333333333327E-2</v>
      </c>
      <c r="I21" s="28"/>
      <c r="J21" s="30"/>
      <c r="K21" s="28"/>
      <c r="L21" s="30"/>
      <c r="M21" s="13">
        <v>250000</v>
      </c>
      <c r="N21" s="8"/>
      <c r="O21" s="8"/>
    </row>
    <row r="22" spans="2:16" ht="13.2" x14ac:dyDescent="0.25">
      <c r="E22" s="9" t="s">
        <v>5</v>
      </c>
      <c r="G22" s="10">
        <f>SUM(G18:G21)</f>
        <v>0.99999999999999989</v>
      </c>
      <c r="H22" s="7"/>
      <c r="I22" s="10"/>
      <c r="J22" s="7"/>
      <c r="K22" s="10"/>
      <c r="L22" s="7"/>
      <c r="M22" s="14">
        <f>SUM(M18:M21)</f>
        <v>1500000</v>
      </c>
      <c r="N22" s="8"/>
      <c r="O22" s="8"/>
    </row>
    <row r="23" spans="2:16" ht="14.4" x14ac:dyDescent="0.2">
      <c r="B23" s="47" t="s">
        <v>31</v>
      </c>
      <c r="C23" s="47"/>
      <c r="D23" s="47"/>
      <c r="E23" s="47"/>
      <c r="F23" s="29">
        <v>0.1</v>
      </c>
      <c r="G23" s="45" t="s">
        <v>30</v>
      </c>
      <c r="H23" s="45"/>
      <c r="I23" s="45"/>
      <c r="J23" s="45"/>
      <c r="K23" s="45"/>
      <c r="L23" s="45"/>
      <c r="M23" s="11"/>
      <c r="N23" s="11"/>
      <c r="O23" s="11"/>
      <c r="P23" s="11"/>
    </row>
    <row r="24" spans="2:16" ht="14.4" x14ac:dyDescent="0.25">
      <c r="E24" s="12" t="str">
        <f>E12</f>
        <v>Partner 1</v>
      </c>
      <c r="G24" s="29">
        <v>0.4</v>
      </c>
      <c r="H24" s="7">
        <f>G24*F23</f>
        <v>4.0000000000000008E-2</v>
      </c>
      <c r="I24" s="28"/>
      <c r="J24" s="30"/>
      <c r="K24" s="28"/>
      <c r="L24" s="30"/>
      <c r="M24" s="2" t="s">
        <v>23</v>
      </c>
      <c r="N24" s="8"/>
      <c r="O24" s="8"/>
    </row>
    <row r="25" spans="2:16" ht="12.75" customHeight="1" x14ac:dyDescent="0.25">
      <c r="E25" s="12" t="str">
        <f>E13</f>
        <v>Partner 2</v>
      </c>
      <c r="G25" s="29">
        <v>0.6</v>
      </c>
      <c r="H25" s="7">
        <f>G25*F23</f>
        <v>0.06</v>
      </c>
      <c r="I25" s="28"/>
      <c r="J25" s="30"/>
      <c r="K25" s="28"/>
      <c r="L25" s="30"/>
      <c r="M25" s="2" t="s">
        <v>33</v>
      </c>
      <c r="N25" s="8"/>
      <c r="O25" s="8"/>
    </row>
    <row r="26" spans="2:16" ht="12.75" customHeight="1" x14ac:dyDescent="0.25">
      <c r="E26" s="12" t="str">
        <f>E14</f>
        <v>Partner 3</v>
      </c>
      <c r="G26" s="29">
        <v>0</v>
      </c>
      <c r="H26" s="7">
        <f>G26*F23</f>
        <v>0</v>
      </c>
      <c r="I26" s="28"/>
      <c r="J26" s="30"/>
      <c r="K26" s="28"/>
      <c r="L26" s="30"/>
      <c r="M26" s="2"/>
      <c r="N26" s="8"/>
      <c r="O26" s="8"/>
    </row>
    <row r="27" spans="2:16" ht="12.75" customHeight="1" x14ac:dyDescent="0.25">
      <c r="E27" s="12" t="str">
        <f>E15</f>
        <v>Partner 4</v>
      </c>
      <c r="G27" s="29">
        <v>0</v>
      </c>
      <c r="H27" s="7">
        <f>G27*F23</f>
        <v>0</v>
      </c>
      <c r="I27" s="28"/>
      <c r="J27" s="30"/>
      <c r="K27" s="28"/>
      <c r="L27" s="30"/>
      <c r="M27" s="2"/>
      <c r="N27" s="8"/>
      <c r="O27" s="8"/>
    </row>
    <row r="28" spans="2:16" ht="13.2" x14ac:dyDescent="0.25">
      <c r="E28" s="9" t="s">
        <v>5</v>
      </c>
      <c r="G28" s="10">
        <f>SUM(G24:G27)</f>
        <v>1</v>
      </c>
      <c r="H28" s="7"/>
      <c r="I28" s="10"/>
      <c r="J28" s="7"/>
      <c r="K28" s="10"/>
      <c r="L28" s="7"/>
      <c r="M28" s="2" t="s">
        <v>34</v>
      </c>
      <c r="N28" s="8"/>
      <c r="O28" s="8"/>
    </row>
    <row r="29" spans="2:16" ht="14.4" x14ac:dyDescent="0.2">
      <c r="B29" s="47" t="s">
        <v>7</v>
      </c>
      <c r="C29" s="47"/>
      <c r="D29" s="47"/>
      <c r="E29" s="47"/>
      <c r="F29" s="29">
        <v>0.4</v>
      </c>
      <c r="G29" s="45" t="s">
        <v>32</v>
      </c>
      <c r="H29" s="45"/>
      <c r="I29" s="45"/>
      <c r="J29" s="45"/>
      <c r="K29" s="45"/>
      <c r="L29" s="45"/>
      <c r="M29" s="11"/>
      <c r="N29" s="11"/>
      <c r="O29" s="11"/>
      <c r="P29" s="11"/>
    </row>
    <row r="30" spans="2:16" ht="14.4" x14ac:dyDescent="0.25">
      <c r="E30" s="12" t="str">
        <f>E24</f>
        <v>Partner 1</v>
      </c>
      <c r="G30" s="29">
        <v>0.6</v>
      </c>
      <c r="H30" s="7">
        <f>G30*F29</f>
        <v>0.24</v>
      </c>
      <c r="I30" s="28"/>
      <c r="J30" s="30"/>
      <c r="K30" s="28"/>
      <c r="L30" s="30"/>
      <c r="M30" s="2" t="s">
        <v>8</v>
      </c>
      <c r="N30" s="8"/>
      <c r="O30" s="8"/>
    </row>
    <row r="31" spans="2:16" ht="12.75" customHeight="1" x14ac:dyDescent="0.25">
      <c r="E31" s="12" t="str">
        <f>E25</f>
        <v>Partner 2</v>
      </c>
      <c r="G31" s="29">
        <v>0.2</v>
      </c>
      <c r="H31" s="7">
        <f>G31*F29</f>
        <v>8.0000000000000016E-2</v>
      </c>
      <c r="I31" s="28"/>
      <c r="J31" s="30"/>
      <c r="K31" s="28"/>
      <c r="L31" s="30"/>
      <c r="M31" s="2" t="s">
        <v>4</v>
      </c>
      <c r="N31" s="8"/>
      <c r="O31" s="8"/>
    </row>
    <row r="32" spans="2:16" ht="12.75" customHeight="1" x14ac:dyDescent="0.25">
      <c r="E32" s="12" t="str">
        <f>E26</f>
        <v>Partner 3</v>
      </c>
      <c r="G32" s="29">
        <v>0.1</v>
      </c>
      <c r="H32" s="7">
        <f>G32*F29</f>
        <v>4.0000000000000008E-2</v>
      </c>
      <c r="I32" s="28"/>
      <c r="J32" s="30"/>
      <c r="K32" s="28"/>
      <c r="L32" s="30"/>
      <c r="M32" s="2"/>
      <c r="N32" s="8"/>
      <c r="O32" s="8"/>
    </row>
    <row r="33" spans="1:16" ht="12.75" customHeight="1" x14ac:dyDescent="0.25">
      <c r="E33" s="12" t="str">
        <f>E27</f>
        <v>Partner 4</v>
      </c>
      <c r="G33" s="29">
        <v>0.1</v>
      </c>
      <c r="H33" s="7">
        <f>G33*F29</f>
        <v>4.0000000000000008E-2</v>
      </c>
      <c r="I33" s="28"/>
      <c r="J33" s="30"/>
      <c r="K33" s="28"/>
      <c r="L33" s="30"/>
      <c r="M33" s="2"/>
      <c r="N33" s="8"/>
      <c r="O33" s="8"/>
    </row>
    <row r="34" spans="1:16" ht="13.2" x14ac:dyDescent="0.25">
      <c r="E34" s="9" t="s">
        <v>5</v>
      </c>
      <c r="G34" s="10">
        <f>SUM(G30:G33)</f>
        <v>1</v>
      </c>
      <c r="H34" s="7"/>
      <c r="I34" s="10"/>
      <c r="J34" s="7"/>
      <c r="K34" s="10"/>
      <c r="L34" s="7"/>
      <c r="M34" s="2"/>
      <c r="N34" s="8"/>
      <c r="O34" s="8"/>
    </row>
    <row r="35" spans="1:16" ht="12" x14ac:dyDescent="0.2">
      <c r="A35" s="38"/>
      <c r="B35" s="40"/>
      <c r="C35" s="40"/>
      <c r="D35" s="40"/>
      <c r="E35" s="41" t="s">
        <v>9</v>
      </c>
      <c r="F35" s="42">
        <f>SUM(F5:F34)</f>
        <v>1</v>
      </c>
      <c r="G35" s="43"/>
      <c r="H35" s="42">
        <f>SUM(H5:H34)</f>
        <v>1.0000000000000002</v>
      </c>
      <c r="I35" s="43"/>
      <c r="J35" s="42">
        <f>SUM(J5:J34)</f>
        <v>0</v>
      </c>
      <c r="K35" s="43"/>
      <c r="L35" s="42">
        <f>SUM(L5:L34)</f>
        <v>0</v>
      </c>
      <c r="M35" s="44"/>
      <c r="N35" s="44"/>
      <c r="O35" s="44"/>
      <c r="P35" s="44"/>
    </row>
    <row r="36" spans="1:16" ht="24" x14ac:dyDescent="0.25">
      <c r="A36" s="39"/>
      <c r="B36" s="37" t="s">
        <v>11</v>
      </c>
      <c r="C36" s="32"/>
      <c r="D36" s="32"/>
      <c r="E36" s="15"/>
      <c r="F36" s="16"/>
      <c r="G36" s="17"/>
      <c r="H36" s="24" t="s">
        <v>2</v>
      </c>
      <c r="I36" s="17"/>
      <c r="J36" s="24" t="s">
        <v>21</v>
      </c>
      <c r="K36" s="17"/>
      <c r="L36" s="24" t="s">
        <v>22</v>
      </c>
      <c r="M36" s="27" t="s">
        <v>24</v>
      </c>
      <c r="N36" s="18"/>
      <c r="O36" s="18"/>
      <c r="P36" s="18"/>
    </row>
    <row r="37" spans="1:16" ht="12" x14ac:dyDescent="0.2">
      <c r="A37" s="39"/>
      <c r="B37" s="31"/>
      <c r="C37" s="31"/>
      <c r="D37" s="31"/>
      <c r="E37" s="19" t="str">
        <f>E30</f>
        <v>Partner 1</v>
      </c>
      <c r="F37" s="5"/>
      <c r="G37" s="5"/>
      <c r="H37" s="25">
        <f>H6+H12+H24+H30+H18</f>
        <v>0.44666666666666666</v>
      </c>
      <c r="I37" s="25"/>
      <c r="J37" s="25">
        <v>0.45</v>
      </c>
      <c r="K37" s="25"/>
      <c r="L37" s="25">
        <v>0.9</v>
      </c>
      <c r="M37" s="20">
        <f>M41*H37</f>
        <v>0.13400000000000001</v>
      </c>
      <c r="N37" s="5"/>
      <c r="O37" s="5"/>
      <c r="P37" s="5"/>
    </row>
    <row r="38" spans="1:16" ht="14.4" x14ac:dyDescent="0.3">
      <c r="A38" s="39"/>
      <c r="B38" s="31"/>
      <c r="C38" s="33" t="s">
        <v>12</v>
      </c>
      <c r="D38" s="36">
        <v>0.7</v>
      </c>
      <c r="E38" s="19" t="str">
        <f>E31</f>
        <v>Partner 2</v>
      </c>
      <c r="F38" s="5"/>
      <c r="G38" s="5"/>
      <c r="H38" s="25">
        <f>H7+H13+H19+H25+H31</f>
        <v>0.35666666666666669</v>
      </c>
      <c r="I38" s="25"/>
      <c r="J38" s="25">
        <v>0.45</v>
      </c>
      <c r="K38" s="25"/>
      <c r="L38" s="25">
        <v>0.1</v>
      </c>
      <c r="M38" s="20">
        <f>M41*H38</f>
        <v>0.10700000000000003</v>
      </c>
      <c r="N38" s="5"/>
      <c r="O38" s="5"/>
      <c r="P38" s="5"/>
    </row>
    <row r="39" spans="1:16" ht="12" x14ac:dyDescent="0.25">
      <c r="A39" s="39"/>
      <c r="B39" s="31"/>
      <c r="C39" s="33" t="s">
        <v>13</v>
      </c>
      <c r="D39" s="34">
        <f>D40-D38</f>
        <v>0.30000000000000004</v>
      </c>
      <c r="E39" s="19" t="str">
        <f>E32</f>
        <v>Partner 3</v>
      </c>
      <c r="F39" s="5"/>
      <c r="G39" s="5"/>
      <c r="H39" s="25">
        <f t="shared" ref="H39:H40" si="1">H8+H14+H20+H26+H32</f>
        <v>9.8333333333333328E-2</v>
      </c>
      <c r="I39" s="25"/>
      <c r="J39" s="25">
        <v>0.05</v>
      </c>
      <c r="K39" s="25"/>
      <c r="L39" s="25">
        <f t="shared" ref="L39" si="2">L8+L14+L26+L32</f>
        <v>0</v>
      </c>
      <c r="M39" s="20">
        <f>M41*H39</f>
        <v>2.9500000000000002E-2</v>
      </c>
      <c r="N39" s="5"/>
      <c r="O39" s="5"/>
      <c r="P39" s="5"/>
    </row>
    <row r="40" spans="1:16" ht="12" x14ac:dyDescent="0.2">
      <c r="A40" s="39"/>
      <c r="B40" s="31"/>
      <c r="C40" s="31"/>
      <c r="D40" s="35">
        <v>1</v>
      </c>
      <c r="E40" s="19" t="str">
        <f>E33</f>
        <v>Partner 4</v>
      </c>
      <c r="F40" s="5"/>
      <c r="G40" s="5"/>
      <c r="H40" s="25">
        <f t="shared" si="1"/>
        <v>9.8333333333333328E-2</v>
      </c>
      <c r="I40" s="25"/>
      <c r="J40" s="25">
        <v>0.05</v>
      </c>
      <c r="K40" s="25"/>
      <c r="L40" s="25">
        <f t="shared" ref="L40" si="3">L9+L15+L27+L33+L21</f>
        <v>0</v>
      </c>
      <c r="M40" s="20">
        <f>M41*H40</f>
        <v>2.9500000000000002E-2</v>
      </c>
      <c r="N40" s="5"/>
      <c r="O40" s="5"/>
      <c r="P40" s="5"/>
    </row>
    <row r="41" spans="1:16" ht="12" x14ac:dyDescent="0.25">
      <c r="H41" s="26">
        <f>SUM(H37:H40)</f>
        <v>1</v>
      </c>
      <c r="I41" s="26"/>
      <c r="J41" s="26">
        <f t="shared" ref="J41:L41" si="4">SUM(J37:J40)</f>
        <v>1</v>
      </c>
      <c r="K41" s="26"/>
      <c r="L41" s="26">
        <f t="shared" si="4"/>
        <v>1</v>
      </c>
      <c r="M41" s="21">
        <f>D39</f>
        <v>0.30000000000000004</v>
      </c>
    </row>
  </sheetData>
  <mergeCells count="11">
    <mergeCell ref="B2:G2"/>
    <mergeCell ref="G5:P5"/>
    <mergeCell ref="G11:P11"/>
    <mergeCell ref="G17:L17"/>
    <mergeCell ref="G23:L23"/>
    <mergeCell ref="G29:L29"/>
    <mergeCell ref="B5:E5"/>
    <mergeCell ref="B11:E11"/>
    <mergeCell ref="B17:E17"/>
    <mergeCell ref="B23:E23"/>
    <mergeCell ref="B29:E29"/>
  </mergeCells>
  <pageMargins left="0.28000000000000003" right="0.24" top="1" bottom="1" header="0.5" footer="0.5"/>
  <pageSetup scale="8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Returns</vt:lpstr>
      <vt:lpstr>Returns!Print_Area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cp:lastPrinted>2018-01-31T17:21:44Z</cp:lastPrinted>
  <dcterms:created xsi:type="dcterms:W3CDTF">2017-06-30T01:20:55Z</dcterms:created>
  <dcterms:modified xsi:type="dcterms:W3CDTF">2024-01-21T01:21:11Z</dcterms:modified>
</cp:coreProperties>
</file>