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FA\Tools\Market Analysis\"/>
    </mc:Choice>
  </mc:AlternateContent>
  <xr:revisionPtr revIDLastSave="0" documentId="13_ncr:1_{A2A8BC57-707B-48C7-9C7A-727ACC929C2D}" xr6:coauthVersionLast="47" xr6:coauthVersionMax="47" xr10:uidLastSave="{00000000-0000-0000-0000-000000000000}"/>
  <bookViews>
    <workbookView xWindow="-110" yWindow="-110" windowWidth="38620" windowHeight="15500" xr2:uid="{87A000BC-4A67-4E5C-B555-14F130942618}"/>
  </bookViews>
  <sheets>
    <sheet name="MFA Market Analysis" sheetId="1" r:id="rId1"/>
  </sheets>
  <externalReferences>
    <externalReference r:id="rId2"/>
  </externalReferences>
  <definedNames>
    <definedName name="_Order1" hidden="1">0</definedName>
    <definedName name="IntroPrintArea" localSheetId="0" hidden="1">#REF!</definedName>
    <definedName name="IntroPrintArea" hidden="1">#REF!</definedName>
    <definedName name="RentGraphInPlaceRent">INDIRECT([1]Summary!$AN$134)</definedName>
    <definedName name="RentGraphLabels">INDIRECT([1]Summary!$AN$128)</definedName>
    <definedName name="RentGraphMarket">INDIRECT([1]Summary!$AN$129)</definedName>
    <definedName name="RentGraphMarketRentAdd">INDIRECT([1]Summary!$AN$135)</definedName>
    <definedName name="RentGraphReno">INDIRECT([1]Summary!$AN$130)</definedName>
    <definedName name="RentGraphRenoUnits">INDIRECT([1]Summary!$AN$133)</definedName>
    <definedName name="RentGraphTotal">INDIRECT([1]Summary!$AN$131)</definedName>
    <definedName name="RentGraphTotalUnits">INDIRECT([1]Summary!$AN$132)</definedName>
    <definedName name="ROIAbove">INDIRECT([1]Summary!$AY$128)</definedName>
    <definedName name="ROIBelow">INDIRECT([1]Summary!$AY$129)</definedName>
    <definedName name="ROIGoal">INDIRECT([1]Summary!$AY$130)</definedName>
    <definedName name="UnitMixLabels">INDIRECT([1]Summary!$AT$128)</definedName>
    <definedName name="UnitMixValues">INDIRECT([1]Summary!$AT$129)</definedName>
    <definedName name="UW_Baths">'[1]UW Model'!$F$28:$F$42</definedName>
    <definedName name="UW_Beds">'[1]UW Model'!$E$28:$E$42</definedName>
    <definedName name="UW_InPlaceRent">'[1]UW Model'!$I$28:$I$42</definedName>
    <definedName name="UW_MarketRent">'[1]UW Model'!$L$28:$L$42</definedName>
    <definedName name="UW_SF">'[1]UW Model'!$G$28:$G$42</definedName>
    <definedName name="UW_Units">'[1]UW Model'!$H$28:$H$42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X18" i="1" s="1"/>
  <c r="X24" i="1"/>
  <c r="W24" i="1" s="1"/>
  <c r="X23" i="1"/>
  <c r="W23" i="1" s="1"/>
  <c r="X22" i="1"/>
  <c r="D22" i="1" s="1"/>
  <c r="X21" i="1"/>
  <c r="D21" i="1" s="1"/>
  <c r="X20" i="1"/>
  <c r="W20" i="1" s="1"/>
  <c r="F19" i="1"/>
  <c r="E19" i="1"/>
  <c r="X17" i="1"/>
  <c r="W17" i="1" s="1"/>
  <c r="X16" i="1"/>
  <c r="W16" i="1" s="1"/>
  <c r="X15" i="1"/>
  <c r="W15" i="1" s="1"/>
  <c r="X14" i="1"/>
  <c r="W14" i="1" s="1"/>
  <c r="X13" i="1"/>
  <c r="D13" i="1" s="1"/>
  <c r="X12" i="1"/>
  <c r="W12" i="1" s="1"/>
  <c r="D12" i="1"/>
  <c r="X11" i="1"/>
  <c r="W11" i="1" s="1"/>
  <c r="X10" i="1"/>
  <c r="W10" i="1" s="1"/>
  <c r="X9" i="1"/>
  <c r="W9" i="1" s="1"/>
  <c r="X8" i="1"/>
  <c r="D8" i="1" s="1"/>
  <c r="X7" i="1"/>
  <c r="E7" i="1"/>
  <c r="D3" i="1"/>
  <c r="W21" i="1" l="1"/>
  <c r="D16" i="1"/>
  <c r="D14" i="1"/>
  <c r="D11" i="1"/>
  <c r="X19" i="1"/>
  <c r="W19" i="1" s="1"/>
  <c r="D9" i="1"/>
  <c r="W8" i="1"/>
  <c r="D20" i="1"/>
  <c r="D23" i="1"/>
  <c r="W22" i="1"/>
  <c r="W13" i="1"/>
  <c r="D17" i="1"/>
  <c r="D18" i="1"/>
  <c r="W18" i="1"/>
  <c r="W7" i="1"/>
  <c r="D7" i="1"/>
  <c r="D15" i="1"/>
  <c r="D24" i="1"/>
  <c r="D10" i="1"/>
  <c r="D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Drummond</author>
  </authors>
  <commentList>
    <comment ref="D2" authorId="0" shapeId="0" xr:uid="{6FB3CB4E-4E3E-447C-AAB9-4D8509894C74}">
      <text>
        <r>
          <rPr>
            <sz val="9"/>
            <color indexed="81"/>
            <rFont val="Tahoma"/>
            <family val="2"/>
          </rPr>
          <t>Thresholds control the KPI colors and are based on performance to target (Col E).</t>
        </r>
      </text>
    </comment>
  </commentList>
</comments>
</file>

<file path=xl/sharedStrings.xml><?xml version="1.0" encoding="utf-8"?>
<sst xmlns="http://schemas.openxmlformats.org/spreadsheetml/2006/main" count="101" uniqueCount="79">
  <si>
    <t>Video Tutorial ▶️</t>
  </si>
  <si>
    <t>&lt; change upper target here</t>
  </si>
  <si>
    <t>&lt; change lower target here</t>
  </si>
  <si>
    <t>Category</t>
  </si>
  <si>
    <t>Measurement</t>
  </si>
  <si>
    <t>KPI</t>
  </si>
  <si>
    <t>Target</t>
  </si>
  <si>
    <t>Value</t>
  </si>
  <si>
    <t>Comments</t>
  </si>
  <si>
    <t>Resources</t>
  </si>
  <si>
    <t>perf to tgt</t>
  </si>
  <si>
    <t>Demographics</t>
  </si>
  <si>
    <t>*Population Growth since 2000</t>
  </si>
  <si>
    <t xml:space="preserve"> 20% population growth from 2000-2017.  Add 1.25% for each year past 2017 (1% for &gt;1M, 2% &lt; 250k)</t>
  </si>
  <si>
    <t>Google.com - search city name + population</t>
  </si>
  <si>
    <t>City-Data.com</t>
  </si>
  <si>
    <t>Poverty Rate</t>
  </si>
  <si>
    <t>https://www.census.gov/quickfacts</t>
  </si>
  <si>
    <t>https://censusreporter.org/</t>
  </si>
  <si>
    <t>College Graduates</t>
  </si>
  <si>
    <t xml:space="preserve"> </t>
  </si>
  <si>
    <t>Crime Index</t>
  </si>
  <si>
    <t>https://www.bestplaces.net/</t>
  </si>
  <si>
    <t>https://www.city-data.com/crime/</t>
  </si>
  <si>
    <t>Income</t>
  </si>
  <si>
    <t>*Median Household Income</t>
  </si>
  <si>
    <t>https://justicemap.org</t>
  </si>
  <si>
    <t>*Median Household Income Growth since 2000</t>
  </si>
  <si>
    <t>30% growth in median HH income from 2000-2016. For each year past 2016, add 2%</t>
  </si>
  <si>
    <t>Housing</t>
  </si>
  <si>
    <t>Landlord Friendly</t>
  </si>
  <si>
    <t>Yes</t>
  </si>
  <si>
    <t>See Rent Café's graph below</t>
  </si>
  <si>
    <t>https://www.thebalancesmb.com/best-states-for-landlords-in-2019-4585108</t>
  </si>
  <si>
    <t>avail.co</t>
  </si>
  <si>
    <t>Median Household Value</t>
  </si>
  <si>
    <t>This is market specific.  Be sure to adjust the target as necessisary</t>
  </si>
  <si>
    <t>census.gov/quickfacts</t>
  </si>
  <si>
    <t>Median Household Value Growth since 2000</t>
  </si>
  <si>
    <t>https://www.zillow.com/research/data/</t>
  </si>
  <si>
    <t>Owner Occupied Housing Unit Rate</t>
  </si>
  <si>
    <t>Median Gross Rent</t>
  </si>
  <si>
    <t>Costar Report</t>
  </si>
  <si>
    <t>Median Gross Rent vs. Median HH Income</t>
  </si>
  <si>
    <t>*Max Possible Rent</t>
  </si>
  <si>
    <t>Income 3X avg annual rent.</t>
  </si>
  <si>
    <t>Livability Score</t>
  </si>
  <si>
    <t>https://www.areavibes.com/</t>
  </si>
  <si>
    <t>Vacancy Rate</t>
  </si>
  <si>
    <t>Use the submarket vacancy</t>
  </si>
  <si>
    <t>Employment</t>
  </si>
  <si>
    <t>*Job Growth</t>
  </si>
  <si>
    <t>2% annualized</t>
  </si>
  <si>
    <t>www.bls.gov  use the "Regions, States &amp; Areas at a Glance" feature</t>
  </si>
  <si>
    <t>https://www.deptofnumbers.com/employment/metros/</t>
  </si>
  <si>
    <t>*Job Diversity</t>
  </si>
  <si>
    <t>https://datausa.io/</t>
  </si>
  <si>
    <t>https://www.bls.gov/</t>
  </si>
  <si>
    <t>Unemployment Rate</t>
  </si>
  <si>
    <t>Dept of numbers has very current data</t>
  </si>
  <si>
    <t>www.bestplaces.net</t>
  </si>
  <si>
    <t>Useful Charts</t>
  </si>
  <si>
    <t>Look up the target city and paste the employment by Industry graph below</t>
  </si>
  <si>
    <t>Additional Resources</t>
  </si>
  <si>
    <t>Areavibes.com</t>
  </si>
  <si>
    <t>Homefacts.com</t>
  </si>
  <si>
    <t>Deptofnumbers.com</t>
  </si>
  <si>
    <t>Neighborhoodscout.com</t>
  </si>
  <si>
    <t>Worldpopulationreview.com</t>
  </si>
  <si>
    <t>zipatlas.com</t>
  </si>
  <si>
    <t>Lifetime Cashflow Academy - Multifamily Mastery Course - Module 3</t>
  </si>
  <si>
    <t>www.spotcrime.com</t>
  </si>
  <si>
    <t>https://weareapartments.org/</t>
  </si>
  <si>
    <t>http://www.justicemap.org/</t>
  </si>
  <si>
    <t>https://www.ratemap.org/</t>
  </si>
  <si>
    <t>HL Insurance rates by region</t>
  </si>
  <si>
    <t xml:space="preserve">Less than the national index &amp; downward trend. </t>
  </si>
  <si>
    <r>
      <rPr>
        <sz val="9"/>
        <rFont val="Calibri"/>
        <family val="2"/>
      </rPr>
      <t>≥</t>
    </r>
    <r>
      <rPr>
        <sz val="9"/>
        <rFont val="Calibri"/>
        <family val="2"/>
        <scheme val="minor"/>
      </rPr>
      <t xml:space="preserve"> US Avg.</t>
    </r>
  </si>
  <si>
    <r>
      <t xml:space="preserve">One </t>
    </r>
    <r>
      <rPr>
        <u/>
        <sz val="9"/>
        <rFont val="Calibri"/>
        <family val="2"/>
        <scheme val="minor"/>
      </rPr>
      <t>industry</t>
    </r>
    <r>
      <rPr>
        <sz val="9"/>
        <rFont val="Calibri"/>
        <family val="2"/>
        <scheme val="minor"/>
      </rPr>
      <t xml:space="preserve"> does not account for more than 20% of a job market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</si>
</sst>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≥ &quot;0%"/>
    <numFmt numFmtId="165" formatCode="&quot;&lt; &quot;0%"/>
    <numFmt numFmtId="166" formatCode="&quot;&gt;&quot;0%"/>
    <numFmt numFmtId="167" formatCode="0.0%"/>
    <numFmt numFmtId="168" formatCode="&quot;≤ &quot;0%"/>
    <numFmt numFmtId="169" formatCode="&quot;≤ &quot;0"/>
    <numFmt numFmtId="170" formatCode="&quot;≥ &quot;&quot;$&quot;#,#00"/>
    <numFmt numFmtId="171" formatCode="&quot;$&quot;#,##0"/>
    <numFmt numFmtId="172" formatCode="&quot;≥ &quot;0.0%"/>
    <numFmt numFmtId="173" formatCode="&quot;≥ &quot;#&quot;x&quot;"/>
    <numFmt numFmtId="174" formatCode="0.0&quot;x&quot;"/>
    <numFmt numFmtId="175" formatCode="&quot;≥ &quot;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9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u/>
      <sz val="14"/>
      <color theme="0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b/>
      <sz val="14"/>
      <color rgb="FF13545E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0"/>
      <name val="Calibri"/>
      <family val="2"/>
      <scheme val="minor"/>
    </font>
    <font>
      <u/>
      <sz val="9"/>
      <color rgb="FF0563C1"/>
      <name val="Calibri"/>
      <family val="2"/>
      <scheme val="minor"/>
    </font>
    <font>
      <u/>
      <sz val="9"/>
      <color rgb="FF0000FF"/>
      <name val="Calibri"/>
      <family val="2"/>
      <scheme val="minor"/>
    </font>
    <font>
      <u/>
      <sz val="8"/>
      <color theme="10"/>
      <name val="Calibri Light"/>
      <family val="2"/>
      <scheme val="major"/>
    </font>
    <font>
      <b/>
      <sz val="14"/>
      <color rgb="FFFFFFFF"/>
      <name val="Calibri"/>
      <family val="2"/>
      <scheme val="minor"/>
    </font>
    <font>
      <u/>
      <sz val="9"/>
      <color rgb="FF1155CC"/>
      <name val="Calibri"/>
      <family val="2"/>
      <scheme val="minor"/>
    </font>
    <font>
      <sz val="9"/>
      <color indexed="81"/>
      <name val="Tahoma"/>
      <family val="2"/>
    </font>
    <font>
      <sz val="10"/>
      <color theme="5" tint="-0.249977111117893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u/>
      <sz val="9"/>
      <name val="Calibri"/>
      <family val="2"/>
      <scheme val="minor"/>
    </font>
    <font>
      <b/>
      <sz val="9"/>
      <color rgb="FF13545E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13545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3545E"/>
        <bgColor rgb="FFCC0000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theme="1"/>
      </left>
      <right style="dotted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ashed">
        <color theme="1" tint="0.34998626667073579"/>
      </left>
      <right style="dashed">
        <color theme="1" tint="0.34998626667073579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ashed">
        <color theme="1" tint="0.34998626667073579"/>
      </left>
      <right style="dashed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ed">
        <color theme="1" tint="0.34998626667073579"/>
      </left>
      <right style="dashed">
        <color theme="1" tint="0.34998626667073579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theme="1" tint="0.34998626667073579"/>
      </left>
      <right style="dashed">
        <color theme="1" tint="0.34998626667073579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theme="1" tint="0.34998626667073579"/>
      </left>
      <right style="dashed">
        <color theme="1" tint="0.34998626667073579"/>
      </right>
      <top style="thin">
        <color theme="1" tint="0.34998626667073579"/>
      </top>
      <bottom/>
      <diagonal/>
    </border>
    <border>
      <left style="dashed">
        <color theme="1" tint="0.34998626667073579"/>
      </left>
      <right style="dashed">
        <color theme="1" tint="0.34998626667073579"/>
      </right>
      <top style="thin">
        <color indexed="64"/>
      </top>
      <bottom style="medium">
        <color indexed="64"/>
      </bottom>
      <diagonal/>
    </border>
    <border>
      <left style="dashed">
        <color theme="1" tint="0.34998626667073579"/>
      </left>
      <right style="medium">
        <color theme="1"/>
      </right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9" fontId="7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18">
    <xf numFmtId="0" fontId="0" fillId="0" borderId="0" xfId="0"/>
    <xf numFmtId="0" fontId="4" fillId="2" borderId="0" xfId="3" applyFont="1" applyFill="1"/>
    <xf numFmtId="0" fontId="4" fillId="0" borderId="0" xfId="3" applyFont="1"/>
    <xf numFmtId="164" fontId="5" fillId="3" borderId="0" xfId="3" applyNumberFormat="1" applyFont="1" applyFill="1" applyAlignment="1">
      <alignment horizontal="center" vertical="center"/>
    </xf>
    <xf numFmtId="0" fontId="6" fillId="2" borderId="0" xfId="3" applyFont="1" applyFill="1"/>
    <xf numFmtId="9" fontId="8" fillId="4" borderId="0" xfId="4" applyFont="1" applyFill="1" applyBorder="1" applyAlignment="1">
      <alignment horizontal="center"/>
    </xf>
    <xf numFmtId="0" fontId="9" fillId="2" borderId="0" xfId="2" applyFont="1" applyFill="1" applyAlignment="1">
      <alignment horizontal="right" indent="2"/>
    </xf>
    <xf numFmtId="165" fontId="5" fillId="5" borderId="0" xfId="3" applyNumberFormat="1" applyFont="1" applyFill="1" applyAlignment="1">
      <alignment horizontal="center" vertical="center"/>
    </xf>
    <xf numFmtId="0" fontId="10" fillId="2" borderId="0" xfId="3" applyFont="1" applyFill="1"/>
    <xf numFmtId="0" fontId="11" fillId="6" borderId="1" xfId="3" applyFont="1" applyFill="1" applyBorder="1" applyAlignment="1">
      <alignment vertical="center"/>
    </xf>
    <xf numFmtId="0" fontId="11" fillId="6" borderId="2" xfId="3" applyFont="1" applyFill="1" applyBorder="1" applyAlignment="1">
      <alignment vertical="center"/>
    </xf>
    <xf numFmtId="9" fontId="11" fillId="6" borderId="2" xfId="4" applyFont="1" applyFill="1" applyBorder="1" applyAlignment="1">
      <alignment horizontal="center" vertical="center"/>
    </xf>
    <xf numFmtId="166" fontId="11" fillId="6" borderId="2" xfId="3" applyNumberFormat="1" applyFont="1" applyFill="1" applyBorder="1" applyAlignment="1">
      <alignment horizontal="center" vertical="center"/>
    </xf>
    <xf numFmtId="0" fontId="11" fillId="6" borderId="3" xfId="3" applyFont="1" applyFill="1" applyBorder="1" applyAlignment="1">
      <alignment vertical="center"/>
    </xf>
    <xf numFmtId="0" fontId="13" fillId="6" borderId="3" xfId="5" applyFont="1" applyFill="1" applyBorder="1" applyAlignment="1">
      <alignment horizontal="left" vertical="center"/>
    </xf>
    <xf numFmtId="0" fontId="14" fillId="6" borderId="4" xfId="3" applyFont="1" applyFill="1" applyBorder="1" applyAlignment="1">
      <alignment horizontal="left" vertical="center"/>
    </xf>
    <xf numFmtId="0" fontId="4" fillId="2" borderId="0" xfId="3" applyFont="1" applyFill="1" applyAlignment="1">
      <alignment vertical="top"/>
    </xf>
    <xf numFmtId="0" fontId="15" fillId="7" borderId="5" xfId="3" applyFont="1" applyFill="1" applyBorder="1" applyAlignment="1">
      <alignment horizontal="center" vertical="top"/>
    </xf>
    <xf numFmtId="0" fontId="16" fillId="7" borderId="6" xfId="3" applyFont="1" applyFill="1" applyBorder="1" applyAlignment="1">
      <alignment vertical="center"/>
    </xf>
    <xf numFmtId="0" fontId="4" fillId="0" borderId="7" xfId="3" applyFont="1" applyBorder="1" applyAlignment="1">
      <alignment horizontal="left" vertical="center"/>
    </xf>
    <xf numFmtId="164" fontId="5" fillId="7" borderId="6" xfId="3" applyNumberFormat="1" applyFont="1" applyFill="1" applyBorder="1" applyAlignment="1">
      <alignment horizontal="center" vertical="center"/>
    </xf>
    <xf numFmtId="0" fontId="17" fillId="7" borderId="6" xfId="5" applyFont="1" applyFill="1" applyBorder="1" applyAlignment="1">
      <alignment horizontal="left" vertical="center"/>
    </xf>
    <xf numFmtId="0" fontId="17" fillId="7" borderId="8" xfId="5" applyFont="1" applyFill="1" applyBorder="1" applyAlignment="1">
      <alignment horizontal="left" vertical="center"/>
    </xf>
    <xf numFmtId="0" fontId="4" fillId="0" borderId="0" xfId="3" applyFont="1" applyAlignment="1">
      <alignment vertical="top"/>
    </xf>
    <xf numFmtId="0" fontId="4" fillId="0" borderId="0" xfId="3" applyFont="1" applyAlignment="1">
      <alignment horizontal="left" vertical="center"/>
    </xf>
    <xf numFmtId="167" fontId="4" fillId="0" borderId="0" xfId="4" applyNumberFormat="1" applyFont="1" applyBorder="1" applyAlignment="1">
      <alignment horizontal="left" vertical="center"/>
    </xf>
    <xf numFmtId="0" fontId="18" fillId="7" borderId="9" xfId="3" applyFont="1" applyFill="1" applyBorder="1" applyAlignment="1">
      <alignment vertical="top"/>
    </xf>
    <xf numFmtId="0" fontId="16" fillId="7" borderId="10" xfId="3" applyFont="1" applyFill="1" applyBorder="1" applyAlignment="1">
      <alignment vertical="center"/>
    </xf>
    <xf numFmtId="0" fontId="4" fillId="0" borderId="10" xfId="3" applyFont="1" applyBorder="1" applyAlignment="1">
      <alignment horizontal="left" vertical="center"/>
    </xf>
    <xf numFmtId="168" fontId="5" fillId="7" borderId="10" xfId="3" applyNumberFormat="1" applyFont="1" applyFill="1" applyBorder="1" applyAlignment="1">
      <alignment horizontal="center" vertical="center"/>
    </xf>
    <xf numFmtId="0" fontId="17" fillId="7" borderId="10" xfId="5" applyFont="1" applyFill="1" applyBorder="1" applyAlignment="1">
      <alignment horizontal="left" vertical="center"/>
    </xf>
    <xf numFmtId="0" fontId="17" fillId="7" borderId="11" xfId="5" applyFont="1" applyFill="1" applyBorder="1" applyAlignment="1">
      <alignment horizontal="left" vertical="center"/>
    </xf>
    <xf numFmtId="164" fontId="5" fillId="7" borderId="10" xfId="4" applyNumberFormat="1" applyFont="1" applyFill="1" applyBorder="1" applyAlignment="1">
      <alignment horizontal="center" vertical="center"/>
    </xf>
    <xf numFmtId="0" fontId="18" fillId="7" borderId="12" xfId="3" applyFont="1" applyFill="1" applyBorder="1" applyAlignment="1">
      <alignment vertical="top"/>
    </xf>
    <xf numFmtId="0" fontId="16" fillId="7" borderId="13" xfId="3" applyFont="1" applyFill="1" applyBorder="1" applyAlignment="1">
      <alignment vertical="center"/>
    </xf>
    <xf numFmtId="0" fontId="4" fillId="0" borderId="14" xfId="3" applyFont="1" applyBorder="1" applyAlignment="1">
      <alignment horizontal="left" vertical="center"/>
    </xf>
    <xf numFmtId="169" fontId="5" fillId="7" borderId="13" xfId="3" applyNumberFormat="1" applyFont="1" applyFill="1" applyBorder="1" applyAlignment="1">
      <alignment horizontal="center" vertical="center"/>
    </xf>
    <xf numFmtId="0" fontId="17" fillId="7" borderId="13" xfId="2" applyFont="1" applyFill="1" applyBorder="1" applyAlignment="1">
      <alignment horizontal="left" vertical="center"/>
    </xf>
    <xf numFmtId="0" fontId="17" fillId="7" borderId="15" xfId="5" applyFont="1" applyFill="1" applyBorder="1" applyAlignment="1">
      <alignment horizontal="left" vertical="center"/>
    </xf>
    <xf numFmtId="0" fontId="16" fillId="7" borderId="16" xfId="3" applyFont="1" applyFill="1" applyBorder="1" applyAlignment="1">
      <alignment vertical="center"/>
    </xf>
    <xf numFmtId="0" fontId="4" fillId="0" borderId="17" xfId="3" applyFont="1" applyBorder="1" applyAlignment="1">
      <alignment horizontal="left" vertical="center"/>
    </xf>
    <xf numFmtId="170" fontId="5" fillId="7" borderId="10" xfId="3" applyNumberFormat="1" applyFont="1" applyFill="1" applyBorder="1" applyAlignment="1">
      <alignment horizontal="center" vertical="center"/>
    </xf>
    <xf numFmtId="0" fontId="17" fillId="7" borderId="16" xfId="5" applyFont="1" applyFill="1" applyBorder="1" applyAlignment="1">
      <alignment horizontal="left" vertical="center"/>
    </xf>
    <xf numFmtId="0" fontId="17" fillId="7" borderId="18" xfId="2" applyFont="1" applyFill="1" applyBorder="1" applyAlignment="1">
      <alignment horizontal="left" vertical="center"/>
    </xf>
    <xf numFmtId="0" fontId="18" fillId="7" borderId="12" xfId="3" applyFont="1" applyFill="1" applyBorder="1" applyAlignment="1">
      <alignment vertical="center"/>
    </xf>
    <xf numFmtId="0" fontId="16" fillId="7" borderId="13" xfId="3" applyFont="1" applyFill="1" applyBorder="1" applyAlignment="1">
      <alignment vertical="center" wrapText="1"/>
    </xf>
    <xf numFmtId="172" fontId="5" fillId="7" borderId="13" xfId="3" applyNumberFormat="1" applyFont="1" applyFill="1" applyBorder="1" applyAlignment="1">
      <alignment horizontal="center" vertical="center"/>
    </xf>
    <xf numFmtId="0" fontId="17" fillId="7" borderId="13" xfId="5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center" vertical="center" wrapText="1"/>
    </xf>
    <xf numFmtId="0" fontId="18" fillId="7" borderId="9" xfId="3" applyFont="1" applyFill="1" applyBorder="1" applyAlignment="1">
      <alignment vertical="center"/>
    </xf>
    <xf numFmtId="0" fontId="16" fillId="7" borderId="10" xfId="3" applyFont="1" applyFill="1" applyBorder="1" applyAlignment="1">
      <alignment vertical="center" wrapText="1"/>
    </xf>
    <xf numFmtId="0" fontId="10" fillId="2" borderId="0" xfId="3" applyFont="1" applyFill="1" applyAlignment="1">
      <alignment vertical="top"/>
    </xf>
    <xf numFmtId="0" fontId="19" fillId="7" borderId="10" xfId="5" applyFont="1" applyFill="1" applyBorder="1" applyAlignment="1">
      <alignment horizontal="left" vertical="center"/>
    </xf>
    <xf numFmtId="0" fontId="17" fillId="7" borderId="11" xfId="2" applyFont="1" applyFill="1" applyBorder="1" applyAlignment="1">
      <alignment horizontal="left" vertical="center"/>
    </xf>
    <xf numFmtId="173" fontId="5" fillId="7" borderId="10" xfId="3" applyNumberFormat="1" applyFont="1" applyFill="1" applyBorder="1" applyAlignment="1">
      <alignment horizontal="center" vertical="center"/>
    </xf>
    <xf numFmtId="0" fontId="17" fillId="7" borderId="10" xfId="2" applyFont="1" applyFill="1" applyBorder="1" applyAlignment="1">
      <alignment horizontal="left" vertical="center"/>
    </xf>
    <xf numFmtId="175" fontId="5" fillId="7" borderId="10" xfId="4" applyNumberFormat="1" applyFont="1" applyFill="1" applyBorder="1" applyAlignment="1">
      <alignment horizontal="center" vertical="center"/>
    </xf>
    <xf numFmtId="168" fontId="5" fillId="7" borderId="13" xfId="3" applyNumberFormat="1" applyFont="1" applyFill="1" applyBorder="1" applyAlignment="1">
      <alignment horizontal="center" vertical="center"/>
    </xf>
    <xf numFmtId="0" fontId="19" fillId="7" borderId="13" xfId="5" applyFont="1" applyFill="1" applyBorder="1" applyAlignment="1">
      <alignment horizontal="left" vertical="center"/>
    </xf>
    <xf numFmtId="172" fontId="5" fillId="7" borderId="6" xfId="3" applyNumberFormat="1" applyFont="1" applyFill="1" applyBorder="1" applyAlignment="1">
      <alignment horizontal="center" vertical="center"/>
    </xf>
    <xf numFmtId="0" fontId="17" fillId="0" borderId="0" xfId="2" applyFont="1" applyAlignment="1">
      <alignment wrapText="1"/>
    </xf>
    <xf numFmtId="0" fontId="20" fillId="7" borderId="6" xfId="2" applyFont="1" applyFill="1" applyBorder="1" applyAlignment="1">
      <alignment horizontal="left" vertical="center"/>
    </xf>
    <xf numFmtId="0" fontId="19" fillId="7" borderId="8" xfId="5" applyFont="1" applyFill="1" applyBorder="1" applyAlignment="1">
      <alignment horizontal="left" vertical="center"/>
    </xf>
    <xf numFmtId="0" fontId="5" fillId="7" borderId="10" xfId="3" applyFont="1" applyFill="1" applyBorder="1" applyAlignment="1">
      <alignment horizontal="center" vertical="center"/>
    </xf>
    <xf numFmtId="0" fontId="17" fillId="7" borderId="19" xfId="5" applyFont="1" applyFill="1" applyBorder="1" applyAlignment="1">
      <alignment horizontal="left" vertical="center"/>
    </xf>
    <xf numFmtId="0" fontId="10" fillId="0" borderId="0" xfId="3" applyFont="1" applyAlignment="1">
      <alignment vertical="top"/>
    </xf>
    <xf numFmtId="0" fontId="20" fillId="7" borderId="20" xfId="2" applyFont="1" applyFill="1" applyBorder="1" applyAlignment="1">
      <alignment horizontal="left" vertical="center"/>
    </xf>
    <xf numFmtId="0" fontId="17" fillId="7" borderId="21" xfId="5" applyFont="1" applyFill="1" applyBorder="1" applyAlignment="1">
      <alignment horizontal="left" vertical="center"/>
    </xf>
    <xf numFmtId="0" fontId="21" fillId="2" borderId="0" xfId="3" applyFont="1" applyFill="1" applyAlignment="1">
      <alignment vertical="top"/>
    </xf>
    <xf numFmtId="0" fontId="21" fillId="0" borderId="0" xfId="3" applyFont="1" applyAlignment="1">
      <alignment vertical="top"/>
    </xf>
    <xf numFmtId="0" fontId="4" fillId="2" borderId="0" xfId="3" applyFont="1" applyFill="1" applyAlignment="1">
      <alignment horizontal="center" vertical="center"/>
    </xf>
    <xf numFmtId="0" fontId="22" fillId="2" borderId="0" xfId="5" applyFont="1" applyFill="1" applyBorder="1"/>
    <xf numFmtId="0" fontId="21" fillId="2" borderId="0" xfId="3" applyFont="1" applyFill="1"/>
    <xf numFmtId="0" fontId="21" fillId="0" borderId="0" xfId="3" applyFont="1"/>
    <xf numFmtId="0" fontId="23" fillId="8" borderId="1" xfId="3" applyFont="1" applyFill="1" applyBorder="1" applyAlignment="1">
      <alignment vertical="center"/>
    </xf>
    <xf numFmtId="0" fontId="23" fillId="8" borderId="3" xfId="3" applyFont="1" applyFill="1" applyBorder="1" applyAlignment="1">
      <alignment vertical="center"/>
    </xf>
    <xf numFmtId="0" fontId="23" fillId="8" borderId="4" xfId="3" applyFont="1" applyFill="1" applyBorder="1" applyAlignment="1">
      <alignment vertical="center"/>
    </xf>
    <xf numFmtId="0" fontId="4" fillId="7" borderId="9" xfId="3" applyFont="1" applyFill="1" applyBorder="1"/>
    <xf numFmtId="0" fontId="4" fillId="7" borderId="0" xfId="3" applyFont="1" applyFill="1"/>
    <xf numFmtId="0" fontId="12" fillId="7" borderId="0" xfId="5" applyFill="1" applyBorder="1" applyAlignment="1">
      <alignment horizontal="left"/>
    </xf>
    <xf numFmtId="0" fontId="18" fillId="7" borderId="0" xfId="3" applyFont="1" applyFill="1"/>
    <xf numFmtId="0" fontId="4" fillId="7" borderId="22" xfId="3" applyFont="1" applyFill="1" applyBorder="1"/>
    <xf numFmtId="0" fontId="4" fillId="7" borderId="0" xfId="3" applyFont="1" applyFill="1" applyAlignment="1">
      <alignment horizontal="center" vertical="center"/>
    </xf>
    <xf numFmtId="0" fontId="10" fillId="7" borderId="0" xfId="3" applyFont="1" applyFill="1"/>
    <xf numFmtId="0" fontId="10" fillId="7" borderId="22" xfId="3" applyFont="1" applyFill="1" applyBorder="1"/>
    <xf numFmtId="0" fontId="24" fillId="2" borderId="0" xfId="3" applyFont="1" applyFill="1"/>
    <xf numFmtId="0" fontId="4" fillId="7" borderId="12" xfId="3" applyFont="1" applyFill="1" applyBorder="1"/>
    <xf numFmtId="0" fontId="4" fillId="7" borderId="14" xfId="3" applyFont="1" applyFill="1" applyBorder="1"/>
    <xf numFmtId="0" fontId="10" fillId="7" borderId="14" xfId="3" applyFont="1" applyFill="1" applyBorder="1"/>
    <xf numFmtId="0" fontId="10" fillId="7" borderId="15" xfId="3" applyFont="1" applyFill="1" applyBorder="1"/>
    <xf numFmtId="0" fontId="21" fillId="7" borderId="9" xfId="3" applyFont="1" applyFill="1" applyBorder="1" applyAlignment="1">
      <alignment vertical="top"/>
    </xf>
    <xf numFmtId="0" fontId="24" fillId="7" borderId="0" xfId="3" applyFont="1" applyFill="1" applyAlignment="1">
      <alignment vertical="top"/>
    </xf>
    <xf numFmtId="0" fontId="4" fillId="7" borderId="0" xfId="3" applyFont="1" applyFill="1" applyAlignment="1">
      <alignment vertical="top"/>
    </xf>
    <xf numFmtId="0" fontId="24" fillId="7" borderId="9" xfId="3" applyFont="1" applyFill="1" applyBorder="1" applyAlignment="1">
      <alignment vertical="top"/>
    </xf>
    <xf numFmtId="0" fontId="10" fillId="7" borderId="0" xfId="3" applyFont="1" applyFill="1" applyAlignment="1">
      <alignment vertical="top"/>
    </xf>
    <xf numFmtId="0" fontId="10" fillId="7" borderId="9" xfId="3" applyFont="1" applyFill="1" applyBorder="1" applyAlignment="1">
      <alignment vertical="top"/>
    </xf>
    <xf numFmtId="0" fontId="17" fillId="7" borderId="9" xfId="2" applyFont="1" applyFill="1" applyBorder="1" applyAlignment="1">
      <alignment vertical="top"/>
    </xf>
    <xf numFmtId="0" fontId="17" fillId="7" borderId="12" xfId="2" applyFont="1" applyFill="1" applyBorder="1" applyAlignment="1">
      <alignment vertical="center"/>
    </xf>
    <xf numFmtId="0" fontId="4" fillId="7" borderId="14" xfId="3" applyFont="1" applyFill="1" applyBorder="1" applyAlignment="1">
      <alignment vertical="center"/>
    </xf>
    <xf numFmtId="0" fontId="4" fillId="7" borderId="15" xfId="3" applyFont="1" applyFill="1" applyBorder="1"/>
    <xf numFmtId="174" fontId="26" fillId="7" borderId="10" xfId="1" applyNumberFormat="1" applyFont="1" applyFill="1" applyBorder="1" applyAlignment="1">
      <alignment horizontal="center" vertical="center"/>
    </xf>
    <xf numFmtId="171" fontId="26" fillId="7" borderId="10" xfId="3" applyNumberFormat="1" applyFont="1" applyFill="1" applyBorder="1" applyAlignment="1">
      <alignment horizontal="center" vertical="center"/>
    </xf>
    <xf numFmtId="170" fontId="26" fillId="7" borderId="10" xfId="3" applyNumberFormat="1" applyFont="1" applyFill="1" applyBorder="1" applyAlignment="1">
      <alignment horizontal="center" vertical="center"/>
    </xf>
    <xf numFmtId="0" fontId="27" fillId="7" borderId="6" xfId="3" applyFont="1" applyFill="1" applyBorder="1" applyAlignment="1">
      <alignment vertical="center" wrapText="1"/>
    </xf>
    <xf numFmtId="0" fontId="27" fillId="7" borderId="10" xfId="3" applyFont="1" applyFill="1" applyBorder="1" applyAlignment="1">
      <alignment vertical="center" wrapText="1"/>
    </xf>
    <xf numFmtId="0" fontId="27" fillId="7" borderId="13" xfId="3" applyFont="1" applyFill="1" applyBorder="1" applyAlignment="1">
      <alignment vertical="center" wrapText="1"/>
    </xf>
    <xf numFmtId="0" fontId="27" fillId="7" borderId="16" xfId="3" applyFont="1" applyFill="1" applyBorder="1" applyAlignment="1">
      <alignment vertical="center" wrapText="1"/>
    </xf>
    <xf numFmtId="167" fontId="5" fillId="9" borderId="6" xfId="4" applyNumberFormat="1" applyFont="1" applyFill="1" applyBorder="1" applyAlignment="1">
      <alignment horizontal="center" vertical="center"/>
    </xf>
    <xf numFmtId="167" fontId="5" fillId="9" borderId="10" xfId="4" applyNumberFormat="1" applyFont="1" applyFill="1" applyBorder="1" applyAlignment="1">
      <alignment horizontal="center" vertical="center"/>
    </xf>
    <xf numFmtId="9" fontId="5" fillId="9" borderId="10" xfId="3" applyNumberFormat="1" applyFont="1" applyFill="1" applyBorder="1" applyAlignment="1">
      <alignment horizontal="center" vertical="center"/>
    </xf>
    <xf numFmtId="0" fontId="5" fillId="9" borderId="13" xfId="3" applyFont="1" applyFill="1" applyBorder="1" applyAlignment="1">
      <alignment horizontal="center" vertical="center"/>
    </xf>
    <xf numFmtId="171" fontId="5" fillId="9" borderId="10" xfId="3" applyNumberFormat="1" applyFont="1" applyFill="1" applyBorder="1" applyAlignment="1">
      <alignment horizontal="center" vertical="center"/>
    </xf>
    <xf numFmtId="9" fontId="5" fillId="9" borderId="13" xfId="4" applyFont="1" applyFill="1" applyBorder="1" applyAlignment="1">
      <alignment horizontal="center" vertical="center"/>
    </xf>
    <xf numFmtId="0" fontId="5" fillId="9" borderId="6" xfId="3" applyFont="1" applyFill="1" applyBorder="1" applyAlignment="1">
      <alignment horizontal="center" vertical="center"/>
    </xf>
    <xf numFmtId="1" fontId="5" fillId="9" borderId="10" xfId="4" applyNumberFormat="1" applyFont="1" applyFill="1" applyBorder="1" applyAlignment="1">
      <alignment horizontal="center" vertical="center"/>
    </xf>
    <xf numFmtId="167" fontId="5" fillId="9" borderId="13" xfId="4" applyNumberFormat="1" applyFont="1" applyFill="1" applyBorder="1" applyAlignment="1">
      <alignment horizontal="center" vertical="center"/>
    </xf>
    <xf numFmtId="0" fontId="5" fillId="9" borderId="10" xfId="3" applyFont="1" applyFill="1" applyBorder="1" applyAlignment="1">
      <alignment horizontal="center" vertical="center"/>
    </xf>
    <xf numFmtId="0" fontId="30" fillId="2" borderId="0" xfId="2" applyFont="1" applyFill="1" applyAlignment="1">
      <alignment horizontal="center" vertical="center"/>
    </xf>
  </cellXfs>
  <cellStyles count="6">
    <cellStyle name="Comma" xfId="1" builtinId="3"/>
    <cellStyle name="Hyperlink" xfId="2" builtinId="8"/>
    <cellStyle name="Hyperlink 2" xfId="5" xr:uid="{C686DB5D-7769-4B34-B490-6F12FFBA24B8}"/>
    <cellStyle name="Normal" xfId="0" builtinId="0"/>
    <cellStyle name="Normal 4" xfId="3" xr:uid="{4B0221B5-588E-4BD8-90D1-8B14CA16AD8E}"/>
    <cellStyle name="Percent 2" xfId="4" xr:uid="{D0F5B6CC-35DA-43A0-B1B8-6A4A40FA5AF9}"/>
  </cellStyles>
  <dxfs count="6"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3F3F"/>
      </font>
      <fill>
        <patternFill>
          <bgColor rgb="FFFF3F3F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3F3F"/>
      </font>
      <fill>
        <patternFill>
          <bgColor rgb="FFFF3F3F"/>
        </patternFill>
      </fill>
    </dxf>
  </dxfs>
  <tableStyles count="0" defaultTableStyle="TableStyleMedium2" defaultPivotStyle="PivotStyleLight16"/>
  <colors>
    <mruColors>
      <color rgb="FFFFFFCC"/>
      <color rgb="FF135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faunderwriting.com/" TargetMode="External"/><Relationship Id="rId3" Type="http://schemas.openxmlformats.org/officeDocument/2006/relationships/image" Target="../media/image3.png"/><Relationship Id="rId7" Type="http://schemas.openxmlformats.org/officeDocument/2006/relationships/hyperlink" Target="http://www.MFAUnderwriting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596944</xdr:colOff>
      <xdr:row>27</xdr:row>
      <xdr:rowOff>188017</xdr:rowOff>
    </xdr:from>
    <xdr:ext cx="8776953" cy="2521316"/>
    <xdr:pic>
      <xdr:nvPicPr>
        <xdr:cNvPr id="2" name="Picture 1">
          <a:extLst>
            <a:ext uri="{FF2B5EF4-FFF2-40B4-BE49-F238E27FC236}">
              <a16:creationId xmlns:a16="http://schemas.microsoft.com/office/drawing/2014/main" id="{9F96DA65-C23D-4766-A467-B263E4F8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7666" y="8831073"/>
          <a:ext cx="8776953" cy="2521316"/>
        </a:xfrm>
        <a:prstGeom prst="rect">
          <a:avLst/>
        </a:prstGeom>
      </xdr:spPr>
    </xdr:pic>
    <xdr:clientData/>
  </xdr:oneCellAnchor>
  <xdr:oneCellAnchor>
    <xdr:from>
      <xdr:col>1</xdr:col>
      <xdr:colOff>188774</xdr:colOff>
      <xdr:row>26</xdr:row>
      <xdr:rowOff>160614</xdr:rowOff>
    </xdr:from>
    <xdr:ext cx="4231227" cy="2987764"/>
    <xdr:pic>
      <xdr:nvPicPr>
        <xdr:cNvPr id="3" name="Picture 2">
          <a:extLst>
            <a:ext uri="{FF2B5EF4-FFF2-40B4-BE49-F238E27FC236}">
              <a16:creationId xmlns:a16="http://schemas.microsoft.com/office/drawing/2014/main" id="{DD62F20C-E4BF-43E3-92E4-BE18D5B3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174" y="8631514"/>
          <a:ext cx="4231227" cy="2987764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387425</xdr:colOff>
      <xdr:row>12</xdr:row>
      <xdr:rowOff>284354</xdr:rowOff>
    </xdr:from>
    <xdr:ext cx="449460" cy="472483"/>
    <xdr:pic>
      <xdr:nvPicPr>
        <xdr:cNvPr id="4" name="Picture 3">
          <a:extLst>
            <a:ext uri="{FF2B5EF4-FFF2-40B4-BE49-F238E27FC236}">
              <a16:creationId xmlns:a16="http://schemas.microsoft.com/office/drawing/2014/main" id="{29376C0E-10FF-4CF2-B652-4C3E4DF93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825" y="3795904"/>
          <a:ext cx="449460" cy="472483"/>
        </a:xfrm>
        <a:prstGeom prst="rect">
          <a:avLst/>
        </a:prstGeom>
      </xdr:spPr>
    </xdr:pic>
    <xdr:clientData/>
  </xdr:oneCellAnchor>
  <xdr:oneCellAnchor>
    <xdr:from>
      <xdr:col>1</xdr:col>
      <xdr:colOff>350070</xdr:colOff>
      <xdr:row>10</xdr:row>
      <xdr:rowOff>226430</xdr:rowOff>
    </xdr:from>
    <xdr:ext cx="449460" cy="465006"/>
    <xdr:pic>
      <xdr:nvPicPr>
        <xdr:cNvPr id="5" name="Picture 4">
          <a:extLst>
            <a:ext uri="{FF2B5EF4-FFF2-40B4-BE49-F238E27FC236}">
              <a16:creationId xmlns:a16="http://schemas.microsoft.com/office/drawing/2014/main" id="{59CD39A6-8AA9-46FA-B56D-66EBAE143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70" y="2887080"/>
          <a:ext cx="449460" cy="465006"/>
        </a:xfrm>
        <a:prstGeom prst="rect">
          <a:avLst/>
        </a:prstGeom>
      </xdr:spPr>
    </xdr:pic>
    <xdr:clientData/>
  </xdr:oneCellAnchor>
  <xdr:oneCellAnchor>
    <xdr:from>
      <xdr:col>1</xdr:col>
      <xdr:colOff>348605</xdr:colOff>
      <xdr:row>6</xdr:row>
      <xdr:rowOff>292467</xdr:rowOff>
    </xdr:from>
    <xdr:ext cx="452390" cy="472484"/>
    <xdr:pic>
      <xdr:nvPicPr>
        <xdr:cNvPr id="6" name="Picture 5">
          <a:extLst>
            <a:ext uri="{FF2B5EF4-FFF2-40B4-BE49-F238E27FC236}">
              <a16:creationId xmlns:a16="http://schemas.microsoft.com/office/drawing/2014/main" id="{5777AD6D-9C61-4400-B590-B6A75792C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05" y="1397367"/>
          <a:ext cx="452390" cy="472484"/>
        </a:xfrm>
        <a:prstGeom prst="rect">
          <a:avLst/>
        </a:prstGeom>
      </xdr:spPr>
    </xdr:pic>
    <xdr:clientData/>
  </xdr:oneCellAnchor>
  <xdr:oneCellAnchor>
    <xdr:from>
      <xdr:col>1</xdr:col>
      <xdr:colOff>348606</xdr:colOff>
      <xdr:row>21</xdr:row>
      <xdr:rowOff>285058</xdr:rowOff>
    </xdr:from>
    <xdr:ext cx="452389" cy="472483"/>
    <xdr:pic>
      <xdr:nvPicPr>
        <xdr:cNvPr id="7" name="Picture 6">
          <a:extLst>
            <a:ext uri="{FF2B5EF4-FFF2-40B4-BE49-F238E27FC236}">
              <a16:creationId xmlns:a16="http://schemas.microsoft.com/office/drawing/2014/main" id="{69FFD1F8-9A06-44B7-9E97-83C6676A9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06" y="7168458"/>
          <a:ext cx="452389" cy="472483"/>
        </a:xfrm>
        <a:prstGeom prst="rect">
          <a:avLst/>
        </a:prstGeom>
      </xdr:spPr>
    </xdr:pic>
    <xdr:clientData/>
  </xdr:oneCellAnchor>
  <xdr:twoCellAnchor>
    <xdr:from>
      <xdr:col>5</xdr:col>
      <xdr:colOff>740832</xdr:colOff>
      <xdr:row>0</xdr:row>
      <xdr:rowOff>183444</xdr:rowOff>
    </xdr:from>
    <xdr:to>
      <xdr:col>9</xdr:col>
      <xdr:colOff>1811201</xdr:colOff>
      <xdr:row>3</xdr:row>
      <xdr:rowOff>118283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F795A7-EB2B-44A2-8D12-D5402554A804}"/>
            </a:ext>
          </a:extLst>
        </xdr:cNvPr>
        <xdr:cNvSpPr txBox="1"/>
      </xdr:nvSpPr>
      <xdr:spPr>
        <a:xfrm>
          <a:off x="6237110" y="183444"/>
          <a:ext cx="7808424" cy="520450"/>
        </a:xfrm>
        <a:prstGeom prst="rect">
          <a:avLst/>
        </a:prstGeom>
        <a:gradFill>
          <a:gsLst>
            <a:gs pos="0">
              <a:srgbClr val="F0F0F0"/>
            </a:gs>
            <a:gs pos="50000">
              <a:srgbClr val="FFFF00"/>
            </a:gs>
            <a:gs pos="100000">
              <a:srgbClr val="F0F0F0"/>
            </a:gs>
          </a:gsLst>
          <a:lin ang="540000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 i="1">
              <a:solidFill>
                <a:srgbClr val="FF0000"/>
              </a:solidFill>
            </a:rPr>
            <a:t>Always "drive" the neighborhood via Google Street view.</a:t>
          </a:r>
        </a:p>
      </xdr:txBody>
    </xdr:sp>
    <xdr:clientData/>
  </xdr:twoCellAnchor>
  <xdr:twoCellAnchor>
    <xdr:from>
      <xdr:col>1</xdr:col>
      <xdr:colOff>1142999</xdr:colOff>
      <xdr:row>0</xdr:row>
      <xdr:rowOff>7056</xdr:rowOff>
    </xdr:from>
    <xdr:to>
      <xdr:col>2</xdr:col>
      <xdr:colOff>2539999</xdr:colOff>
      <xdr:row>4</xdr:row>
      <xdr:rowOff>42333</xdr:rowOff>
    </xdr:to>
    <xdr:sp macro="" textlink="">
      <xdr:nvSpPr>
        <xdr:cNvPr id="11" name="TextBox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11788C-3732-4F69-9306-4CC9D6861A9E}"/>
            </a:ext>
          </a:extLst>
        </xdr:cNvPr>
        <xdr:cNvSpPr txBox="1"/>
      </xdr:nvSpPr>
      <xdr:spPr>
        <a:xfrm>
          <a:off x="1298221" y="7056"/>
          <a:ext cx="2617611" cy="783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050" b="0" i="1">
              <a:solidFill>
                <a:srgbClr val="13545E"/>
              </a:solidFill>
            </a:rPr>
            <a:t>The MFA Market Analysis </a:t>
          </a:r>
          <a:r>
            <a:rPr lang="en-US" sz="1050" b="0" i="1">
              <a:solidFill>
                <a:srgbClr val="13545E"/>
              </a:solidFill>
              <a:effectLst/>
              <a:latin typeface="+mn-lt"/>
              <a:ea typeface="+mn-ea"/>
              <a:cs typeface="+mn-cs"/>
            </a:rPr>
            <a:t>provides detailed insights into market trends and competition in an easy to view format.</a:t>
          </a:r>
        </a:p>
        <a:p>
          <a:pPr algn="l"/>
          <a:r>
            <a:rPr lang="en-US" sz="1050" b="0" i="1">
              <a:solidFill>
                <a:srgbClr val="13545E"/>
              </a:solidFill>
            </a:rPr>
            <a:t>Learn more at </a:t>
          </a:r>
          <a:r>
            <a:rPr lang="en-US" sz="1050" b="0" i="1" u="sng">
              <a:solidFill>
                <a:srgbClr val="0000FF"/>
              </a:solidFill>
            </a:rPr>
            <a:t>www.MFAUnderwriting.com</a:t>
          </a:r>
        </a:p>
      </xdr:txBody>
    </xdr:sp>
    <xdr:clientData/>
  </xdr:twoCellAnchor>
  <xdr:twoCellAnchor editAs="oneCell">
    <xdr:from>
      <xdr:col>1</xdr:col>
      <xdr:colOff>28224</xdr:colOff>
      <xdr:row>0</xdr:row>
      <xdr:rowOff>77609</xdr:rowOff>
    </xdr:from>
    <xdr:to>
      <xdr:col>1</xdr:col>
      <xdr:colOff>1128890</xdr:colOff>
      <xdr:row>3</xdr:row>
      <xdr:rowOff>112023</xdr:rowOff>
    </xdr:to>
    <xdr:pic>
      <xdr:nvPicPr>
        <xdr:cNvPr id="12" name="Pictur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699D73C-8D9A-6660-2349-8679409E0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r="4316" b="10418"/>
        <a:stretch/>
      </xdr:blipFill>
      <xdr:spPr>
        <a:xfrm>
          <a:off x="183446" y="77609"/>
          <a:ext cx="1100666" cy="620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FA\UW%20Files\Working%20Models\MFA%20LITE\MFA-L%20v1.29%20-%20WORKING%20FILE%20-%20Summary%20Studio.xlsm" TargetMode="External"/><Relationship Id="rId1" Type="http://schemas.openxmlformats.org/officeDocument/2006/relationships/externalLinkPath" Target="/My%20Drive/MFA/UW%20Files/Working%20Models/MFA%20LITE/MFA-L%20v1.29%20-%20WORKING%20FILE%20-%20Summary%20Stud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UW Process"/>
      <sheetName val="Summary"/>
      <sheetName val="UW Model"/>
      <sheetName val="IRR Sensitivity"/>
      <sheetName val="Optional Tabs --&gt;"/>
      <sheetName val="T12"/>
      <sheetName val="Deal Evaluator"/>
      <sheetName val="GPR Logic"/>
      <sheetName val="Market Analysis"/>
      <sheetName val="Version"/>
      <sheetName val="Loans"/>
    </sheetNames>
    <sheetDataSet>
      <sheetData sheetId="0" refreshError="1"/>
      <sheetData sheetId="1" refreshError="1"/>
      <sheetData sheetId="2">
        <row r="128">
          <cell r="AN128" t="str">
            <v>Summary!AL112:AL116</v>
          </cell>
          <cell r="AT128" t="str">
            <v>Summary!AT112:AT113</v>
          </cell>
          <cell r="AY128" t="str">
            <v>Summary!AY112:AY116</v>
          </cell>
        </row>
        <row r="129">
          <cell r="AN129" t="str">
            <v>Summary!AM112:AM116</v>
          </cell>
          <cell r="AT129" t="str">
            <v>Summary!AU112:AU113</v>
          </cell>
          <cell r="AY129" t="str">
            <v>Summary!AZ112:AZ116</v>
          </cell>
        </row>
        <row r="130">
          <cell r="AN130" t="str">
            <v>Summary!AN112:AN116</v>
          </cell>
          <cell r="AY130" t="str">
            <v>Summary!AX112:AX116</v>
          </cell>
        </row>
        <row r="131">
          <cell r="AN131" t="str">
            <v>Summary!AO112:AO116</v>
          </cell>
        </row>
        <row r="132">
          <cell r="AN132" t="str">
            <v>Summary!AP112:AP116</v>
          </cell>
        </row>
        <row r="133">
          <cell r="AN133" t="str">
            <v>Summary!AQ112:AQ116</v>
          </cell>
        </row>
        <row r="134">
          <cell r="AN134" t="str">
            <v>Summary!AK112:AK116</v>
          </cell>
        </row>
        <row r="135">
          <cell r="AN135" t="str">
            <v>Summary!AJ112:AJ116</v>
          </cell>
        </row>
      </sheetData>
      <sheetData sheetId="3">
        <row r="28">
          <cell r="E28">
            <v>1</v>
          </cell>
          <cell r="F28">
            <v>1</v>
          </cell>
          <cell r="G28">
            <v>650</v>
          </cell>
          <cell r="H28">
            <v>66</v>
          </cell>
          <cell r="I28">
            <v>928.86</v>
          </cell>
          <cell r="L28">
            <v>1047</v>
          </cell>
        </row>
        <row r="29">
          <cell r="E29">
            <v>1</v>
          </cell>
          <cell r="F29">
            <v>1</v>
          </cell>
          <cell r="G29">
            <v>650</v>
          </cell>
          <cell r="H29">
            <v>6</v>
          </cell>
          <cell r="I29">
            <v>1089</v>
          </cell>
          <cell r="L29">
            <v>1135</v>
          </cell>
        </row>
        <row r="30">
          <cell r="E30">
            <v>2</v>
          </cell>
          <cell r="F30">
            <v>1</v>
          </cell>
          <cell r="G30">
            <v>850</v>
          </cell>
          <cell r="H30">
            <v>70</v>
          </cell>
          <cell r="I30">
            <v>1006.71</v>
          </cell>
          <cell r="L30">
            <v>1194</v>
          </cell>
        </row>
        <row r="31">
          <cell r="E31">
            <v>2</v>
          </cell>
          <cell r="F31">
            <v>1</v>
          </cell>
          <cell r="G31">
            <v>850</v>
          </cell>
          <cell r="H31">
            <v>10</v>
          </cell>
          <cell r="I31">
            <v>1153.83</v>
          </cell>
          <cell r="L31">
            <v>1275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2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F17487-37AC-4188-879F-73CC36999622}">
  <we:reference id="e3b9ab04-4eb9-450e-bdba-9383582a2751" version="1.0.0.1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ensusreporter.org/" TargetMode="External"/><Relationship Id="rId18" Type="http://schemas.openxmlformats.org/officeDocument/2006/relationships/hyperlink" Target="http://census.gov/quickfacts" TargetMode="External"/><Relationship Id="rId26" Type="http://schemas.openxmlformats.org/officeDocument/2006/relationships/hyperlink" Target="https://censusreporter.org/" TargetMode="External"/><Relationship Id="rId39" Type="http://schemas.openxmlformats.org/officeDocument/2006/relationships/hyperlink" Target="https://www.city-data.com/" TargetMode="External"/><Relationship Id="rId21" Type="http://schemas.openxmlformats.org/officeDocument/2006/relationships/hyperlink" Target="https://www.areavibes.com/" TargetMode="External"/><Relationship Id="rId34" Type="http://schemas.openxmlformats.org/officeDocument/2006/relationships/hyperlink" Target="http://www.bls.gov/" TargetMode="External"/><Relationship Id="rId42" Type="http://schemas.openxmlformats.org/officeDocument/2006/relationships/hyperlink" Target="http://www.spotcrime.com/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://census.gov/quickfacts" TargetMode="External"/><Relationship Id="rId2" Type="http://schemas.openxmlformats.org/officeDocument/2006/relationships/hyperlink" Target="http://homefacts.com/" TargetMode="External"/><Relationship Id="rId16" Type="http://schemas.openxmlformats.org/officeDocument/2006/relationships/hyperlink" Target="https://www.city-data.com/" TargetMode="External"/><Relationship Id="rId29" Type="http://schemas.openxmlformats.org/officeDocument/2006/relationships/hyperlink" Target="https://censusreporter.org/" TargetMode="External"/><Relationship Id="rId1" Type="http://schemas.openxmlformats.org/officeDocument/2006/relationships/hyperlink" Target="http://areavibes.com/" TargetMode="External"/><Relationship Id="rId6" Type="http://schemas.openxmlformats.org/officeDocument/2006/relationships/hyperlink" Target="http://zipatlas.com/" TargetMode="External"/><Relationship Id="rId11" Type="http://schemas.openxmlformats.org/officeDocument/2006/relationships/hyperlink" Target="https://www.city-data.com/" TargetMode="External"/><Relationship Id="rId24" Type="http://schemas.openxmlformats.org/officeDocument/2006/relationships/hyperlink" Target="https://www.city-data.com/crime/" TargetMode="External"/><Relationship Id="rId32" Type="http://schemas.openxmlformats.org/officeDocument/2006/relationships/hyperlink" Target="https://www.city-data.com/" TargetMode="External"/><Relationship Id="rId37" Type="http://schemas.openxmlformats.org/officeDocument/2006/relationships/hyperlink" Target="https://www.city-data.com/" TargetMode="External"/><Relationship Id="rId40" Type="http://schemas.openxmlformats.org/officeDocument/2006/relationships/hyperlink" Target="https://www.bestplaces.net/" TargetMode="External"/><Relationship Id="rId45" Type="http://schemas.openxmlformats.org/officeDocument/2006/relationships/hyperlink" Target="https://youtu.be/Hbs9U6NNyYw" TargetMode="External"/><Relationship Id="rId5" Type="http://schemas.openxmlformats.org/officeDocument/2006/relationships/hyperlink" Target="http://worldpopulationreview.com/" TargetMode="External"/><Relationship Id="rId15" Type="http://schemas.openxmlformats.org/officeDocument/2006/relationships/hyperlink" Target="https://www.thebalancesmb.com/best-states-for-landlords-in-2019-4585108" TargetMode="External"/><Relationship Id="rId23" Type="http://schemas.openxmlformats.org/officeDocument/2006/relationships/hyperlink" Target="https://www.city-data.com/" TargetMode="External"/><Relationship Id="rId28" Type="http://schemas.openxmlformats.org/officeDocument/2006/relationships/hyperlink" Target="http://census.gov/quickfacts" TargetMode="External"/><Relationship Id="rId36" Type="http://schemas.openxmlformats.org/officeDocument/2006/relationships/hyperlink" Target="https://www.city-data.com/" TargetMode="External"/><Relationship Id="rId10" Type="http://schemas.openxmlformats.org/officeDocument/2006/relationships/hyperlink" Target="https://datausa.io/" TargetMode="External"/><Relationship Id="rId19" Type="http://schemas.openxmlformats.org/officeDocument/2006/relationships/hyperlink" Target="http://census.gov/quickfacts" TargetMode="External"/><Relationship Id="rId31" Type="http://schemas.openxmlformats.org/officeDocument/2006/relationships/hyperlink" Target="http://census.gov/quickfacts" TargetMode="External"/><Relationship Id="rId44" Type="http://schemas.openxmlformats.org/officeDocument/2006/relationships/hyperlink" Target="https://www.ratemap.org/" TargetMode="External"/><Relationship Id="rId4" Type="http://schemas.openxmlformats.org/officeDocument/2006/relationships/hyperlink" Target="http://neighborhoodscout.com/" TargetMode="External"/><Relationship Id="rId9" Type="http://schemas.openxmlformats.org/officeDocument/2006/relationships/hyperlink" Target="https://www.city-data.com/" TargetMode="External"/><Relationship Id="rId14" Type="http://schemas.openxmlformats.org/officeDocument/2006/relationships/hyperlink" Target="http://avail.co/" TargetMode="External"/><Relationship Id="rId22" Type="http://schemas.openxmlformats.org/officeDocument/2006/relationships/hyperlink" Target="https://datausa.io/" TargetMode="External"/><Relationship Id="rId27" Type="http://schemas.openxmlformats.org/officeDocument/2006/relationships/hyperlink" Target="https://censusreporter.org/" TargetMode="External"/><Relationship Id="rId30" Type="http://schemas.openxmlformats.org/officeDocument/2006/relationships/hyperlink" Target="http://census.gov/quickfacts" TargetMode="External"/><Relationship Id="rId35" Type="http://schemas.openxmlformats.org/officeDocument/2006/relationships/hyperlink" Target="https://www.deptofnumbers.com/employment/metros/" TargetMode="External"/><Relationship Id="rId43" Type="http://schemas.openxmlformats.org/officeDocument/2006/relationships/hyperlink" Target="http://www.justicemap.org/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://avail.co/" TargetMode="External"/><Relationship Id="rId3" Type="http://schemas.openxmlformats.org/officeDocument/2006/relationships/hyperlink" Target="http://deptofnumbers.com/" TargetMode="External"/><Relationship Id="rId12" Type="http://schemas.openxmlformats.org/officeDocument/2006/relationships/hyperlink" Target="https://www.census.gov/quickfacts" TargetMode="External"/><Relationship Id="rId17" Type="http://schemas.openxmlformats.org/officeDocument/2006/relationships/hyperlink" Target="https://www.zillow.com/research/data/" TargetMode="External"/><Relationship Id="rId25" Type="http://schemas.openxmlformats.org/officeDocument/2006/relationships/hyperlink" Target="https://www.city-data.com/" TargetMode="External"/><Relationship Id="rId33" Type="http://schemas.openxmlformats.org/officeDocument/2006/relationships/hyperlink" Target="https://www.deptofnumbers.com/employment/metros/" TargetMode="External"/><Relationship Id="rId38" Type="http://schemas.openxmlformats.org/officeDocument/2006/relationships/hyperlink" Target="https://justicemap.org/" TargetMode="External"/><Relationship Id="rId46" Type="http://schemas.openxmlformats.org/officeDocument/2006/relationships/drawing" Target="../drawings/drawing1.xml"/><Relationship Id="rId20" Type="http://schemas.openxmlformats.org/officeDocument/2006/relationships/hyperlink" Target="http://www.bestplaces.net/" TargetMode="External"/><Relationship Id="rId41" Type="http://schemas.openxmlformats.org/officeDocument/2006/relationships/hyperlink" Target="https://weareapartment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74C-778E-41F8-9341-3CCC08A14F3D}">
  <sheetPr codeName="Sheet51">
    <tabColor rgb="FF13545E"/>
    <outlinePr summaryBelow="0" summaryRight="0"/>
  </sheetPr>
  <dimension ref="A1:X1004"/>
  <sheetViews>
    <sheetView showGridLines="0" tabSelected="1" zoomScale="90" zoomScaleNormal="90" workbookViewId="0"/>
  </sheetViews>
  <sheetFormatPr defaultColWidth="13.26953125" defaultRowHeight="15" customHeight="1" x14ac:dyDescent="0.3"/>
  <cols>
    <col min="1" max="1" width="2.1796875" style="2" customWidth="1"/>
    <col min="2" max="2" width="17.453125" style="2" customWidth="1"/>
    <col min="3" max="3" width="36.36328125" style="2" customWidth="1"/>
    <col min="4" max="4" width="14.54296875" style="2" customWidth="1"/>
    <col min="5" max="5" width="10.08984375" style="2" customWidth="1"/>
    <col min="6" max="6" width="12" style="2" customWidth="1"/>
    <col min="7" max="7" width="30.81640625" style="2" customWidth="1"/>
    <col min="8" max="8" width="28.1796875" style="2" customWidth="1"/>
    <col min="9" max="9" width="25.453125" style="2" bestFit="1" customWidth="1"/>
    <col min="10" max="10" width="29.81640625" style="2" customWidth="1"/>
    <col min="11" max="11" width="4.26953125" style="2" customWidth="1"/>
    <col min="12" max="12" width="19.7265625" style="2" customWidth="1"/>
    <col min="13" max="21" width="35.54296875" style="2" customWidth="1"/>
    <col min="22" max="22" width="19.7265625" style="2" customWidth="1"/>
    <col min="23" max="23" width="5.1796875" style="2" customWidth="1"/>
    <col min="24" max="24" width="6.54296875" style="2" bestFit="1" customWidth="1"/>
    <col min="25" max="16384" width="13.26953125" style="2"/>
  </cols>
  <sheetData>
    <row r="1" spans="1:24" ht="20.5" customHeight="1" x14ac:dyDescent="0.3">
      <c r="A1" s="1"/>
      <c r="B1" s="1"/>
      <c r="C1" s="1"/>
      <c r="D1" s="117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ht="13" x14ac:dyDescent="0.3">
      <c r="A2" s="1"/>
      <c r="B2" s="1"/>
      <c r="C2" s="1"/>
      <c r="D2" s="3">
        <v>1</v>
      </c>
      <c r="E2" s="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 ht="13" x14ac:dyDescent="0.3">
      <c r="A3" s="1"/>
      <c r="B3" s="1"/>
      <c r="C3" s="1"/>
      <c r="D3" s="5" t="str">
        <f xml:space="preserve"> "&lt; " &amp;TEXT(D2,"0%") &amp; " - ≥ "&amp;TEXT(D4,"0%")</f>
        <v>&lt; 100% - ≥ 90%</v>
      </c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4" ht="13" x14ac:dyDescent="0.3">
      <c r="A4" s="1"/>
      <c r="B4" s="1"/>
      <c r="C4" s="1"/>
      <c r="D4" s="7">
        <v>0.9</v>
      </c>
      <c r="E4" s="4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ht="4" customHeight="1" thickBot="1" x14ac:dyDescent="0.35">
      <c r="A5" s="1"/>
      <c r="B5" s="1"/>
      <c r="C5" s="1"/>
      <c r="D5" s="1"/>
      <c r="E5" s="1"/>
      <c r="F5" s="1"/>
      <c r="G5" s="1"/>
      <c r="H5" s="8"/>
      <c r="I5" s="8"/>
      <c r="J5" s="8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ht="23.5" customHeight="1" thickBot="1" x14ac:dyDescent="0.35">
      <c r="A6" s="1"/>
      <c r="B6" s="9" t="s">
        <v>3</v>
      </c>
      <c r="C6" s="10" t="s">
        <v>4</v>
      </c>
      <c r="D6" s="11" t="s">
        <v>5</v>
      </c>
      <c r="E6" s="12" t="s">
        <v>6</v>
      </c>
      <c r="F6" s="12" t="s">
        <v>7</v>
      </c>
      <c r="G6" s="10" t="s">
        <v>8</v>
      </c>
      <c r="H6" s="13" t="s">
        <v>9</v>
      </c>
      <c r="I6" s="14"/>
      <c r="J6" s="15"/>
      <c r="K6" s="1"/>
      <c r="L6" s="1"/>
      <c r="M6" s="1"/>
      <c r="N6" s="1"/>
      <c r="O6" s="1"/>
      <c r="P6" s="1"/>
      <c r="Q6" s="1"/>
      <c r="R6" s="1"/>
      <c r="S6" s="1"/>
      <c r="T6" s="1"/>
      <c r="X6" s="2" t="s">
        <v>10</v>
      </c>
    </row>
    <row r="7" spans="1:24" s="23" customFormat="1" ht="34" customHeight="1" x14ac:dyDescent="0.3">
      <c r="A7" s="16"/>
      <c r="B7" s="17" t="s">
        <v>11</v>
      </c>
      <c r="C7" s="18" t="s">
        <v>12</v>
      </c>
      <c r="D7" s="19">
        <f t="shared" ref="D7:D24" si="0">IF($X7 &gt;=1-$D$2, 1,IF($X7&gt;=$D$4-1,0,-1))</f>
        <v>-1</v>
      </c>
      <c r="E7" s="20">
        <f>20%+(1.25%*4)</f>
        <v>0.25</v>
      </c>
      <c r="F7" s="107"/>
      <c r="G7" s="103" t="s">
        <v>13</v>
      </c>
      <c r="H7" s="21" t="s">
        <v>14</v>
      </c>
      <c r="I7" s="21" t="s">
        <v>15</v>
      </c>
      <c r="J7" s="22"/>
      <c r="K7" s="16"/>
      <c r="L7" s="16"/>
      <c r="M7" s="1"/>
      <c r="N7" s="16"/>
      <c r="O7" s="16"/>
      <c r="P7" s="16"/>
      <c r="Q7" s="16"/>
      <c r="R7" s="16"/>
      <c r="S7" s="16"/>
      <c r="T7" s="16"/>
      <c r="W7" s="24">
        <f>IF($X7 &gt;=1-$D$2, 1,IF($X7&gt;=$D$4-1,0,-1))</f>
        <v>-1</v>
      </c>
      <c r="X7" s="25">
        <f>(F7/E7)-1</f>
        <v>-1</v>
      </c>
    </row>
    <row r="8" spans="1:24" s="23" customFormat="1" ht="29.5" customHeight="1" x14ac:dyDescent="0.3">
      <c r="A8" s="16"/>
      <c r="B8" s="26"/>
      <c r="C8" s="27" t="s">
        <v>16</v>
      </c>
      <c r="D8" s="28">
        <f t="shared" si="0"/>
        <v>1</v>
      </c>
      <c r="E8" s="29">
        <v>0.2</v>
      </c>
      <c r="F8" s="108"/>
      <c r="G8" s="104"/>
      <c r="H8" s="30" t="s">
        <v>15</v>
      </c>
      <c r="I8" s="30" t="s">
        <v>17</v>
      </c>
      <c r="J8" s="31" t="s">
        <v>18</v>
      </c>
      <c r="K8" s="16"/>
      <c r="L8" s="16"/>
      <c r="M8" s="1"/>
      <c r="N8" s="16"/>
      <c r="O8" s="16"/>
      <c r="P8" s="16"/>
      <c r="Q8" s="16"/>
      <c r="R8" s="16"/>
      <c r="S8" s="16"/>
      <c r="T8" s="16"/>
      <c r="W8" s="24">
        <f t="shared" ref="W8:W24" si="1">IF(X8 &gt;=1-$D$2, 1,IF(X8&gt;=$D$4-1,0,-1))</f>
        <v>1</v>
      </c>
      <c r="X8" s="25">
        <f>1-(F8/E8)</f>
        <v>1</v>
      </c>
    </row>
    <row r="9" spans="1:24" s="23" customFormat="1" ht="29.5" customHeight="1" x14ac:dyDescent="0.3">
      <c r="A9" s="16"/>
      <c r="B9" s="26"/>
      <c r="C9" s="27" t="s">
        <v>19</v>
      </c>
      <c r="D9" s="28">
        <f t="shared" si="0"/>
        <v>-1</v>
      </c>
      <c r="E9" s="32">
        <v>0.25</v>
      </c>
      <c r="F9" s="109"/>
      <c r="G9" s="104"/>
      <c r="H9" s="30" t="s">
        <v>15</v>
      </c>
      <c r="I9" s="30" t="s">
        <v>18</v>
      </c>
      <c r="J9" s="31" t="s">
        <v>20</v>
      </c>
      <c r="K9" s="16"/>
      <c r="L9" s="16"/>
      <c r="M9" s="1"/>
      <c r="N9" s="16"/>
      <c r="O9" s="16"/>
      <c r="P9" s="16"/>
      <c r="Q9" s="16"/>
      <c r="R9" s="16"/>
      <c r="S9" s="16"/>
      <c r="T9" s="16"/>
      <c r="W9" s="24">
        <f t="shared" si="1"/>
        <v>-1</v>
      </c>
      <c r="X9" s="25">
        <f t="shared" ref="X9" si="2">(F9/E9)-1</f>
        <v>-1</v>
      </c>
    </row>
    <row r="10" spans="1:24" s="23" customFormat="1" ht="29.5" customHeight="1" thickBot="1" x14ac:dyDescent="0.35">
      <c r="A10" s="16"/>
      <c r="B10" s="33"/>
      <c r="C10" s="34" t="s">
        <v>21</v>
      </c>
      <c r="D10" s="35">
        <f t="shared" si="0"/>
        <v>1</v>
      </c>
      <c r="E10" s="36">
        <v>275</v>
      </c>
      <c r="F10" s="110"/>
      <c r="G10" s="105" t="s">
        <v>76</v>
      </c>
      <c r="H10" s="37" t="s">
        <v>22</v>
      </c>
      <c r="I10" s="37" t="s">
        <v>23</v>
      </c>
      <c r="J10" s="38"/>
      <c r="K10" s="16"/>
      <c r="L10" s="16"/>
      <c r="M10" s="1"/>
      <c r="N10" s="16"/>
      <c r="O10" s="16"/>
      <c r="P10" s="16"/>
      <c r="Q10" s="16"/>
      <c r="R10" s="16"/>
      <c r="S10" s="16"/>
      <c r="T10" s="16"/>
      <c r="W10" s="24">
        <f t="shared" si="1"/>
        <v>1</v>
      </c>
      <c r="X10" s="25">
        <f>1-(F10/E10)</f>
        <v>1</v>
      </c>
    </row>
    <row r="11" spans="1:24" s="23" customFormat="1" ht="33.5" customHeight="1" x14ac:dyDescent="0.3">
      <c r="A11" s="16"/>
      <c r="B11" s="17" t="s">
        <v>24</v>
      </c>
      <c r="C11" s="39" t="s">
        <v>25</v>
      </c>
      <c r="D11" s="40">
        <f t="shared" si="0"/>
        <v>-1</v>
      </c>
      <c r="E11" s="41">
        <v>50000</v>
      </c>
      <c r="F11" s="111"/>
      <c r="G11" s="106" t="s">
        <v>77</v>
      </c>
      <c r="H11" s="55" t="s">
        <v>26</v>
      </c>
      <c r="I11" s="42" t="s">
        <v>15</v>
      </c>
      <c r="J11" s="43" t="s">
        <v>18</v>
      </c>
      <c r="K11" s="16"/>
      <c r="L11" s="16"/>
      <c r="M11" s="1"/>
      <c r="N11" s="16"/>
      <c r="O11" s="16"/>
      <c r="P11" s="16"/>
      <c r="Q11" s="16"/>
      <c r="R11" s="16"/>
      <c r="S11" s="16"/>
      <c r="T11" s="16"/>
      <c r="W11" s="24">
        <f t="shared" si="1"/>
        <v>-1</v>
      </c>
      <c r="X11" s="25">
        <f>(F11/E11)-1</f>
        <v>-1</v>
      </c>
    </row>
    <row r="12" spans="1:24" s="23" customFormat="1" ht="33.5" customHeight="1" thickBot="1" x14ac:dyDescent="0.35">
      <c r="A12" s="16"/>
      <c r="B12" s="44"/>
      <c r="C12" s="45" t="s">
        <v>27</v>
      </c>
      <c r="D12" s="35">
        <f t="shared" si="0"/>
        <v>-1</v>
      </c>
      <c r="E12" s="46">
        <v>0.42</v>
      </c>
      <c r="F12" s="112"/>
      <c r="G12" s="105" t="s">
        <v>28</v>
      </c>
      <c r="H12" s="47" t="s">
        <v>15</v>
      </c>
      <c r="I12" s="47"/>
      <c r="J12" s="38"/>
      <c r="K12" s="16"/>
      <c r="L12" s="16"/>
      <c r="M12" s="1"/>
      <c r="N12" s="16"/>
      <c r="O12" s="16"/>
      <c r="P12" s="16"/>
      <c r="Q12" s="16"/>
      <c r="R12" s="16"/>
      <c r="S12" s="16"/>
      <c r="T12" s="16"/>
      <c r="W12" s="24">
        <f t="shared" si="1"/>
        <v>-1</v>
      </c>
      <c r="X12" s="25">
        <f>(F12/E12)-1</f>
        <v>-1</v>
      </c>
    </row>
    <row r="13" spans="1:24" s="23" customFormat="1" ht="29.5" customHeight="1" x14ac:dyDescent="0.3">
      <c r="A13" s="16"/>
      <c r="B13" s="17" t="s">
        <v>29</v>
      </c>
      <c r="C13" s="18" t="s">
        <v>30</v>
      </c>
      <c r="D13" s="19">
        <f t="shared" si="0"/>
        <v>-1</v>
      </c>
      <c r="E13" s="48" t="s">
        <v>31</v>
      </c>
      <c r="F13" s="113"/>
      <c r="G13" s="103" t="s">
        <v>32</v>
      </c>
      <c r="H13" s="21" t="s">
        <v>33</v>
      </c>
      <c r="I13" s="21" t="s">
        <v>34</v>
      </c>
      <c r="J13" s="22"/>
      <c r="K13" s="16"/>
      <c r="L13" s="16"/>
      <c r="M13" s="1"/>
      <c r="N13" s="16"/>
      <c r="O13" s="16"/>
      <c r="P13" s="16"/>
      <c r="Q13" s="16"/>
      <c r="R13" s="16"/>
      <c r="S13" s="16"/>
      <c r="T13" s="16"/>
      <c r="W13" s="24">
        <f t="shared" si="1"/>
        <v>-1</v>
      </c>
      <c r="X13" s="25">
        <f>IF(F13="Yes", 10%, IF(F13="Sort of", -1%, -50%))</f>
        <v>-0.5</v>
      </c>
    </row>
    <row r="14" spans="1:24" s="23" customFormat="1" ht="29.5" customHeight="1" x14ac:dyDescent="0.3">
      <c r="A14" s="16"/>
      <c r="B14" s="49"/>
      <c r="C14" s="27" t="s">
        <v>35</v>
      </c>
      <c r="D14" s="28">
        <f t="shared" si="0"/>
        <v>-1</v>
      </c>
      <c r="E14" s="41">
        <v>150000</v>
      </c>
      <c r="F14" s="111"/>
      <c r="G14" s="104" t="s">
        <v>36</v>
      </c>
      <c r="H14" s="30" t="s">
        <v>18</v>
      </c>
      <c r="I14" s="30" t="s">
        <v>37</v>
      </c>
      <c r="J14" s="31"/>
      <c r="K14" s="16"/>
      <c r="L14" s="16"/>
      <c r="M14" s="1"/>
      <c r="N14" s="16"/>
      <c r="O14" s="16"/>
      <c r="P14" s="16"/>
      <c r="Q14" s="16"/>
      <c r="R14" s="16"/>
      <c r="S14" s="16"/>
      <c r="T14" s="16"/>
      <c r="W14" s="24">
        <f t="shared" si="1"/>
        <v>-1</v>
      </c>
      <c r="X14" s="25">
        <f t="shared" ref="X14:X20" si="3">(F14/E14)-1</f>
        <v>-1</v>
      </c>
    </row>
    <row r="15" spans="1:24" s="23" customFormat="1" ht="29.5" customHeight="1" x14ac:dyDescent="0.3">
      <c r="A15" s="16"/>
      <c r="B15" s="49"/>
      <c r="C15" s="50" t="s">
        <v>38</v>
      </c>
      <c r="D15" s="28">
        <f t="shared" si="0"/>
        <v>-1</v>
      </c>
      <c r="E15" s="32">
        <v>0.4</v>
      </c>
      <c r="F15" s="109"/>
      <c r="G15" s="104"/>
      <c r="H15" s="30" t="s">
        <v>15</v>
      </c>
      <c r="I15" s="30" t="s">
        <v>39</v>
      </c>
      <c r="J15" s="31"/>
      <c r="K15" s="16"/>
      <c r="L15" s="16"/>
      <c r="M15" s="1"/>
      <c r="N15" s="16"/>
      <c r="O15" s="16"/>
      <c r="P15" s="16"/>
      <c r="Q15" s="16"/>
      <c r="R15" s="16"/>
      <c r="S15" s="16"/>
      <c r="T15" s="16"/>
      <c r="W15" s="24">
        <f t="shared" si="1"/>
        <v>-1</v>
      </c>
      <c r="X15" s="25">
        <f t="shared" si="3"/>
        <v>-1</v>
      </c>
    </row>
    <row r="16" spans="1:24" s="23" customFormat="1" ht="29.5" customHeight="1" x14ac:dyDescent="0.35">
      <c r="A16" s="16"/>
      <c r="B16" s="49"/>
      <c r="C16" s="27" t="s">
        <v>40</v>
      </c>
      <c r="D16" s="28">
        <f t="shared" si="0"/>
        <v>-1</v>
      </c>
      <c r="E16" s="32">
        <v>0.45</v>
      </c>
      <c r="F16" s="108"/>
      <c r="G16" s="104"/>
      <c r="H16" s="30" t="s">
        <v>37</v>
      </c>
      <c r="I16" s="30" t="s">
        <v>37</v>
      </c>
      <c r="J16" s="31"/>
      <c r="K16" s="16"/>
      <c r="L16" s="51"/>
      <c r="M16" s="51"/>
      <c r="N16" s="51"/>
      <c r="O16" s="16"/>
      <c r="P16" s="16"/>
      <c r="Q16" s="16"/>
      <c r="R16" s="16"/>
      <c r="S16" s="16"/>
      <c r="T16" s="16"/>
      <c r="W16" s="24">
        <f t="shared" si="1"/>
        <v>-1</v>
      </c>
      <c r="X16" s="25">
        <f t="shared" si="3"/>
        <v>-1</v>
      </c>
    </row>
    <row r="17" spans="1:24" s="23" customFormat="1" ht="29.5" customHeight="1" x14ac:dyDescent="0.35">
      <c r="A17" s="16"/>
      <c r="B17" s="49"/>
      <c r="C17" s="27" t="s">
        <v>41</v>
      </c>
      <c r="D17" s="28">
        <f t="shared" si="0"/>
        <v>-1</v>
      </c>
      <c r="E17" s="41">
        <v>800</v>
      </c>
      <c r="F17" s="111"/>
      <c r="G17" s="104" t="s">
        <v>36</v>
      </c>
      <c r="H17" s="52" t="s">
        <v>42</v>
      </c>
      <c r="I17" s="30" t="s">
        <v>15</v>
      </c>
      <c r="J17" s="53" t="s">
        <v>37</v>
      </c>
      <c r="K17" s="16"/>
      <c r="L17" s="51"/>
      <c r="M17" s="51"/>
      <c r="N17" s="51"/>
      <c r="O17" s="16"/>
      <c r="P17" s="16"/>
      <c r="Q17" s="16"/>
      <c r="R17" s="16"/>
      <c r="S17" s="16"/>
      <c r="T17" s="16"/>
      <c r="W17" s="24">
        <f t="shared" si="1"/>
        <v>-1</v>
      </c>
      <c r="X17" s="25">
        <f>(F17/E17)-1</f>
        <v>-1</v>
      </c>
    </row>
    <row r="18" spans="1:24" s="23" customFormat="1" ht="29.5" customHeight="1" x14ac:dyDescent="0.3">
      <c r="A18" s="16"/>
      <c r="B18" s="49"/>
      <c r="C18" s="27" t="s">
        <v>43</v>
      </c>
      <c r="D18" s="28">
        <f t="shared" si="0"/>
        <v>-1</v>
      </c>
      <c r="E18" s="54">
        <v>3</v>
      </c>
      <c r="F18" s="100">
        <f>IFERROR((F11/12)/F17,0)</f>
        <v>0</v>
      </c>
      <c r="G18" s="104"/>
      <c r="H18" s="30"/>
      <c r="I18" s="55"/>
      <c r="J18" s="53"/>
      <c r="K18" s="16"/>
      <c r="L18" s="16"/>
      <c r="M18" s="1"/>
      <c r="N18" s="16"/>
      <c r="O18" s="16"/>
      <c r="P18" s="16"/>
      <c r="Q18" s="16"/>
      <c r="R18" s="16"/>
      <c r="S18" s="16"/>
      <c r="T18" s="16"/>
      <c r="W18" s="24">
        <f t="shared" si="1"/>
        <v>-1</v>
      </c>
      <c r="X18" s="25">
        <f t="shared" si="3"/>
        <v>-1</v>
      </c>
    </row>
    <row r="19" spans="1:24" s="23" customFormat="1" ht="29.5" customHeight="1" x14ac:dyDescent="0.3">
      <c r="A19" s="16"/>
      <c r="B19" s="49"/>
      <c r="C19" s="27" t="s">
        <v>44</v>
      </c>
      <c r="D19" s="28">
        <f t="shared" si="0"/>
        <v>-1</v>
      </c>
      <c r="E19" s="102">
        <f>E11/36</f>
        <v>1388.8888888888889</v>
      </c>
      <c r="F19" s="101">
        <f>F11/36</f>
        <v>0</v>
      </c>
      <c r="G19" s="104" t="s">
        <v>45</v>
      </c>
      <c r="H19" s="30"/>
      <c r="I19" s="55"/>
      <c r="J19" s="53"/>
      <c r="K19" s="16"/>
      <c r="L19" s="16"/>
      <c r="M19" s="1"/>
      <c r="N19" s="16"/>
      <c r="O19" s="16"/>
      <c r="P19" s="16"/>
      <c r="Q19" s="16"/>
      <c r="R19" s="16"/>
      <c r="S19" s="16"/>
      <c r="T19" s="16"/>
      <c r="W19" s="24">
        <f t="shared" si="1"/>
        <v>-1</v>
      </c>
      <c r="X19" s="25">
        <f t="shared" si="3"/>
        <v>-1</v>
      </c>
    </row>
    <row r="20" spans="1:24" s="23" customFormat="1" ht="29.5" customHeight="1" x14ac:dyDescent="0.35">
      <c r="A20" s="16"/>
      <c r="B20" s="49"/>
      <c r="C20" s="27" t="s">
        <v>46</v>
      </c>
      <c r="D20" s="28">
        <f t="shared" si="0"/>
        <v>-1</v>
      </c>
      <c r="E20" s="56">
        <v>70</v>
      </c>
      <c r="F20" s="114"/>
      <c r="G20" s="104"/>
      <c r="H20" s="30" t="s">
        <v>47</v>
      </c>
      <c r="I20" s="30"/>
      <c r="J20" s="31"/>
      <c r="K20" s="16"/>
      <c r="L20" s="51"/>
      <c r="M20" s="51"/>
      <c r="N20" s="51"/>
      <c r="O20" s="16"/>
      <c r="P20" s="16"/>
      <c r="Q20" s="16"/>
      <c r="R20" s="16"/>
      <c r="S20" s="16"/>
      <c r="T20" s="16"/>
      <c r="W20" s="24">
        <f t="shared" si="1"/>
        <v>-1</v>
      </c>
      <c r="X20" s="25">
        <f t="shared" si="3"/>
        <v>-1</v>
      </c>
    </row>
    <row r="21" spans="1:24" s="23" customFormat="1" ht="29.5" customHeight="1" thickBot="1" x14ac:dyDescent="0.4">
      <c r="A21" s="16"/>
      <c r="B21" s="44"/>
      <c r="C21" s="34" t="s">
        <v>48</v>
      </c>
      <c r="D21" s="35">
        <f t="shared" si="0"/>
        <v>1</v>
      </c>
      <c r="E21" s="57">
        <v>0.1</v>
      </c>
      <c r="F21" s="115"/>
      <c r="G21" s="105" t="s">
        <v>49</v>
      </c>
      <c r="H21" s="47" t="s">
        <v>18</v>
      </c>
      <c r="I21" s="58" t="s">
        <v>42</v>
      </c>
      <c r="J21" s="38"/>
      <c r="K21" s="16"/>
      <c r="L21" s="51"/>
      <c r="M21" s="51"/>
      <c r="N21" s="51"/>
      <c r="O21" s="16"/>
      <c r="P21" s="16"/>
      <c r="Q21" s="16"/>
      <c r="R21" s="16"/>
      <c r="S21" s="16"/>
      <c r="T21" s="16"/>
      <c r="W21" s="24">
        <f t="shared" si="1"/>
        <v>1</v>
      </c>
      <c r="X21" s="25">
        <f>1-(F21/E21)</f>
        <v>1</v>
      </c>
    </row>
    <row r="22" spans="1:24" s="23" customFormat="1" ht="29.5" customHeight="1" x14ac:dyDescent="0.3">
      <c r="A22" s="16"/>
      <c r="B22" s="17" t="s">
        <v>50</v>
      </c>
      <c r="C22" s="18" t="s">
        <v>51</v>
      </c>
      <c r="D22" s="19">
        <f t="shared" si="0"/>
        <v>-1</v>
      </c>
      <c r="E22" s="59">
        <v>0.02</v>
      </c>
      <c r="F22" s="107"/>
      <c r="G22" s="103" t="s">
        <v>52</v>
      </c>
      <c r="H22" s="60" t="s">
        <v>53</v>
      </c>
      <c r="I22" s="61" t="s">
        <v>54</v>
      </c>
      <c r="J22" s="62" t="s">
        <v>42</v>
      </c>
      <c r="K22" s="16"/>
      <c r="L22" s="51"/>
      <c r="M22" s="51"/>
      <c r="N22" s="51"/>
      <c r="O22" s="51"/>
      <c r="P22" s="16"/>
      <c r="Q22" s="16"/>
      <c r="R22" s="16"/>
      <c r="S22" s="16"/>
      <c r="T22" s="16"/>
      <c r="W22" s="24">
        <f t="shared" si="1"/>
        <v>-1</v>
      </c>
      <c r="X22" s="25">
        <f>(F22/E22)-1</f>
        <v>-1</v>
      </c>
    </row>
    <row r="23" spans="1:24" s="23" customFormat="1" ht="29.5" customHeight="1" x14ac:dyDescent="0.35">
      <c r="A23" s="16"/>
      <c r="B23" s="26"/>
      <c r="C23" s="27" t="s">
        <v>55</v>
      </c>
      <c r="D23" s="28">
        <f t="shared" si="0"/>
        <v>-1</v>
      </c>
      <c r="E23" s="63" t="s">
        <v>31</v>
      </c>
      <c r="F23" s="116"/>
      <c r="G23" s="104" t="s">
        <v>78</v>
      </c>
      <c r="H23" s="64" t="s">
        <v>56</v>
      </c>
      <c r="I23" s="30" t="s">
        <v>57</v>
      </c>
      <c r="J23" s="31"/>
      <c r="K23" s="16"/>
      <c r="L23" s="51"/>
      <c r="M23" s="51"/>
      <c r="N23" s="51"/>
      <c r="O23" s="51"/>
      <c r="P23" s="51"/>
      <c r="Q23" s="51"/>
      <c r="R23" s="51"/>
      <c r="S23" s="51"/>
      <c r="T23" s="51"/>
      <c r="U23" s="65"/>
      <c r="W23" s="24">
        <f t="shared" si="1"/>
        <v>-1</v>
      </c>
      <c r="X23" s="25">
        <f>IF(F23="Yes", 10%, IF(F23="No", -50%, -50%))</f>
        <v>-0.5</v>
      </c>
    </row>
    <row r="24" spans="1:24" s="23" customFormat="1" ht="29.5" customHeight="1" thickBot="1" x14ac:dyDescent="0.4">
      <c r="A24" s="16"/>
      <c r="B24" s="33"/>
      <c r="C24" s="34" t="s">
        <v>58</v>
      </c>
      <c r="D24" s="35">
        <f t="shared" si="0"/>
        <v>1</v>
      </c>
      <c r="E24" s="57">
        <v>0.08</v>
      </c>
      <c r="F24" s="115"/>
      <c r="G24" s="105" t="s">
        <v>59</v>
      </c>
      <c r="H24" s="66" t="s">
        <v>54</v>
      </c>
      <c r="I24" s="47" t="s">
        <v>60</v>
      </c>
      <c r="J24" s="67" t="s">
        <v>15</v>
      </c>
      <c r="K24" s="16"/>
      <c r="L24" s="51"/>
      <c r="M24" s="51"/>
      <c r="N24" s="51"/>
      <c r="O24" s="51"/>
      <c r="P24" s="51"/>
      <c r="Q24" s="68"/>
      <c r="R24" s="68"/>
      <c r="S24" s="68"/>
      <c r="T24" s="68"/>
      <c r="U24" s="69"/>
      <c r="W24" s="24">
        <f t="shared" si="1"/>
        <v>1</v>
      </c>
      <c r="X24" s="25">
        <f>1-(F24/E24)</f>
        <v>1</v>
      </c>
    </row>
    <row r="25" spans="1:24" ht="12.5" thickBot="1" x14ac:dyDescent="0.35">
      <c r="A25" s="1"/>
      <c r="B25" s="1"/>
      <c r="C25" s="8"/>
      <c r="D25" s="1"/>
      <c r="E25" s="1"/>
      <c r="F25" s="70"/>
      <c r="G25" s="1"/>
      <c r="H25" s="71"/>
      <c r="I25" s="71"/>
      <c r="J25" s="71"/>
      <c r="K25" s="1"/>
      <c r="L25" s="8"/>
      <c r="M25" s="8"/>
      <c r="N25" s="8"/>
      <c r="O25" s="8"/>
      <c r="P25" s="8"/>
      <c r="Q25" s="72"/>
      <c r="R25" s="72"/>
      <c r="S25" s="72"/>
      <c r="T25" s="72"/>
      <c r="U25" s="73"/>
    </row>
    <row r="26" spans="1:24" ht="24" customHeight="1" thickBot="1" x14ac:dyDescent="0.35">
      <c r="A26" s="1"/>
      <c r="B26" s="74" t="s">
        <v>61</v>
      </c>
      <c r="C26" s="75"/>
      <c r="D26" s="75"/>
      <c r="E26" s="75"/>
      <c r="F26" s="75"/>
      <c r="G26" s="75"/>
      <c r="H26" s="75"/>
      <c r="I26" s="75"/>
      <c r="J26" s="76"/>
      <c r="K26" s="8"/>
      <c r="L26" s="8"/>
      <c r="M26" s="8"/>
      <c r="N26" s="1"/>
      <c r="O26" s="1"/>
      <c r="P26" s="1"/>
      <c r="Q26" s="1"/>
      <c r="R26" s="1"/>
      <c r="S26" s="1"/>
      <c r="T26" s="1"/>
    </row>
    <row r="27" spans="1:24" ht="15.75" customHeight="1" x14ac:dyDescent="0.3">
      <c r="A27" s="1"/>
      <c r="B27" s="77"/>
      <c r="C27" s="78"/>
      <c r="D27" s="78"/>
      <c r="E27" s="78"/>
      <c r="F27" s="79"/>
      <c r="G27" s="79" t="s">
        <v>56</v>
      </c>
      <c r="H27" s="80" t="s">
        <v>62</v>
      </c>
      <c r="I27" s="78"/>
      <c r="J27" s="81"/>
      <c r="K27" s="1"/>
      <c r="L27" s="8"/>
      <c r="M27" s="8"/>
      <c r="N27" s="8"/>
      <c r="O27" s="8"/>
      <c r="P27" s="8"/>
      <c r="Q27" s="72"/>
      <c r="R27" s="72"/>
      <c r="S27" s="72"/>
      <c r="T27" s="72"/>
      <c r="U27" s="73"/>
    </row>
    <row r="28" spans="1:24" ht="15.75" customHeight="1" x14ac:dyDescent="0.3">
      <c r="A28" s="1"/>
      <c r="B28" s="77"/>
      <c r="C28" s="78"/>
      <c r="D28" s="78"/>
      <c r="E28" s="78"/>
      <c r="F28" s="82"/>
      <c r="G28" s="78"/>
      <c r="H28" s="83"/>
      <c r="I28" s="83"/>
      <c r="J28" s="84"/>
      <c r="K28" s="8"/>
      <c r="L28" s="8"/>
      <c r="M28" s="85"/>
      <c r="N28" s="1"/>
      <c r="O28" s="1"/>
      <c r="P28" s="1"/>
      <c r="Q28" s="1"/>
      <c r="R28" s="1"/>
      <c r="S28" s="1"/>
      <c r="T28" s="1"/>
    </row>
    <row r="29" spans="1:24" ht="12" x14ac:dyDescent="0.3">
      <c r="A29" s="1"/>
      <c r="B29" s="77"/>
      <c r="C29" s="78"/>
      <c r="D29" s="78"/>
      <c r="E29" s="78"/>
      <c r="F29" s="78"/>
      <c r="G29" s="78"/>
      <c r="H29" s="83"/>
      <c r="I29" s="83"/>
      <c r="J29" s="84"/>
      <c r="K29" s="8"/>
      <c r="L29" s="8"/>
      <c r="M29" s="8"/>
      <c r="N29" s="1"/>
      <c r="O29" s="1"/>
      <c r="P29" s="1"/>
      <c r="Q29" s="1"/>
      <c r="R29" s="1"/>
      <c r="S29" s="1"/>
      <c r="T29" s="1"/>
    </row>
    <row r="30" spans="1:24" ht="15.75" customHeight="1" x14ac:dyDescent="0.3">
      <c r="A30" s="1"/>
      <c r="B30" s="77"/>
      <c r="C30" s="78"/>
      <c r="D30" s="78"/>
      <c r="E30" s="78"/>
      <c r="F30" s="78"/>
      <c r="G30" s="78"/>
      <c r="H30" s="83"/>
      <c r="I30" s="83"/>
      <c r="J30" s="84"/>
      <c r="K30" s="8"/>
      <c r="L30" s="8"/>
      <c r="M30" s="8"/>
      <c r="N30" s="1"/>
      <c r="O30" s="1"/>
      <c r="P30" s="1"/>
      <c r="Q30" s="1"/>
      <c r="R30" s="1"/>
      <c r="S30" s="1"/>
      <c r="T30" s="1"/>
    </row>
    <row r="31" spans="1:24" ht="15.75" customHeight="1" x14ac:dyDescent="0.3">
      <c r="A31" s="1"/>
      <c r="B31" s="77"/>
      <c r="C31" s="78"/>
      <c r="D31" s="78"/>
      <c r="E31" s="78"/>
      <c r="F31" s="78"/>
      <c r="G31" s="78"/>
      <c r="H31" s="83"/>
      <c r="I31" s="83"/>
      <c r="J31" s="84"/>
      <c r="K31" s="8"/>
      <c r="L31" s="8"/>
      <c r="M31" s="8"/>
      <c r="N31" s="1"/>
      <c r="O31" s="1"/>
      <c r="P31" s="1"/>
      <c r="Q31" s="1"/>
      <c r="R31" s="1"/>
      <c r="S31" s="1"/>
      <c r="T31" s="1"/>
    </row>
    <row r="32" spans="1:24" ht="15.75" customHeight="1" x14ac:dyDescent="0.3">
      <c r="A32" s="1"/>
      <c r="B32" s="77"/>
      <c r="C32" s="78"/>
      <c r="D32" s="78"/>
      <c r="E32" s="78"/>
      <c r="F32" s="78"/>
      <c r="G32" s="78"/>
      <c r="H32" s="83"/>
      <c r="I32" s="83"/>
      <c r="J32" s="84"/>
      <c r="K32" s="8"/>
      <c r="L32" s="8"/>
      <c r="M32" s="8"/>
      <c r="N32" s="1"/>
      <c r="O32" s="1"/>
      <c r="P32" s="1"/>
      <c r="Q32" s="1"/>
      <c r="R32" s="1"/>
      <c r="S32" s="1"/>
      <c r="T32" s="1"/>
    </row>
    <row r="33" spans="1:20" ht="15.75" customHeight="1" x14ac:dyDescent="0.3">
      <c r="A33" s="1"/>
      <c r="B33" s="77"/>
      <c r="C33" s="78"/>
      <c r="D33" s="78"/>
      <c r="E33" s="78"/>
      <c r="F33" s="78"/>
      <c r="G33" s="78"/>
      <c r="H33" s="83"/>
      <c r="I33" s="83"/>
      <c r="J33" s="84"/>
      <c r="K33" s="8"/>
      <c r="L33" s="8"/>
      <c r="M33" s="8"/>
      <c r="N33" s="1"/>
      <c r="O33" s="1"/>
      <c r="P33" s="1"/>
      <c r="Q33" s="1"/>
      <c r="R33" s="1"/>
      <c r="S33" s="1"/>
      <c r="T33" s="1"/>
    </row>
    <row r="34" spans="1:20" ht="15.75" customHeight="1" x14ac:dyDescent="0.3">
      <c r="A34" s="1"/>
      <c r="B34" s="77"/>
      <c r="C34" s="78"/>
      <c r="D34" s="78"/>
      <c r="E34" s="78"/>
      <c r="F34" s="78"/>
      <c r="G34" s="78"/>
      <c r="H34" s="83"/>
      <c r="I34" s="83"/>
      <c r="J34" s="84"/>
      <c r="K34" s="8"/>
      <c r="L34" s="8"/>
      <c r="M34" s="8"/>
      <c r="N34" s="1"/>
      <c r="O34" s="1"/>
      <c r="P34" s="1"/>
      <c r="Q34" s="1"/>
      <c r="R34" s="1"/>
      <c r="S34" s="1"/>
      <c r="T34" s="1"/>
    </row>
    <row r="35" spans="1:20" ht="15.75" customHeight="1" x14ac:dyDescent="0.3">
      <c r="A35" s="1"/>
      <c r="B35" s="77"/>
      <c r="C35" s="78"/>
      <c r="D35" s="78"/>
      <c r="E35" s="78"/>
      <c r="F35" s="78"/>
      <c r="G35" s="78"/>
      <c r="H35" s="83"/>
      <c r="I35" s="83"/>
      <c r="J35" s="84"/>
      <c r="K35" s="8"/>
      <c r="L35" s="8"/>
      <c r="M35" s="8"/>
      <c r="N35" s="1"/>
      <c r="O35" s="1"/>
      <c r="P35" s="1"/>
      <c r="Q35" s="1"/>
      <c r="R35" s="1"/>
      <c r="S35" s="1"/>
      <c r="T35" s="1"/>
    </row>
    <row r="36" spans="1:20" ht="15.75" customHeight="1" x14ac:dyDescent="0.3">
      <c r="A36" s="1"/>
      <c r="B36" s="77"/>
      <c r="C36" s="78"/>
      <c r="D36" s="78"/>
      <c r="E36" s="78"/>
      <c r="F36" s="78"/>
      <c r="G36" s="78"/>
      <c r="H36" s="83"/>
      <c r="I36" s="83"/>
      <c r="J36" s="84"/>
      <c r="K36" s="8"/>
      <c r="L36" s="8"/>
      <c r="M36" s="8"/>
      <c r="N36" s="1"/>
      <c r="O36" s="1"/>
      <c r="P36" s="1"/>
      <c r="Q36" s="1"/>
      <c r="R36" s="1"/>
      <c r="S36" s="1"/>
      <c r="T36" s="1"/>
    </row>
    <row r="37" spans="1:20" ht="15.75" customHeight="1" x14ac:dyDescent="0.3">
      <c r="A37" s="1"/>
      <c r="B37" s="77"/>
      <c r="C37" s="78"/>
      <c r="D37" s="78"/>
      <c r="E37" s="78"/>
      <c r="F37" s="78"/>
      <c r="G37" s="78"/>
      <c r="H37" s="83"/>
      <c r="I37" s="83"/>
      <c r="J37" s="84"/>
      <c r="K37" s="8"/>
      <c r="L37" s="8"/>
      <c r="M37" s="8"/>
      <c r="N37" s="1"/>
      <c r="O37" s="1"/>
      <c r="P37" s="1"/>
      <c r="Q37" s="1"/>
      <c r="R37" s="1"/>
      <c r="S37" s="1"/>
      <c r="T37" s="1"/>
    </row>
    <row r="38" spans="1:20" ht="15.75" customHeight="1" x14ac:dyDescent="0.3">
      <c r="A38" s="1"/>
      <c r="B38" s="77"/>
      <c r="C38" s="78"/>
      <c r="D38" s="78"/>
      <c r="E38" s="78"/>
      <c r="F38" s="78"/>
      <c r="G38" s="78"/>
      <c r="H38" s="83"/>
      <c r="I38" s="83"/>
      <c r="J38" s="84"/>
      <c r="K38" s="8"/>
      <c r="L38" s="8"/>
      <c r="M38" s="8"/>
      <c r="N38" s="1"/>
      <c r="O38" s="1"/>
      <c r="P38" s="1"/>
      <c r="Q38" s="1"/>
      <c r="R38" s="1"/>
      <c r="S38" s="1"/>
      <c r="T38" s="1"/>
    </row>
    <row r="39" spans="1:20" ht="15.75" customHeight="1" x14ac:dyDescent="0.3">
      <c r="A39" s="1"/>
      <c r="B39" s="77"/>
      <c r="C39" s="78"/>
      <c r="D39" s="78"/>
      <c r="E39" s="78"/>
      <c r="F39" s="78"/>
      <c r="G39" s="78"/>
      <c r="H39" s="83"/>
      <c r="I39" s="83"/>
      <c r="J39" s="84"/>
      <c r="K39" s="8"/>
      <c r="L39" s="8"/>
      <c r="M39" s="8"/>
      <c r="N39" s="1"/>
      <c r="O39" s="1"/>
      <c r="P39" s="1"/>
      <c r="Q39" s="1"/>
      <c r="R39" s="1"/>
      <c r="S39" s="1"/>
      <c r="T39" s="1"/>
    </row>
    <row r="40" spans="1:20" ht="15.75" customHeight="1" x14ac:dyDescent="0.3">
      <c r="A40" s="1"/>
      <c r="B40" s="77"/>
      <c r="C40" s="78"/>
      <c r="D40" s="78"/>
      <c r="E40" s="78"/>
      <c r="F40" s="78"/>
      <c r="G40" s="78"/>
      <c r="H40" s="83"/>
      <c r="I40" s="83"/>
      <c r="J40" s="84"/>
      <c r="K40" s="8"/>
      <c r="L40" s="8"/>
      <c r="M40" s="8"/>
      <c r="N40" s="1"/>
      <c r="O40" s="1"/>
      <c r="P40" s="1"/>
      <c r="Q40" s="1"/>
      <c r="R40" s="1"/>
      <c r="S40" s="1"/>
      <c r="T40" s="1"/>
    </row>
    <row r="41" spans="1:20" ht="15.75" customHeight="1" x14ac:dyDescent="0.3">
      <c r="A41" s="1"/>
      <c r="B41" s="77"/>
      <c r="C41" s="78"/>
      <c r="D41" s="78"/>
      <c r="E41" s="78"/>
      <c r="F41" s="78"/>
      <c r="G41" s="78"/>
      <c r="H41" s="83"/>
      <c r="I41" s="83"/>
      <c r="J41" s="84"/>
      <c r="K41" s="8"/>
      <c r="L41" s="8"/>
      <c r="M41" s="8"/>
      <c r="N41" s="1"/>
      <c r="O41" s="1"/>
      <c r="P41" s="1"/>
      <c r="Q41" s="1"/>
      <c r="R41" s="1"/>
      <c r="S41" s="1"/>
      <c r="T41" s="1"/>
    </row>
    <row r="42" spans="1:20" ht="15.75" customHeight="1" x14ac:dyDescent="0.3">
      <c r="A42" s="1"/>
      <c r="B42" s="77"/>
      <c r="C42" s="78"/>
      <c r="D42" s="78"/>
      <c r="E42" s="78"/>
      <c r="F42" s="78"/>
      <c r="G42" s="78"/>
      <c r="H42" s="83"/>
      <c r="I42" s="83"/>
      <c r="J42" s="84"/>
      <c r="K42" s="8"/>
      <c r="L42" s="8"/>
      <c r="M42" s="8"/>
      <c r="N42" s="1"/>
      <c r="O42" s="1"/>
      <c r="P42" s="1"/>
      <c r="Q42" s="1"/>
      <c r="R42" s="1"/>
      <c r="S42" s="1"/>
      <c r="T42" s="1"/>
    </row>
    <row r="43" spans="1:20" ht="15.75" customHeight="1" thickBot="1" x14ac:dyDescent="0.35">
      <c r="A43" s="1"/>
      <c r="B43" s="86"/>
      <c r="C43" s="87"/>
      <c r="D43" s="87"/>
      <c r="E43" s="87"/>
      <c r="F43" s="87"/>
      <c r="G43" s="87"/>
      <c r="H43" s="88"/>
      <c r="I43" s="88"/>
      <c r="J43" s="89"/>
      <c r="K43" s="8"/>
      <c r="L43" s="8"/>
      <c r="M43" s="8"/>
      <c r="N43" s="1"/>
      <c r="O43" s="1"/>
      <c r="P43" s="1"/>
      <c r="Q43" s="1"/>
      <c r="R43" s="1"/>
      <c r="S43" s="1"/>
      <c r="T43" s="1"/>
    </row>
    <row r="44" spans="1:20" ht="12.5" thickBo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"/>
      <c r="O44" s="1"/>
      <c r="P44" s="1"/>
      <c r="Q44" s="1"/>
      <c r="R44" s="1"/>
      <c r="S44" s="1"/>
      <c r="T44" s="1"/>
    </row>
    <row r="45" spans="1:20" ht="24" customHeight="1" thickBot="1" x14ac:dyDescent="0.35">
      <c r="A45" s="1"/>
      <c r="B45" s="74" t="s">
        <v>63</v>
      </c>
      <c r="C45" s="75"/>
      <c r="D45" s="75"/>
      <c r="E45" s="75"/>
      <c r="F45" s="75"/>
      <c r="G45" s="75"/>
      <c r="H45" s="75"/>
      <c r="I45" s="75"/>
      <c r="J45" s="76"/>
      <c r="K45" s="8"/>
      <c r="L45" s="8"/>
      <c r="M45" s="8"/>
      <c r="N45" s="1"/>
      <c r="O45" s="1"/>
      <c r="P45" s="1"/>
      <c r="Q45" s="1"/>
      <c r="R45" s="1"/>
      <c r="S45" s="1"/>
      <c r="T45" s="1"/>
    </row>
    <row r="46" spans="1:20" ht="14.15" customHeight="1" x14ac:dyDescent="0.3">
      <c r="A46" s="1"/>
      <c r="B46" s="90" t="s">
        <v>64</v>
      </c>
      <c r="C46" s="78"/>
      <c r="D46" s="78"/>
      <c r="E46" s="78"/>
      <c r="F46" s="78"/>
      <c r="G46" s="78"/>
      <c r="H46" s="78"/>
      <c r="I46" s="78"/>
      <c r="J46" s="81"/>
      <c r="K46" s="8"/>
      <c r="L46" s="8"/>
      <c r="M46" s="8"/>
      <c r="N46" s="1"/>
      <c r="O46" s="1"/>
      <c r="P46" s="1"/>
      <c r="Q46" s="1"/>
      <c r="R46" s="1"/>
      <c r="S46" s="1"/>
      <c r="T46" s="1"/>
    </row>
    <row r="47" spans="1:20" ht="14.15" customHeight="1" x14ac:dyDescent="0.3">
      <c r="A47" s="1"/>
      <c r="B47" s="90" t="s">
        <v>65</v>
      </c>
      <c r="C47" s="91"/>
      <c r="D47" s="78"/>
      <c r="E47" s="92"/>
      <c r="F47" s="92"/>
      <c r="G47" s="78"/>
      <c r="H47" s="78"/>
      <c r="I47" s="78"/>
      <c r="J47" s="81"/>
      <c r="K47" s="8"/>
      <c r="L47" s="8"/>
      <c r="M47" s="8"/>
      <c r="N47" s="1"/>
      <c r="O47" s="1"/>
      <c r="P47" s="1"/>
      <c r="Q47" s="1"/>
      <c r="R47" s="1"/>
      <c r="S47" s="1"/>
      <c r="T47" s="1"/>
    </row>
    <row r="48" spans="1:20" ht="14.15" customHeight="1" x14ac:dyDescent="0.3">
      <c r="A48" s="1"/>
      <c r="B48" s="90" t="s">
        <v>66</v>
      </c>
      <c r="C48" s="91"/>
      <c r="D48" s="78"/>
      <c r="E48" s="92"/>
      <c r="F48" s="92"/>
      <c r="G48" s="78"/>
      <c r="H48" s="78"/>
      <c r="I48" s="78"/>
      <c r="J48" s="81"/>
      <c r="K48" s="8"/>
      <c r="L48" s="8"/>
      <c r="M48" s="8"/>
      <c r="N48" s="1"/>
      <c r="O48" s="1"/>
      <c r="P48" s="1"/>
      <c r="Q48" s="1"/>
      <c r="R48" s="1"/>
      <c r="S48" s="1"/>
      <c r="T48" s="1"/>
    </row>
    <row r="49" spans="1:20" ht="14.15" customHeight="1" x14ac:dyDescent="0.3">
      <c r="A49" s="1"/>
      <c r="B49" s="93" t="s">
        <v>67</v>
      </c>
      <c r="C49" s="94"/>
      <c r="D49" s="78"/>
      <c r="E49" s="92"/>
      <c r="F49" s="92"/>
      <c r="G49" s="78"/>
      <c r="H49" s="78"/>
      <c r="I49" s="78"/>
      <c r="J49" s="81"/>
      <c r="K49" s="8"/>
      <c r="L49" s="8"/>
      <c r="M49" s="8"/>
      <c r="N49" s="1"/>
      <c r="O49" s="1"/>
      <c r="P49" s="1"/>
      <c r="Q49" s="1"/>
      <c r="R49" s="1"/>
      <c r="S49" s="1"/>
      <c r="T49" s="1"/>
    </row>
    <row r="50" spans="1:20" ht="14.15" customHeight="1" x14ac:dyDescent="0.3">
      <c r="A50" s="1"/>
      <c r="B50" s="93" t="s">
        <v>68</v>
      </c>
      <c r="C50" s="94"/>
      <c r="D50" s="94"/>
      <c r="E50" s="92"/>
      <c r="F50" s="92"/>
      <c r="G50" s="78"/>
      <c r="H50" s="78"/>
      <c r="I50" s="78"/>
      <c r="J50" s="81"/>
      <c r="K50" s="8"/>
      <c r="L50" s="8"/>
      <c r="M50" s="8"/>
      <c r="N50" s="1"/>
      <c r="O50" s="1"/>
      <c r="P50" s="1"/>
      <c r="Q50" s="1"/>
      <c r="R50" s="1"/>
      <c r="S50" s="1"/>
      <c r="T50" s="1"/>
    </row>
    <row r="51" spans="1:20" ht="14.15" customHeight="1" x14ac:dyDescent="0.3">
      <c r="A51" s="1"/>
      <c r="B51" s="93" t="s">
        <v>69</v>
      </c>
      <c r="C51" s="94"/>
      <c r="D51" s="94"/>
      <c r="E51" s="92"/>
      <c r="F51" s="92"/>
      <c r="G51" s="78"/>
      <c r="H51" s="78"/>
      <c r="I51" s="78"/>
      <c r="J51" s="81"/>
      <c r="K51" s="8"/>
      <c r="L51" s="8"/>
      <c r="M51" s="8"/>
      <c r="N51" s="1"/>
      <c r="O51" s="1"/>
      <c r="P51" s="1"/>
      <c r="Q51" s="1"/>
      <c r="R51" s="1"/>
      <c r="S51" s="1"/>
      <c r="T51" s="1"/>
    </row>
    <row r="52" spans="1:20" ht="14.15" customHeight="1" x14ac:dyDescent="0.3">
      <c r="A52" s="1"/>
      <c r="B52" s="93" t="s">
        <v>37</v>
      </c>
      <c r="C52" s="94"/>
      <c r="D52" s="94"/>
      <c r="E52" s="92"/>
      <c r="F52" s="92"/>
      <c r="G52" s="78"/>
      <c r="H52" s="78"/>
      <c r="I52" s="78"/>
      <c r="J52" s="81"/>
      <c r="K52" s="8"/>
      <c r="L52" s="8"/>
      <c r="M52" s="8"/>
      <c r="N52" s="1"/>
      <c r="O52" s="1"/>
      <c r="P52" s="1"/>
      <c r="Q52" s="1"/>
      <c r="R52" s="1"/>
      <c r="S52" s="1"/>
      <c r="T52" s="1"/>
    </row>
    <row r="53" spans="1:20" ht="14.15" customHeight="1" x14ac:dyDescent="0.3">
      <c r="A53" s="1"/>
      <c r="B53" s="93" t="s">
        <v>34</v>
      </c>
      <c r="C53" s="94"/>
      <c r="D53" s="94"/>
      <c r="E53" s="92"/>
      <c r="F53" s="92"/>
      <c r="G53" s="78"/>
      <c r="H53" s="78"/>
      <c r="I53" s="78"/>
      <c r="J53" s="81"/>
      <c r="K53" s="8"/>
      <c r="L53" s="8"/>
      <c r="M53" s="8"/>
      <c r="N53" s="1"/>
      <c r="O53" s="1"/>
      <c r="P53" s="1"/>
      <c r="Q53" s="1"/>
      <c r="R53" s="1"/>
      <c r="S53" s="1"/>
      <c r="T53" s="1"/>
    </row>
    <row r="54" spans="1:20" ht="14.15" customHeight="1" x14ac:dyDescent="0.3">
      <c r="A54" s="1"/>
      <c r="B54" s="95" t="s">
        <v>70</v>
      </c>
      <c r="C54" s="94"/>
      <c r="D54" s="94"/>
      <c r="E54" s="92"/>
      <c r="F54" s="92"/>
      <c r="G54" s="78"/>
      <c r="H54" s="78"/>
      <c r="I54" s="78"/>
      <c r="J54" s="81"/>
      <c r="K54" s="8"/>
      <c r="L54" s="8"/>
      <c r="M54" s="8"/>
      <c r="N54" s="1"/>
      <c r="O54" s="1"/>
      <c r="P54" s="1"/>
      <c r="Q54" s="1"/>
      <c r="R54" s="1"/>
      <c r="S54" s="1"/>
      <c r="T54" s="1"/>
    </row>
    <row r="55" spans="1:20" ht="14.15" customHeight="1" x14ac:dyDescent="0.3">
      <c r="A55" s="1"/>
      <c r="B55" s="96" t="s">
        <v>71</v>
      </c>
      <c r="C55" s="94"/>
      <c r="D55" s="94"/>
      <c r="E55" s="92"/>
      <c r="F55" s="92"/>
      <c r="G55" s="78"/>
      <c r="H55" s="78"/>
      <c r="I55" s="78"/>
      <c r="J55" s="81"/>
      <c r="K55" s="8"/>
      <c r="L55" s="8"/>
      <c r="M55" s="8"/>
      <c r="N55" s="1"/>
      <c r="O55" s="1"/>
      <c r="P55" s="1"/>
      <c r="Q55" s="1"/>
      <c r="R55" s="1"/>
      <c r="S55" s="1"/>
      <c r="T55" s="1"/>
    </row>
    <row r="56" spans="1:20" ht="14.15" customHeight="1" x14ac:dyDescent="0.3">
      <c r="A56" s="1"/>
      <c r="B56" s="96" t="s">
        <v>72</v>
      </c>
      <c r="C56" s="94"/>
      <c r="D56" s="94"/>
      <c r="E56" s="92"/>
      <c r="F56" s="92"/>
      <c r="G56" s="78"/>
      <c r="H56" s="78"/>
      <c r="I56" s="78"/>
      <c r="J56" s="81"/>
      <c r="K56" s="8"/>
      <c r="L56" s="1"/>
      <c r="M56" s="1"/>
      <c r="N56" s="1"/>
      <c r="O56" s="1"/>
      <c r="P56" s="1"/>
      <c r="Q56" s="1"/>
      <c r="R56" s="1"/>
      <c r="S56" s="1"/>
      <c r="T56" s="1"/>
    </row>
    <row r="57" spans="1:20" ht="14.15" customHeight="1" x14ac:dyDescent="0.3">
      <c r="A57" s="1"/>
      <c r="B57" s="96" t="s">
        <v>73</v>
      </c>
      <c r="C57" s="78"/>
      <c r="D57" s="78"/>
      <c r="E57" s="78"/>
      <c r="F57" s="78"/>
      <c r="G57" s="78"/>
      <c r="H57" s="78"/>
      <c r="I57" s="78"/>
      <c r="J57" s="81"/>
      <c r="K57" s="8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thickBot="1" x14ac:dyDescent="0.35">
      <c r="A58" s="1"/>
      <c r="B58" s="97" t="s">
        <v>74</v>
      </c>
      <c r="C58" s="98" t="s">
        <v>75</v>
      </c>
      <c r="D58" s="87"/>
      <c r="E58" s="87"/>
      <c r="F58" s="87"/>
      <c r="G58" s="87"/>
      <c r="H58" s="87"/>
      <c r="I58" s="87"/>
      <c r="J58" s="99"/>
      <c r="K58" s="8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8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8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8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8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 x14ac:dyDescent="0.3">
      <c r="A65" s="1"/>
      <c r="B65" s="1"/>
      <c r="C65" s="1"/>
      <c r="D65" s="1"/>
      <c r="E65" s="1"/>
      <c r="F65" s="1"/>
      <c r="G65" s="1"/>
      <c r="H65" s="1"/>
      <c r="I65" s="8"/>
      <c r="J65" s="8"/>
      <c r="K65" s="8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 x14ac:dyDescent="0.3">
      <c r="A66" s="1"/>
      <c r="B66" s="1"/>
      <c r="C66" s="1"/>
      <c r="D66" s="1"/>
      <c r="E66" s="1"/>
      <c r="F66" s="1"/>
      <c r="G66" s="1"/>
      <c r="H66" s="8"/>
      <c r="I66" s="8"/>
      <c r="J66" s="8"/>
      <c r="K66" s="8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 x14ac:dyDescent="0.3">
      <c r="A67" s="1"/>
      <c r="B67" s="1"/>
      <c r="C67" s="1"/>
      <c r="D67" s="1"/>
      <c r="E67" s="1"/>
      <c r="F67" s="1"/>
      <c r="G67" s="1"/>
      <c r="H67" s="8"/>
      <c r="I67" s="8"/>
      <c r="J67" s="8"/>
      <c r="K67" s="8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customHeight="1" x14ac:dyDescent="0.3"/>
    <row r="243" spans="1:20" ht="15.75" customHeight="1" x14ac:dyDescent="0.3"/>
    <row r="244" spans="1:20" ht="15.75" customHeight="1" x14ac:dyDescent="0.3"/>
    <row r="245" spans="1:20" ht="15.75" customHeight="1" x14ac:dyDescent="0.3"/>
    <row r="246" spans="1:20" ht="15.75" customHeight="1" x14ac:dyDescent="0.3"/>
    <row r="247" spans="1:20" ht="15.75" customHeight="1" x14ac:dyDescent="0.3"/>
    <row r="248" spans="1:20" ht="15.75" customHeight="1" x14ac:dyDescent="0.3"/>
    <row r="249" spans="1:20" ht="15.75" customHeight="1" x14ac:dyDescent="0.3"/>
    <row r="250" spans="1:20" ht="15.75" customHeight="1" x14ac:dyDescent="0.3"/>
    <row r="251" spans="1:20" ht="15.75" customHeight="1" x14ac:dyDescent="0.3"/>
    <row r="252" spans="1:20" ht="15.75" customHeight="1" x14ac:dyDescent="0.3"/>
    <row r="253" spans="1:20" ht="15.75" customHeight="1" x14ac:dyDescent="0.3"/>
    <row r="254" spans="1:20" ht="15.75" customHeight="1" x14ac:dyDescent="0.3"/>
    <row r="255" spans="1:20" ht="15.75" customHeight="1" x14ac:dyDescent="0.3"/>
    <row r="256" spans="1:20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conditionalFormatting sqref="D7:D24">
    <cfRule type="cellIs" dxfId="5" priority="16" operator="equal">
      <formula>-1</formula>
    </cfRule>
    <cfRule type="cellIs" dxfId="4" priority="17" operator="equal">
      <formula>0</formula>
    </cfRule>
    <cfRule type="cellIs" dxfId="3" priority="18" operator="equal">
      <formula>1</formula>
    </cfRule>
  </conditionalFormatting>
  <conditionalFormatting sqref="W7:W24">
    <cfRule type="cellIs" dxfId="2" priority="1" operator="equal">
      <formula>-1</formula>
    </cfRule>
    <cfRule type="cellIs" dxfId="1" priority="2" operator="equal">
      <formula>0</formula>
    </cfRule>
    <cfRule type="cellIs" dxfId="0" priority="3" operator="equal">
      <formula>1</formula>
    </cfRule>
  </conditionalFormatting>
  <dataValidations count="2">
    <dataValidation type="list" allowBlank="1" showInputMessage="1" showErrorMessage="1" sqref="F23" xr:uid="{854B1182-008F-4EFC-9DE7-2F5752E4B221}">
      <formula1>"Yes, No"</formula1>
    </dataValidation>
    <dataValidation type="list" allowBlank="1" showInputMessage="1" showErrorMessage="1" sqref="F13" xr:uid="{247E3962-2B8F-40F2-A434-7A3BBD8DBF6F}">
      <formula1>"Yes, Sort of, No"</formula1>
    </dataValidation>
  </dataValidations>
  <hyperlinks>
    <hyperlink ref="B46" r:id="rId1" xr:uid="{3DF73C18-9A0C-498C-9FA1-8A28042CF555}"/>
    <hyperlink ref="B47" r:id="rId2" xr:uid="{C4A3AB66-892F-477F-95CE-C345D765C340}"/>
    <hyperlink ref="B48" r:id="rId3" xr:uid="{3D5DD7DF-264A-4EE0-A27F-6C9EEA6B1EEA}"/>
    <hyperlink ref="B49" r:id="rId4" xr:uid="{C056CA10-EDAF-4CFF-BEEC-B9AF9E66B64C}"/>
    <hyperlink ref="B50" r:id="rId5" xr:uid="{2D510AFD-FF9B-46D3-93A5-E721D97247A1}"/>
    <hyperlink ref="B51" r:id="rId6" xr:uid="{DC6D3454-02D5-4524-BA9F-2B0764E42C28}"/>
    <hyperlink ref="B52" r:id="rId7" xr:uid="{F9DAB21D-6082-423E-886E-41B06516C509}"/>
    <hyperlink ref="B53" r:id="rId8" xr:uid="{EE3D1A3F-B06F-4ECE-A011-ACA73069B4C9}"/>
    <hyperlink ref="H7" r:id="rId9" display="City-Data.com" xr:uid="{6FD12C2A-64D0-436B-BED3-989CC6A1742B}"/>
    <hyperlink ref="H23" r:id="rId10" xr:uid="{D087623C-D9C4-4C07-9906-F0082A992600}"/>
    <hyperlink ref="H12" r:id="rId11" xr:uid="{E508383B-B1CB-4190-9F22-1C6854FD4AC6}"/>
    <hyperlink ref="I8" r:id="rId12" xr:uid="{2F699383-B360-4B3B-9E0A-77D83CD09C9E}"/>
    <hyperlink ref="J8" r:id="rId13" xr:uid="{87F09BE7-8C1A-40A1-9A26-61E984912457}"/>
    <hyperlink ref="I13" r:id="rId14" xr:uid="{EA3B050D-8E8D-4EE2-B412-B14AA65F6821}"/>
    <hyperlink ref="H13" r:id="rId15" xr:uid="{FCA2D619-D280-4969-8B1C-C0FBAFACCE40}"/>
    <hyperlink ref="H15" r:id="rId16" xr:uid="{3EF45037-E1A8-464F-9EE3-A3227E3F3663}"/>
    <hyperlink ref="I15" r:id="rId17" xr:uid="{DA41F336-2355-431C-975D-68194C61102E}"/>
    <hyperlink ref="H16" r:id="rId18" xr:uid="{6E6E309D-EE75-4399-8A75-D4C3EFE82D76}"/>
    <hyperlink ref="H21" r:id="rId19" display="census.gov/quickfacts" xr:uid="{9C564E3C-BBF1-409B-B11D-091CA00E4CDD}"/>
    <hyperlink ref="I24" r:id="rId20" xr:uid="{17512FC9-46D8-47CE-9013-A496A251BFD3}"/>
    <hyperlink ref="H20" r:id="rId21" xr:uid="{D14FE960-BD12-41B5-8BA3-20FE42DF493B}"/>
    <hyperlink ref="G27" r:id="rId22" xr:uid="{D654CEDF-1C18-4DA7-99EE-F8BC5B522983}"/>
    <hyperlink ref="H9" r:id="rId23" xr:uid="{8D2F845B-91D6-4769-B5A3-803C23796C6B}"/>
    <hyperlink ref="I10" r:id="rId24" xr:uid="{61FA893F-3F38-4B0F-BAA6-DDED163956BD}"/>
    <hyperlink ref="H8" r:id="rId25" xr:uid="{46BF1C0D-B025-4232-A19E-9F8422854F24}"/>
    <hyperlink ref="I9" r:id="rId26" xr:uid="{327916BE-F7BA-431B-8F2A-74E8D38EFA49}"/>
    <hyperlink ref="J11" r:id="rId27" xr:uid="{B5F0C855-59E1-46F2-8D90-D1F0DB4AD414}"/>
    <hyperlink ref="I14" r:id="rId28" xr:uid="{EA241D88-BC4C-483D-91B9-FB1074782941}"/>
    <hyperlink ref="H14" r:id="rId29" xr:uid="{75233313-370D-4ACF-B238-D0062F51C0BD}"/>
    <hyperlink ref="I16" r:id="rId30" xr:uid="{6F9DC6DD-7BE6-44D4-B6E9-6D2BFEC35761}"/>
    <hyperlink ref="J17" r:id="rId31" xr:uid="{D6562A8F-2F61-4A58-B6FA-932DA442292A}"/>
    <hyperlink ref="I17" r:id="rId32" xr:uid="{7D59DE7B-CD8D-40C5-BF76-F499D10516CC}"/>
    <hyperlink ref="I22" r:id="rId33" xr:uid="{B7999AC2-C0C2-4740-8679-CC562419BA0C}"/>
    <hyperlink ref="H22" r:id="rId34" xr:uid="{A69F26DC-13CA-4894-8564-60401013A1B4}"/>
    <hyperlink ref="H24" r:id="rId35" xr:uid="{5AF9BB60-7AE3-4E4C-B038-C83BAAE73DAA}"/>
    <hyperlink ref="J24" r:id="rId36" xr:uid="{FECA39A8-BD6A-4514-871E-7E552DA4B8A2}"/>
    <hyperlink ref="I11" r:id="rId37" xr:uid="{2DF807CE-034E-4819-9D3A-7B33ECFD1964}"/>
    <hyperlink ref="H11" r:id="rId38" xr:uid="{90FFDEDC-414D-4CEB-AF1E-133CE755E8D8}"/>
    <hyperlink ref="I7" r:id="rId39" xr:uid="{55DD1149-F4CB-4431-8D06-E57006753047}"/>
    <hyperlink ref="H10" r:id="rId40" xr:uid="{8A7151A2-99EA-4309-BD65-A6567F27EACC}"/>
    <hyperlink ref="B56" r:id="rId41" xr:uid="{2AE7F005-A2BE-4577-978A-DEB91D2B3A02}"/>
    <hyperlink ref="B55" r:id="rId42" xr:uid="{EF0C0C16-87A5-4D9D-AC12-DAF6DA2D26E3}"/>
    <hyperlink ref="B57" r:id="rId43" xr:uid="{3F94FB43-C3A9-4517-9B04-2E728B1AAC5B}"/>
    <hyperlink ref="B58" r:id="rId44" xr:uid="{D53E7C29-01A1-4A6D-8533-238DA4F8597F}"/>
    <hyperlink ref="D1" r:id="rId45" tooltip="Click to view a video on this section" xr:uid="{62792779-0AB4-4762-8132-1CFE24595D8F}"/>
  </hyperlinks>
  <pageMargins left="0.7" right="0.7" top="0.75" bottom="0.75" header="0.3" footer="0.3"/>
  <drawing r:id="rId46"/>
  <legacy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MFA Market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Drummond</dc:creator>
  <cp:lastModifiedBy>Craig Drummond</cp:lastModifiedBy>
  <dcterms:created xsi:type="dcterms:W3CDTF">2023-04-16T17:57:15Z</dcterms:created>
  <dcterms:modified xsi:type="dcterms:W3CDTF">2023-05-26T15:20:10Z</dcterms:modified>
</cp:coreProperties>
</file>