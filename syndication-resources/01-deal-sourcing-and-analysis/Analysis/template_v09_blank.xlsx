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charl\OneDrive\Desktop\"/>
    </mc:Choice>
  </mc:AlternateContent>
  <xr:revisionPtr revIDLastSave="0" documentId="13_ncr:1_{B792E358-65F9-40EE-A790-CD4A4C908020}" xr6:coauthVersionLast="47" xr6:coauthVersionMax="47" xr10:uidLastSave="{00000000-0000-0000-0000-000000000000}"/>
  <bookViews>
    <workbookView xWindow="-108" yWindow="-108" windowWidth="23256" windowHeight="12576" tabRatio="650" xr2:uid="{2AE14214-F401-453F-B207-553FBFCF34F3}"/>
  </bookViews>
  <sheets>
    <sheet name="Author" sheetId="11" r:id="rId1"/>
    <sheet name="Summary" sheetId="10" r:id="rId2"/>
    <sheet name="Unit Mix" sheetId="9" r:id="rId3"/>
    <sheet name="Financials" sheetId="2" r:id="rId4"/>
    <sheet name="Real Estate Tax" sheetId="7" r:id="rId5"/>
    <sheet name="Valuation" sheetId="5" r:id="rId6"/>
    <sheet name="Debt" sheetId="6" r:id="rId7"/>
  </sheets>
  <externalReferences>
    <externalReference r:id="rId8"/>
  </externalReferences>
  <definedNames>
    <definedName name="_xlcn.WorksheetConnection_Sheet1B2J29" hidden="1">[1]Renovations!$B$3:$J$28</definedName>
    <definedName name="_xlnm.Print_Area" localSheetId="3">Financials!$C$4:$T$53,Financials!$V$4:$AK$50,Financials!$AM$4:$AX$53</definedName>
    <definedName name="_xlnm.Print_Area" localSheetId="4">'Real Estate Tax'!$N$3:$O$23</definedName>
    <definedName name="_xlnm.Print_Area" localSheetId="1">Summary!$B$2:$F$30</definedName>
    <definedName name="_xlnm.Print_Area" localSheetId="2">'Unit Mix'!$B$3:$H$25</definedName>
    <definedName name="_xlnm.Print_Area" localSheetId="5">Valuation!$E$3:$Q$72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B$2:$J$29"/>
        </x15:modelTables>
      </x15:dataModel>
    </ext>
  </extLst>
</workbook>
</file>

<file path=xl/calcChain.xml><?xml version="1.0" encoding="utf-8"?>
<calcChain xmlns="http://schemas.openxmlformats.org/spreadsheetml/2006/main">
  <c r="AA10" i="6" l="1"/>
  <c r="G10" i="6"/>
  <c r="N18" i="2" l="1"/>
  <c r="M18" i="2"/>
  <c r="I18" i="2"/>
  <c r="O18" i="2" s="1"/>
  <c r="I35" i="2"/>
  <c r="M35" i="2"/>
  <c r="N35" i="2"/>
  <c r="AD18" i="2"/>
  <c r="AE18" i="2" s="1"/>
  <c r="AF18" i="2" s="1"/>
  <c r="AG18" i="2" s="1"/>
  <c r="AH18" i="2" s="1"/>
  <c r="AI18" i="2" s="1"/>
  <c r="AJ18" i="2" s="1"/>
  <c r="AK18" i="2" s="1"/>
  <c r="AD34" i="2"/>
  <c r="AE34" i="2" s="1"/>
  <c r="AF34" i="2" s="1"/>
  <c r="AG34" i="2" s="1"/>
  <c r="AH34" i="2" s="1"/>
  <c r="AI34" i="2" s="1"/>
  <c r="AJ34" i="2" s="1"/>
  <c r="AK34" i="2" s="1"/>
  <c r="F47" i="2"/>
  <c r="G47" i="2"/>
  <c r="E47" i="2"/>
  <c r="P18" i="2" l="1"/>
  <c r="T18" i="2" s="1"/>
  <c r="AN18" i="2" l="1"/>
  <c r="AA4" i="6"/>
  <c r="L25" i="7" l="1"/>
  <c r="K25" i="7"/>
  <c r="L24" i="7"/>
  <c r="K24" i="7"/>
  <c r="L23" i="7"/>
  <c r="K23" i="7"/>
  <c r="L22" i="7"/>
  <c r="K22" i="7"/>
  <c r="L21" i="7"/>
  <c r="K21" i="7"/>
  <c r="L20" i="7"/>
  <c r="K20" i="7"/>
  <c r="L19" i="7"/>
  <c r="K19" i="7"/>
  <c r="L18" i="7"/>
  <c r="K18" i="7"/>
  <c r="L17" i="7"/>
  <c r="K17" i="7"/>
  <c r="L16" i="7"/>
  <c r="K16" i="7"/>
  <c r="L15" i="7"/>
  <c r="K15" i="7"/>
  <c r="C15" i="7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B15" i="7"/>
  <c r="B16" i="7" s="1"/>
  <c r="B17" i="7" s="1"/>
  <c r="L12" i="7"/>
  <c r="I12" i="7"/>
  <c r="C12" i="7"/>
  <c r="C11" i="7"/>
  <c r="L10" i="7"/>
  <c r="I10" i="7"/>
  <c r="I11" i="7" s="1"/>
  <c r="L11" i="7" s="1"/>
  <c r="E10" i="7"/>
  <c r="L9" i="7"/>
  <c r="I9" i="7"/>
  <c r="C9" i="7"/>
  <c r="C10" i="7" l="1"/>
  <c r="I15" i="7"/>
  <c r="B18" i="7"/>
  <c r="F17" i="7"/>
  <c r="F16" i="7"/>
  <c r="G15" i="7"/>
  <c r="E5" i="5"/>
  <c r="P2" i="2"/>
  <c r="S5" i="2"/>
  <c r="L5" i="2"/>
  <c r="G3" i="9"/>
  <c r="E3" i="9"/>
  <c r="D3" i="9"/>
  <c r="B12" i="10"/>
  <c r="B6" i="10"/>
  <c r="B5" i="10"/>
  <c r="G16" i="7" l="1"/>
  <c r="I16" i="7"/>
  <c r="I17" i="7" s="1"/>
  <c r="J15" i="7"/>
  <c r="M15" i="7" s="1"/>
  <c r="H15" i="7"/>
  <c r="B19" i="7"/>
  <c r="F18" i="7"/>
  <c r="AD46" i="2"/>
  <c r="AD45" i="2"/>
  <c r="AD44" i="2"/>
  <c r="AD30" i="2"/>
  <c r="AE30" i="2" s="1"/>
  <c r="AF30" i="2" s="1"/>
  <c r="AG30" i="2" s="1"/>
  <c r="AH30" i="2" s="1"/>
  <c r="AI30" i="2" s="1"/>
  <c r="AJ30" i="2" s="1"/>
  <c r="AK30" i="2" s="1"/>
  <c r="AD42" i="2"/>
  <c r="AD41" i="2"/>
  <c r="AD40" i="2"/>
  <c r="AD39" i="2"/>
  <c r="AD38" i="2"/>
  <c r="AD37" i="2"/>
  <c r="AD36" i="2"/>
  <c r="AD35" i="2"/>
  <c r="AD31" i="2"/>
  <c r="AD32" i="2"/>
  <c r="AD33" i="2"/>
  <c r="I18" i="7" l="1"/>
  <c r="B20" i="7"/>
  <c r="F19" i="7"/>
  <c r="H16" i="7"/>
  <c r="J16" i="7"/>
  <c r="AE35" i="2"/>
  <c r="AF35" i="2" s="1"/>
  <c r="AG35" i="2" s="1"/>
  <c r="AH35" i="2" s="1"/>
  <c r="AI35" i="2" s="1"/>
  <c r="AJ35" i="2" s="1"/>
  <c r="AK35" i="2" s="1"/>
  <c r="AE41" i="2"/>
  <c r="AF41" i="2" s="1"/>
  <c r="AG41" i="2" s="1"/>
  <c r="AH41" i="2" s="1"/>
  <c r="AI41" i="2" s="1"/>
  <c r="AJ41" i="2" s="1"/>
  <c r="AK41" i="2" s="1"/>
  <c r="AE45" i="2"/>
  <c r="AF45" i="2" s="1"/>
  <c r="AG45" i="2" s="1"/>
  <c r="AH45" i="2" s="1"/>
  <c r="AI45" i="2" s="1"/>
  <c r="AJ45" i="2" s="1"/>
  <c r="AK45" i="2" s="1"/>
  <c r="AE46" i="2"/>
  <c r="AF46" i="2" s="1"/>
  <c r="AG46" i="2" s="1"/>
  <c r="AH46" i="2" s="1"/>
  <c r="AI46" i="2" s="1"/>
  <c r="AJ46" i="2" s="1"/>
  <c r="AK46" i="2" s="1"/>
  <c r="AE44" i="2"/>
  <c r="AF44" i="2" s="1"/>
  <c r="AG44" i="2" s="1"/>
  <c r="AH44" i="2" s="1"/>
  <c r="AI44" i="2" s="1"/>
  <c r="AJ44" i="2" s="1"/>
  <c r="AK44" i="2" s="1"/>
  <c r="AE36" i="2"/>
  <c r="AF36" i="2" s="1"/>
  <c r="AG36" i="2" s="1"/>
  <c r="AH36" i="2" s="1"/>
  <c r="AI36" i="2" s="1"/>
  <c r="AJ36" i="2" s="1"/>
  <c r="AK36" i="2" s="1"/>
  <c r="AE37" i="2"/>
  <c r="AF37" i="2" s="1"/>
  <c r="AG37" i="2" s="1"/>
  <c r="AH37" i="2" s="1"/>
  <c r="AI37" i="2" s="1"/>
  <c r="AJ37" i="2" s="1"/>
  <c r="AK37" i="2" s="1"/>
  <c r="AE38" i="2"/>
  <c r="AF38" i="2" s="1"/>
  <c r="AG38" i="2" s="1"/>
  <c r="AH38" i="2" s="1"/>
  <c r="AI38" i="2" s="1"/>
  <c r="AJ38" i="2" s="1"/>
  <c r="AK38" i="2" s="1"/>
  <c r="AE39" i="2"/>
  <c r="AF39" i="2" s="1"/>
  <c r="AG39" i="2" s="1"/>
  <c r="AH39" i="2" s="1"/>
  <c r="AI39" i="2" s="1"/>
  <c r="AJ39" i="2" s="1"/>
  <c r="AK39" i="2" s="1"/>
  <c r="AE40" i="2"/>
  <c r="AF40" i="2" s="1"/>
  <c r="AG40" i="2" s="1"/>
  <c r="AH40" i="2" s="1"/>
  <c r="AI40" i="2" s="1"/>
  <c r="AJ40" i="2" s="1"/>
  <c r="AK40" i="2" s="1"/>
  <c r="AE42" i="2"/>
  <c r="AF42" i="2" s="1"/>
  <c r="AG42" i="2" s="1"/>
  <c r="AH42" i="2" s="1"/>
  <c r="AI42" i="2" s="1"/>
  <c r="AJ42" i="2" s="1"/>
  <c r="AK42" i="2" s="1"/>
  <c r="AE33" i="2"/>
  <c r="AF33" i="2" s="1"/>
  <c r="AG33" i="2" s="1"/>
  <c r="AH33" i="2" s="1"/>
  <c r="AI33" i="2" s="1"/>
  <c r="AJ33" i="2" s="1"/>
  <c r="AK33" i="2" s="1"/>
  <c r="AE32" i="2"/>
  <c r="AF32" i="2" s="1"/>
  <c r="AG32" i="2" s="1"/>
  <c r="AH32" i="2" s="1"/>
  <c r="AI32" i="2" s="1"/>
  <c r="AJ32" i="2" s="1"/>
  <c r="AK32" i="2" s="1"/>
  <c r="AE31" i="2"/>
  <c r="AF31" i="2" s="1"/>
  <c r="AG31" i="2" s="1"/>
  <c r="AH31" i="2" s="1"/>
  <c r="AI31" i="2" s="1"/>
  <c r="AJ31" i="2" s="1"/>
  <c r="AK31" i="2" s="1"/>
  <c r="AD26" i="2"/>
  <c r="AE26" i="2" s="1"/>
  <c r="AF26" i="2" s="1"/>
  <c r="AG26" i="2" s="1"/>
  <c r="AH26" i="2" s="1"/>
  <c r="AI26" i="2" s="1"/>
  <c r="AJ26" i="2" s="1"/>
  <c r="AK26" i="2" s="1"/>
  <c r="AD25" i="2"/>
  <c r="AE25" i="2" s="1"/>
  <c r="AF25" i="2" s="1"/>
  <c r="AG25" i="2" s="1"/>
  <c r="AH25" i="2" s="1"/>
  <c r="AI25" i="2" s="1"/>
  <c r="AJ25" i="2" s="1"/>
  <c r="AK25" i="2" s="1"/>
  <c r="AD24" i="2"/>
  <c r="AE24" i="2" s="1"/>
  <c r="AF24" i="2" s="1"/>
  <c r="AG24" i="2" s="1"/>
  <c r="AH24" i="2" s="1"/>
  <c r="AI24" i="2" s="1"/>
  <c r="AJ24" i="2" s="1"/>
  <c r="AK24" i="2" s="1"/>
  <c r="AD23" i="2"/>
  <c r="AE23" i="2" s="1"/>
  <c r="AF23" i="2" s="1"/>
  <c r="AG23" i="2" s="1"/>
  <c r="AH23" i="2" s="1"/>
  <c r="AI23" i="2" s="1"/>
  <c r="AJ23" i="2" s="1"/>
  <c r="AK23" i="2" s="1"/>
  <c r="AD22" i="2"/>
  <c r="AE22" i="2" s="1"/>
  <c r="AF22" i="2" s="1"/>
  <c r="AG22" i="2" s="1"/>
  <c r="AH22" i="2" s="1"/>
  <c r="AI22" i="2" s="1"/>
  <c r="AJ22" i="2" s="1"/>
  <c r="AK22" i="2" s="1"/>
  <c r="AD21" i="2"/>
  <c r="AE21" i="2" s="1"/>
  <c r="AF21" i="2" s="1"/>
  <c r="AG21" i="2" s="1"/>
  <c r="AH21" i="2" s="1"/>
  <c r="AI21" i="2" s="1"/>
  <c r="AJ21" i="2" s="1"/>
  <c r="AK21" i="2" s="1"/>
  <c r="AD20" i="2"/>
  <c r="AE20" i="2" s="1"/>
  <c r="AF20" i="2" s="1"/>
  <c r="AG20" i="2" s="1"/>
  <c r="AH20" i="2" s="1"/>
  <c r="AI20" i="2" s="1"/>
  <c r="AJ20" i="2" s="1"/>
  <c r="AK20" i="2" s="1"/>
  <c r="AD19" i="2"/>
  <c r="AE19" i="2" s="1"/>
  <c r="AF19" i="2" s="1"/>
  <c r="AG19" i="2" s="1"/>
  <c r="AH19" i="2" s="1"/>
  <c r="AI19" i="2" s="1"/>
  <c r="AJ19" i="2" s="1"/>
  <c r="AK19" i="2" s="1"/>
  <c r="AD17" i="2"/>
  <c r="AE17" i="2" s="1"/>
  <c r="AF17" i="2" s="1"/>
  <c r="AG17" i="2" s="1"/>
  <c r="AH17" i="2" s="1"/>
  <c r="AI17" i="2" s="1"/>
  <c r="AJ17" i="2" s="1"/>
  <c r="AK17" i="2" s="1"/>
  <c r="AD16" i="2"/>
  <c r="AE16" i="2" s="1"/>
  <c r="AF16" i="2" s="1"/>
  <c r="AG16" i="2" s="1"/>
  <c r="AH16" i="2" s="1"/>
  <c r="AI16" i="2" s="1"/>
  <c r="AJ16" i="2" s="1"/>
  <c r="AK16" i="2" s="1"/>
  <c r="AD15" i="2"/>
  <c r="AE15" i="2" s="1"/>
  <c r="AF15" i="2" s="1"/>
  <c r="AG15" i="2" s="1"/>
  <c r="AH15" i="2" s="1"/>
  <c r="AI15" i="2" s="1"/>
  <c r="AJ15" i="2" s="1"/>
  <c r="AK15" i="2" s="1"/>
  <c r="AD14" i="2"/>
  <c r="AE14" i="2" s="1"/>
  <c r="AF14" i="2" s="1"/>
  <c r="AG14" i="2" s="1"/>
  <c r="AH14" i="2" s="1"/>
  <c r="AI14" i="2" s="1"/>
  <c r="AJ14" i="2" s="1"/>
  <c r="AK14" i="2" s="1"/>
  <c r="AD12" i="2"/>
  <c r="AE12" i="2" s="1"/>
  <c r="AF12" i="2" s="1"/>
  <c r="AG12" i="2" s="1"/>
  <c r="AH12" i="2" s="1"/>
  <c r="AI12" i="2" s="1"/>
  <c r="AJ12" i="2" s="1"/>
  <c r="AK12" i="2" s="1"/>
  <c r="AD11" i="2"/>
  <c r="AE11" i="2" s="1"/>
  <c r="AF11" i="2" s="1"/>
  <c r="AG11" i="2" s="1"/>
  <c r="AH11" i="2" s="1"/>
  <c r="AI11" i="2" s="1"/>
  <c r="AJ11" i="2" s="1"/>
  <c r="AK11" i="2" s="1"/>
  <c r="AD10" i="2"/>
  <c r="AE10" i="2" s="1"/>
  <c r="AF10" i="2" s="1"/>
  <c r="AG10" i="2" s="1"/>
  <c r="AH10" i="2" s="1"/>
  <c r="AI10" i="2" s="1"/>
  <c r="AJ10" i="2" s="1"/>
  <c r="AK10" i="2" s="1"/>
  <c r="AD8" i="2"/>
  <c r="AE8" i="2" s="1"/>
  <c r="AF8" i="2" s="1"/>
  <c r="AG8" i="2" s="1"/>
  <c r="AH8" i="2" s="1"/>
  <c r="AI8" i="2" s="1"/>
  <c r="AJ8" i="2" s="1"/>
  <c r="AK8" i="2" s="1"/>
  <c r="AD7" i="2"/>
  <c r="AE7" i="2" s="1"/>
  <c r="AF7" i="2" s="1"/>
  <c r="AG7" i="2" s="1"/>
  <c r="AH7" i="2" s="1"/>
  <c r="AI7" i="2" s="1"/>
  <c r="AJ7" i="2" s="1"/>
  <c r="AK7" i="2" s="1"/>
  <c r="M16" i="7" l="1"/>
  <c r="I19" i="7"/>
  <c r="B21" i="7"/>
  <c r="F20" i="7"/>
  <c r="F35" i="5"/>
  <c r="I20" i="7" l="1"/>
  <c r="B22" i="7"/>
  <c r="F21" i="7"/>
  <c r="J8" i="5"/>
  <c r="O3" i="5"/>
  <c r="J12" i="5"/>
  <c r="J11" i="5"/>
  <c r="J10" i="5"/>
  <c r="J9" i="5"/>
  <c r="G36" i="5"/>
  <c r="H36" i="5" s="1"/>
  <c r="I36" i="5" s="1"/>
  <c r="J36" i="5" s="1"/>
  <c r="K36" i="5" s="1"/>
  <c r="F18" i="10"/>
  <c r="AA6" i="6"/>
  <c r="AA8" i="6" s="1"/>
  <c r="AA3" i="6"/>
  <c r="P11" i="5" s="1"/>
  <c r="X10" i="6"/>
  <c r="P10" i="5" s="1"/>
  <c r="X9" i="6"/>
  <c r="P9" i="5" s="1"/>
  <c r="X8" i="6"/>
  <c r="P8" i="5" s="1"/>
  <c r="X7" i="6"/>
  <c r="P7" i="5" s="1"/>
  <c r="X3" i="6"/>
  <c r="P4" i="5" s="1"/>
  <c r="G6" i="6"/>
  <c r="G3" i="6"/>
  <c r="D10" i="6"/>
  <c r="D9" i="6"/>
  <c r="D8" i="6"/>
  <c r="D7" i="6"/>
  <c r="D5" i="6"/>
  <c r="D3" i="6"/>
  <c r="L36" i="5" l="1"/>
  <c r="M36" i="5" s="1"/>
  <c r="N36" i="5" s="1"/>
  <c r="O36" i="5" s="1"/>
  <c r="P36" i="5" s="1"/>
  <c r="F23" i="10"/>
  <c r="L4" i="6"/>
  <c r="M4" i="6"/>
  <c r="I21" i="7"/>
  <c r="B23" i="7"/>
  <c r="F22" i="7"/>
  <c r="N17" i="2"/>
  <c r="M17" i="2"/>
  <c r="N16" i="2"/>
  <c r="M16" i="2"/>
  <c r="N15" i="2"/>
  <c r="M15" i="2"/>
  <c r="N14" i="2"/>
  <c r="M14" i="2"/>
  <c r="I22" i="7" l="1"/>
  <c r="B24" i="7"/>
  <c r="F23" i="7"/>
  <c r="P43" i="2"/>
  <c r="G6" i="9"/>
  <c r="H6" i="9"/>
  <c r="G7" i="9"/>
  <c r="H7" i="9"/>
  <c r="E7" i="9"/>
  <c r="E6" i="9"/>
  <c r="C10" i="9"/>
  <c r="L3" i="9" s="1"/>
  <c r="H9" i="9"/>
  <c r="G9" i="9"/>
  <c r="E9" i="9"/>
  <c r="H8" i="9"/>
  <c r="G8" i="9"/>
  <c r="E8" i="9"/>
  <c r="H5" i="9"/>
  <c r="G5" i="9"/>
  <c r="E5" i="9"/>
  <c r="H4" i="9"/>
  <c r="G4" i="9"/>
  <c r="E4" i="9"/>
  <c r="I23" i="7" l="1"/>
  <c r="B25" i="7"/>
  <c r="F25" i="7" s="1"/>
  <c r="F24" i="7"/>
  <c r="D10" i="9"/>
  <c r="C6" i="10" s="1"/>
  <c r="E10" i="9"/>
  <c r="Q2" i="2" s="1"/>
  <c r="C4" i="10"/>
  <c r="Q1" i="2"/>
  <c r="H10" i="9"/>
  <c r="AO44" i="2" l="1"/>
  <c r="AO36" i="2"/>
  <c r="AO35" i="2"/>
  <c r="AO46" i="2"/>
  <c r="AO41" i="2"/>
  <c r="AO45" i="2"/>
  <c r="AO38" i="2"/>
  <c r="AO37" i="2"/>
  <c r="P35" i="2"/>
  <c r="AO10" i="2"/>
  <c r="J18" i="2"/>
  <c r="J35" i="2"/>
  <c r="Q18" i="2"/>
  <c r="L35" i="2"/>
  <c r="L18" i="2"/>
  <c r="S18" i="2"/>
  <c r="I24" i="7"/>
  <c r="I25" i="7" s="1"/>
  <c r="F10" i="9"/>
  <c r="G10" i="9" s="1"/>
  <c r="P7" i="2"/>
  <c r="R18" i="2" s="1"/>
  <c r="C7" i="10"/>
  <c r="F6" i="10"/>
  <c r="S35" i="2" l="1"/>
  <c r="T35" i="2"/>
  <c r="Q35" i="2"/>
  <c r="AO43" i="2"/>
  <c r="M11" i="5"/>
  <c r="M8" i="5"/>
  <c r="M9" i="5"/>
  <c r="M10" i="5"/>
  <c r="M7" i="5"/>
  <c r="M5" i="5"/>
  <c r="M4" i="5"/>
  <c r="L11" i="5"/>
  <c r="O11" i="5" s="1"/>
  <c r="L10" i="5"/>
  <c r="O10" i="5" s="1"/>
  <c r="L5" i="5"/>
  <c r="O5" i="5" s="1"/>
  <c r="L6" i="5"/>
  <c r="O6" i="5" s="1"/>
  <c r="L7" i="5"/>
  <c r="O7" i="5" s="1"/>
  <c r="L8" i="5"/>
  <c r="O8" i="5" s="1"/>
  <c r="L9" i="5"/>
  <c r="O9" i="5" s="1"/>
  <c r="L4" i="5"/>
  <c r="O4" i="5" s="1"/>
  <c r="J5" i="5"/>
  <c r="J4" i="5"/>
  <c r="E10" i="5"/>
  <c r="E8" i="5" l="1"/>
  <c r="E9" i="5"/>
  <c r="E11" i="5"/>
  <c r="V32" i="2" l="1"/>
  <c r="I11" i="2"/>
  <c r="E42" i="5"/>
  <c r="E40" i="5"/>
  <c r="H22" i="5"/>
  <c r="I22" i="5"/>
  <c r="J22" i="5"/>
  <c r="K22" i="5"/>
  <c r="L22" i="5"/>
  <c r="M22" i="5"/>
  <c r="N22" i="5"/>
  <c r="O22" i="5"/>
  <c r="P22" i="5"/>
  <c r="G22" i="5"/>
  <c r="E41" i="5"/>
  <c r="E39" i="5"/>
  <c r="E29" i="5"/>
  <c r="E28" i="5"/>
  <c r="AB14" i="6"/>
  <c r="AB15" i="6" s="1"/>
  <c r="AB16" i="6" s="1"/>
  <c r="AB17" i="6" s="1"/>
  <c r="AB18" i="6" s="1"/>
  <c r="AB19" i="6" s="1"/>
  <c r="AB20" i="6" l="1"/>
  <c r="E27" i="5"/>
  <c r="E26" i="5"/>
  <c r="H14" i="6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AB21" i="6" l="1"/>
  <c r="AB22" i="6" l="1"/>
  <c r="AB23" i="6" l="1"/>
  <c r="AB24" i="6" l="1"/>
  <c r="AB25" i="6" l="1"/>
  <c r="AB26" i="6" l="1"/>
  <c r="AB27" i="6" l="1"/>
  <c r="AB28" i="6" l="1"/>
  <c r="AB29" i="6" l="1"/>
  <c r="AB30" i="6" l="1"/>
  <c r="AB31" i="6" l="1"/>
  <c r="AB32" i="6" l="1"/>
  <c r="AB33" i="6" l="1"/>
  <c r="AB34" i="6" l="1"/>
  <c r="AB35" i="6" l="1"/>
  <c r="AB36" i="6" l="1"/>
  <c r="AB37" i="6" l="1"/>
  <c r="AB38" i="6" l="1"/>
  <c r="AB39" i="6" l="1"/>
  <c r="AB40" i="6" l="1"/>
  <c r="AB41" i="6" l="1"/>
  <c r="AB42" i="6" l="1"/>
  <c r="AB43" i="6" l="1"/>
  <c r="AB44" i="6" l="1"/>
  <c r="AB45" i="6" l="1"/>
  <c r="AB46" i="6" l="1"/>
  <c r="AB47" i="6" l="1"/>
  <c r="AB48" i="6" l="1"/>
  <c r="AB49" i="6" l="1"/>
  <c r="AB50" i="6" l="1"/>
  <c r="AB51" i="6" l="1"/>
  <c r="AB52" i="6" l="1"/>
  <c r="AB53" i="6" l="1"/>
  <c r="AB54" i="6" s="1"/>
  <c r="AN8" i="2" l="1"/>
  <c r="AO8" i="2" s="1"/>
  <c r="AM53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9" i="2"/>
  <c r="AM51" i="2"/>
  <c r="AM7" i="2"/>
  <c r="AM6" i="2"/>
  <c r="V12" i="2"/>
  <c r="V10" i="2"/>
  <c r="V11" i="2"/>
  <c r="W5" i="2"/>
  <c r="Z5" i="2"/>
  <c r="I23" i="2"/>
  <c r="I24" i="2"/>
  <c r="I25" i="2"/>
  <c r="I26" i="2"/>
  <c r="I22" i="2"/>
  <c r="I21" i="2"/>
  <c r="I20" i="2"/>
  <c r="I19" i="2"/>
  <c r="I17" i="2"/>
  <c r="O17" i="2" s="1"/>
  <c r="I16" i="2"/>
  <c r="O16" i="2" s="1"/>
  <c r="I15" i="2"/>
  <c r="O15" i="2" s="1"/>
  <c r="I14" i="2"/>
  <c r="O14" i="2" s="1"/>
  <c r="I12" i="2"/>
  <c r="I10" i="2"/>
  <c r="I8" i="2"/>
  <c r="I7" i="2"/>
  <c r="K18" i="2" s="1"/>
  <c r="T5" i="2"/>
  <c r="AP8" i="2" l="1"/>
  <c r="AQ8" i="2" s="1"/>
  <c r="AR8" i="2" s="1"/>
  <c r="AS8" i="2" s="1"/>
  <c r="AT8" i="2" s="1"/>
  <c r="AU8" i="2" s="1"/>
  <c r="AV8" i="2" s="1"/>
  <c r="AW8" i="2" s="1"/>
  <c r="AX8" i="2" s="1"/>
  <c r="K23" i="2"/>
  <c r="T8" i="2"/>
  <c r="K7" i="2"/>
  <c r="V25" i="2"/>
  <c r="V26" i="2"/>
  <c r="V30" i="2"/>
  <c r="V31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7" i="2"/>
  <c r="V8" i="2"/>
  <c r="V14" i="2"/>
  <c r="V15" i="2"/>
  <c r="V16" i="2"/>
  <c r="V17" i="2"/>
  <c r="V18" i="2"/>
  <c r="V19" i="2"/>
  <c r="V20" i="2"/>
  <c r="V21" i="2"/>
  <c r="V22" i="2"/>
  <c r="V23" i="2"/>
  <c r="V24" i="2"/>
  <c r="M7" i="2"/>
  <c r="N7" i="2"/>
  <c r="O7" i="2"/>
  <c r="M8" i="2"/>
  <c r="N8" i="2"/>
  <c r="O8" i="2"/>
  <c r="M10" i="2"/>
  <c r="N10" i="2"/>
  <c r="O10" i="2"/>
  <c r="M11" i="2"/>
  <c r="N11" i="2"/>
  <c r="O11" i="2"/>
  <c r="M12" i="2"/>
  <c r="N12" i="2"/>
  <c r="O12" i="2"/>
  <c r="M19" i="2"/>
  <c r="N19" i="2"/>
  <c r="O19" i="2"/>
  <c r="M20" i="2"/>
  <c r="M21" i="2"/>
  <c r="N21" i="2"/>
  <c r="O21" i="2"/>
  <c r="M22" i="2"/>
  <c r="N22" i="2"/>
  <c r="O22" i="2"/>
  <c r="M23" i="2"/>
  <c r="M24" i="2"/>
  <c r="N24" i="2"/>
  <c r="O24" i="2"/>
  <c r="M25" i="2"/>
  <c r="N25" i="2"/>
  <c r="O25" i="2"/>
  <c r="M26" i="2"/>
  <c r="N26" i="2"/>
  <c r="O26" i="2"/>
  <c r="K24" i="2"/>
  <c r="K25" i="2"/>
  <c r="K26" i="2"/>
  <c r="N31" i="2"/>
  <c r="N32" i="2"/>
  <c r="N33" i="2"/>
  <c r="N36" i="2"/>
  <c r="N37" i="2"/>
  <c r="N38" i="2"/>
  <c r="N39" i="2"/>
  <c r="N40" i="2"/>
  <c r="N41" i="2"/>
  <c r="N42" i="2"/>
  <c r="N43" i="2"/>
  <c r="N44" i="2"/>
  <c r="N45" i="2"/>
  <c r="N46" i="2"/>
  <c r="N30" i="2"/>
  <c r="M31" i="2"/>
  <c r="M32" i="2"/>
  <c r="M33" i="2"/>
  <c r="M36" i="2"/>
  <c r="M37" i="2"/>
  <c r="M38" i="2"/>
  <c r="M39" i="2"/>
  <c r="M40" i="2"/>
  <c r="M41" i="2"/>
  <c r="M42" i="2"/>
  <c r="M43" i="2"/>
  <c r="M44" i="2"/>
  <c r="M45" i="2"/>
  <c r="M46" i="2"/>
  <c r="M30" i="2"/>
  <c r="I4" i="2"/>
  <c r="O5" i="2" l="1"/>
  <c r="N5" i="2"/>
  <c r="M5" i="2"/>
  <c r="H9" i="2"/>
  <c r="H13" i="2" s="1"/>
  <c r="I46" i="2"/>
  <c r="P46" i="2" s="1"/>
  <c r="I45" i="2"/>
  <c r="P45" i="2" s="1"/>
  <c r="I44" i="2"/>
  <c r="P44" i="2" s="1"/>
  <c r="AN44" i="2" s="1"/>
  <c r="AP44" i="2" s="1"/>
  <c r="AQ44" i="2" s="1"/>
  <c r="AR44" i="2" s="1"/>
  <c r="AS44" i="2" s="1"/>
  <c r="AT44" i="2" s="1"/>
  <c r="AU44" i="2" s="1"/>
  <c r="AV44" i="2" s="1"/>
  <c r="AW44" i="2" s="1"/>
  <c r="AX44" i="2" s="1"/>
  <c r="I43" i="2"/>
  <c r="I42" i="2"/>
  <c r="P42" i="2" s="1"/>
  <c r="I41" i="2"/>
  <c r="P41" i="2" s="1"/>
  <c r="I40" i="2"/>
  <c r="P40" i="2" s="1"/>
  <c r="I39" i="2"/>
  <c r="P39" i="2" s="1"/>
  <c r="I38" i="2"/>
  <c r="P38" i="2" s="1"/>
  <c r="I37" i="2"/>
  <c r="P37" i="2" s="1"/>
  <c r="I36" i="2"/>
  <c r="P36" i="2" s="1"/>
  <c r="I33" i="2"/>
  <c r="P33" i="2" s="1"/>
  <c r="I32" i="2"/>
  <c r="I31" i="2"/>
  <c r="P31" i="2" s="1"/>
  <c r="I30" i="2"/>
  <c r="K22" i="2"/>
  <c r="K21" i="2"/>
  <c r="K20" i="2"/>
  <c r="K19" i="2"/>
  <c r="K17" i="2"/>
  <c r="K16" i="2"/>
  <c r="K15" i="2"/>
  <c r="K14" i="2"/>
  <c r="K12" i="2"/>
  <c r="K11" i="2"/>
  <c r="K10" i="2"/>
  <c r="I9" i="2"/>
  <c r="G9" i="2"/>
  <c r="F9" i="2"/>
  <c r="E9" i="2"/>
  <c r="K8" i="2"/>
  <c r="H27" i="2" l="1"/>
  <c r="H49" i="2" s="1"/>
  <c r="H53" i="2" s="1"/>
  <c r="P30" i="2"/>
  <c r="T41" i="2"/>
  <c r="AN41" i="2"/>
  <c r="AP41" i="2" s="1"/>
  <c r="AQ41" i="2" s="1"/>
  <c r="AR41" i="2" s="1"/>
  <c r="AS41" i="2" s="1"/>
  <c r="AT41" i="2" s="1"/>
  <c r="AU41" i="2" s="1"/>
  <c r="AV41" i="2" s="1"/>
  <c r="AW41" i="2" s="1"/>
  <c r="AX41" i="2" s="1"/>
  <c r="T42" i="2"/>
  <c r="AN42" i="2"/>
  <c r="T40" i="2"/>
  <c r="AN40" i="2"/>
  <c r="T45" i="2"/>
  <c r="AN45" i="2"/>
  <c r="AP45" i="2" s="1"/>
  <c r="AQ45" i="2" s="1"/>
  <c r="AR45" i="2" s="1"/>
  <c r="AS45" i="2" s="1"/>
  <c r="AT45" i="2" s="1"/>
  <c r="AU45" i="2" s="1"/>
  <c r="AV45" i="2" s="1"/>
  <c r="AW45" i="2" s="1"/>
  <c r="AX45" i="2" s="1"/>
  <c r="T30" i="2"/>
  <c r="AN30" i="2"/>
  <c r="AO30" i="2" s="1"/>
  <c r="T46" i="2"/>
  <c r="AN46" i="2"/>
  <c r="AP46" i="2" s="1"/>
  <c r="AQ46" i="2" s="1"/>
  <c r="AR46" i="2" s="1"/>
  <c r="AS46" i="2" s="1"/>
  <c r="AT46" i="2" s="1"/>
  <c r="AU46" i="2" s="1"/>
  <c r="AV46" i="2" s="1"/>
  <c r="AW46" i="2" s="1"/>
  <c r="AX46" i="2" s="1"/>
  <c r="T31" i="2"/>
  <c r="AN31" i="2"/>
  <c r="T39" i="2"/>
  <c r="AN39" i="2"/>
  <c r="T44" i="2"/>
  <c r="M9" i="2"/>
  <c r="O9" i="2"/>
  <c r="N9" i="2"/>
  <c r="F13" i="2"/>
  <c r="F27" i="2" s="1"/>
  <c r="N34" i="2"/>
  <c r="G13" i="2"/>
  <c r="G27" i="2" s="1"/>
  <c r="M34" i="2"/>
  <c r="E13" i="2"/>
  <c r="E27" i="2" s="1"/>
  <c r="I13" i="2"/>
  <c r="I27" i="2" s="1"/>
  <c r="K35" i="2" s="1"/>
  <c r="K9" i="2"/>
  <c r="K13" i="2" s="1"/>
  <c r="K27" i="2" s="1"/>
  <c r="I34" i="2"/>
  <c r="P34" i="2" s="1"/>
  <c r="I47" i="2" l="1"/>
  <c r="Q34" i="2"/>
  <c r="AN34" i="2"/>
  <c r="AO34" i="2" s="1"/>
  <c r="AP34" i="2" s="1"/>
  <c r="AQ34" i="2" s="1"/>
  <c r="AR34" i="2" s="1"/>
  <c r="AS34" i="2" s="1"/>
  <c r="AT34" i="2" s="1"/>
  <c r="AU34" i="2" s="1"/>
  <c r="AV34" i="2" s="1"/>
  <c r="AW34" i="2" s="1"/>
  <c r="AX34" i="2" s="1"/>
  <c r="S34" i="2"/>
  <c r="AO31" i="2"/>
  <c r="AP31" i="2" s="1"/>
  <c r="AQ31" i="2" s="1"/>
  <c r="AR31" i="2" s="1"/>
  <c r="AS31" i="2" s="1"/>
  <c r="AT31" i="2" s="1"/>
  <c r="AU31" i="2" s="1"/>
  <c r="AV31" i="2" s="1"/>
  <c r="AW31" i="2" s="1"/>
  <c r="AX31" i="2" s="1"/>
  <c r="AO40" i="2"/>
  <c r="AP40" i="2" s="1"/>
  <c r="AQ40" i="2" s="1"/>
  <c r="AR40" i="2" s="1"/>
  <c r="AS40" i="2" s="1"/>
  <c r="AT40" i="2" s="1"/>
  <c r="AU40" i="2" s="1"/>
  <c r="AV40" i="2" s="1"/>
  <c r="AW40" i="2" s="1"/>
  <c r="AX40" i="2" s="1"/>
  <c r="AO39" i="2"/>
  <c r="AP39" i="2" s="1"/>
  <c r="AQ39" i="2" s="1"/>
  <c r="AR39" i="2" s="1"/>
  <c r="AS39" i="2" s="1"/>
  <c r="AT39" i="2" s="1"/>
  <c r="AU39" i="2" s="1"/>
  <c r="AV39" i="2" s="1"/>
  <c r="AW39" i="2" s="1"/>
  <c r="AX39" i="2" s="1"/>
  <c r="AO42" i="2"/>
  <c r="AP42" i="2" s="1"/>
  <c r="AQ42" i="2" s="1"/>
  <c r="AR42" i="2" s="1"/>
  <c r="AS42" i="2" s="1"/>
  <c r="AT42" i="2" s="1"/>
  <c r="AU42" i="2" s="1"/>
  <c r="AV42" i="2" s="1"/>
  <c r="AW42" i="2" s="1"/>
  <c r="AX42" i="2" s="1"/>
  <c r="T38" i="2"/>
  <c r="AN38" i="2"/>
  <c r="AP38" i="2" s="1"/>
  <c r="AQ38" i="2" s="1"/>
  <c r="AR38" i="2" s="1"/>
  <c r="AS38" i="2" s="1"/>
  <c r="AT38" i="2" s="1"/>
  <c r="AU38" i="2" s="1"/>
  <c r="AV38" i="2" s="1"/>
  <c r="AW38" i="2" s="1"/>
  <c r="AX38" i="2" s="1"/>
  <c r="T37" i="2"/>
  <c r="AN37" i="2"/>
  <c r="AP37" i="2" s="1"/>
  <c r="AQ37" i="2" s="1"/>
  <c r="AR37" i="2" s="1"/>
  <c r="AS37" i="2" s="1"/>
  <c r="AT37" i="2" s="1"/>
  <c r="AU37" i="2" s="1"/>
  <c r="AV37" i="2" s="1"/>
  <c r="AW37" i="2" s="1"/>
  <c r="AX37" i="2" s="1"/>
  <c r="AN35" i="2"/>
  <c r="T36" i="2"/>
  <c r="AN36" i="2"/>
  <c r="AP36" i="2" s="1"/>
  <c r="AQ36" i="2" s="1"/>
  <c r="AR36" i="2" s="1"/>
  <c r="AS36" i="2" s="1"/>
  <c r="AT36" i="2" s="1"/>
  <c r="AU36" i="2" s="1"/>
  <c r="AV36" i="2" s="1"/>
  <c r="AW36" i="2" s="1"/>
  <c r="AX36" i="2" s="1"/>
  <c r="O13" i="2"/>
  <c r="K47" i="2"/>
  <c r="M27" i="2"/>
  <c r="M13" i="2"/>
  <c r="N13" i="2"/>
  <c r="N47" i="2"/>
  <c r="M47" i="2"/>
  <c r="E49" i="2"/>
  <c r="F49" i="2"/>
  <c r="AP30" i="2" l="1"/>
  <c r="K31" i="2"/>
  <c r="K33" i="2"/>
  <c r="K42" i="2"/>
  <c r="K46" i="2"/>
  <c r="K30" i="2"/>
  <c r="K40" i="2"/>
  <c r="K41" i="2"/>
  <c r="K39" i="2"/>
  <c r="K38" i="2"/>
  <c r="K45" i="2"/>
  <c r="K32" i="2"/>
  <c r="K36" i="2"/>
  <c r="K37" i="2"/>
  <c r="K43" i="2"/>
  <c r="K34" i="2"/>
  <c r="K44" i="2"/>
  <c r="M49" i="2"/>
  <c r="I49" i="2"/>
  <c r="K49" i="2" s="1"/>
  <c r="AP35" i="2" l="1"/>
  <c r="AQ30" i="2"/>
  <c r="AR30" i="2" s="1"/>
  <c r="AS30" i="2" l="1"/>
  <c r="AQ35" i="2"/>
  <c r="AR35" i="2" l="1"/>
  <c r="AT30" i="2"/>
  <c r="AU30" i="2" l="1"/>
  <c r="AS35" i="2"/>
  <c r="AT35" i="2" l="1"/>
  <c r="AV30" i="2"/>
  <c r="AW30" i="2" l="1"/>
  <c r="AU35" i="2"/>
  <c r="AV35" i="2" l="1"/>
  <c r="AX30" i="2"/>
  <c r="AW35" i="2" l="1"/>
  <c r="L23" i="2" l="1"/>
  <c r="C5" i="10"/>
  <c r="AB43" i="2"/>
  <c r="P15" i="2"/>
  <c r="Q15" i="2" s="1"/>
  <c r="P14" i="2"/>
  <c r="Q14" i="2" s="1"/>
  <c r="P16" i="2"/>
  <c r="S16" i="2" s="1"/>
  <c r="P21" i="2"/>
  <c r="S21" i="2" s="1"/>
  <c r="P22" i="2"/>
  <c r="S22" i="2" s="1"/>
  <c r="P23" i="2"/>
  <c r="P19" i="2"/>
  <c r="S19" i="2" s="1"/>
  <c r="P10" i="2"/>
  <c r="J23" i="2"/>
  <c r="P20" i="2"/>
  <c r="Q20" i="2" s="1"/>
  <c r="P51" i="2"/>
  <c r="I51" i="2" s="1"/>
  <c r="AX35" i="2"/>
  <c r="AN33" i="2"/>
  <c r="AO33" i="2" s="1"/>
  <c r="Q31" i="2"/>
  <c r="Q42" i="2"/>
  <c r="Q44" i="2"/>
  <c r="Q40" i="2"/>
  <c r="Q43" i="2"/>
  <c r="Y43" i="2" s="1"/>
  <c r="Q45" i="2"/>
  <c r="Q39" i="2"/>
  <c r="Q30" i="2"/>
  <c r="Q46" i="2"/>
  <c r="Q41" i="2"/>
  <c r="Q38" i="2"/>
  <c r="Q37" i="2"/>
  <c r="Q36" i="2"/>
  <c r="S41" i="2"/>
  <c r="S40" i="2"/>
  <c r="S45" i="2"/>
  <c r="S37" i="2"/>
  <c r="P26" i="2"/>
  <c r="AN26" i="2" s="1"/>
  <c r="AO26" i="2" s="1"/>
  <c r="AP26" i="2" s="1"/>
  <c r="AQ26" i="2" s="1"/>
  <c r="AR26" i="2" s="1"/>
  <c r="AS26" i="2" s="1"/>
  <c r="AT26" i="2" s="1"/>
  <c r="AU26" i="2" s="1"/>
  <c r="AV26" i="2" s="1"/>
  <c r="AW26" i="2" s="1"/>
  <c r="AX26" i="2" s="1"/>
  <c r="P24" i="2"/>
  <c r="AN24" i="2" s="1"/>
  <c r="AO24" i="2" s="1"/>
  <c r="AP24" i="2" s="1"/>
  <c r="AQ24" i="2" s="1"/>
  <c r="AR24" i="2" s="1"/>
  <c r="AS24" i="2" s="1"/>
  <c r="AT24" i="2" s="1"/>
  <c r="AU24" i="2" s="1"/>
  <c r="AV24" i="2" s="1"/>
  <c r="AW24" i="2" s="1"/>
  <c r="AX24" i="2" s="1"/>
  <c r="P25" i="2"/>
  <c r="AN25" i="2" s="1"/>
  <c r="AO25" i="2" s="1"/>
  <c r="AP25" i="2" s="1"/>
  <c r="AQ25" i="2" s="1"/>
  <c r="AR25" i="2" s="1"/>
  <c r="AS25" i="2" s="1"/>
  <c r="AT25" i="2" s="1"/>
  <c r="AU25" i="2" s="1"/>
  <c r="AV25" i="2" s="1"/>
  <c r="AW25" i="2" s="1"/>
  <c r="AX25" i="2" s="1"/>
  <c r="P17" i="2"/>
  <c r="L25" i="2"/>
  <c r="L19" i="2"/>
  <c r="L12" i="2"/>
  <c r="L11" i="2"/>
  <c r="L31" i="2"/>
  <c r="L40" i="2"/>
  <c r="L32" i="2"/>
  <c r="L8" i="2"/>
  <c r="L33" i="2"/>
  <c r="L22" i="2"/>
  <c r="L44" i="2"/>
  <c r="L46" i="2"/>
  <c r="L20" i="2"/>
  <c r="L7" i="2"/>
  <c r="L39" i="2"/>
  <c r="L14" i="2"/>
  <c r="L43" i="2"/>
  <c r="L24" i="2"/>
  <c r="L10" i="2"/>
  <c r="L36" i="2"/>
  <c r="L17" i="2"/>
  <c r="L34" i="2"/>
  <c r="Q8" i="2"/>
  <c r="J26" i="2"/>
  <c r="J17" i="2"/>
  <c r="J7" i="2"/>
  <c r="J32" i="2"/>
  <c r="J38" i="2"/>
  <c r="J42" i="2"/>
  <c r="J46" i="2"/>
  <c r="J11" i="2"/>
  <c r="J10" i="2"/>
  <c r="J39" i="2"/>
  <c r="J43" i="2"/>
  <c r="J19" i="2"/>
  <c r="J41" i="2"/>
  <c r="J16" i="2"/>
  <c r="J12" i="2"/>
  <c r="J24" i="2"/>
  <c r="J30" i="2"/>
  <c r="J31" i="2"/>
  <c r="J22" i="2"/>
  <c r="J15" i="2"/>
  <c r="J14" i="2"/>
  <c r="J36" i="2"/>
  <c r="J40" i="2"/>
  <c r="J44" i="2"/>
  <c r="J25" i="2"/>
  <c r="J33" i="2"/>
  <c r="J8" i="2"/>
  <c r="J21" i="2"/>
  <c r="J20" i="2"/>
  <c r="J37" i="2"/>
  <c r="J45" i="2"/>
  <c r="J34" i="2"/>
  <c r="J47" i="2" l="1"/>
  <c r="Q23" i="2"/>
  <c r="S23" i="2"/>
  <c r="Q21" i="2"/>
  <c r="S43" i="2"/>
  <c r="S36" i="2"/>
  <c r="S42" i="2"/>
  <c r="L38" i="2"/>
  <c r="S38" i="2"/>
  <c r="S44" i="2"/>
  <c r="S39" i="2"/>
  <c r="S30" i="2"/>
  <c r="L30" i="2"/>
  <c r="L15" i="2"/>
  <c r="L16" i="2"/>
  <c r="L26" i="2"/>
  <c r="L21" i="2"/>
  <c r="L37" i="2"/>
  <c r="L45" i="2"/>
  <c r="L42" i="2"/>
  <c r="L41" i="2"/>
  <c r="S31" i="2"/>
  <c r="S46" i="2"/>
  <c r="S8" i="2"/>
  <c r="S10" i="2"/>
  <c r="Q16" i="2"/>
  <c r="S15" i="2"/>
  <c r="S51" i="2"/>
  <c r="Q22" i="2"/>
  <c r="T16" i="2"/>
  <c r="AN16" i="2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Q19" i="2"/>
  <c r="S20" i="2"/>
  <c r="T14" i="2"/>
  <c r="AN14" i="2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S14" i="2"/>
  <c r="T15" i="2"/>
  <c r="AN15" i="2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Q10" i="2"/>
  <c r="T20" i="2"/>
  <c r="AN20" i="2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N23" i="2"/>
  <c r="AO23" i="2" s="1"/>
  <c r="AP23" i="2" s="1"/>
  <c r="AQ23" i="2" s="1"/>
  <c r="AR23" i="2" s="1"/>
  <c r="AS23" i="2" s="1"/>
  <c r="AT23" i="2" s="1"/>
  <c r="AU23" i="2" s="1"/>
  <c r="AV23" i="2" s="1"/>
  <c r="AW23" i="2" s="1"/>
  <c r="AX23" i="2" s="1"/>
  <c r="T23" i="2"/>
  <c r="T22" i="2"/>
  <c r="AN22" i="2"/>
  <c r="AO22" i="2" s="1"/>
  <c r="AP22" i="2" s="1"/>
  <c r="AQ22" i="2" s="1"/>
  <c r="AR22" i="2" s="1"/>
  <c r="AS22" i="2" s="1"/>
  <c r="AT22" i="2" s="1"/>
  <c r="AU22" i="2" s="1"/>
  <c r="AV22" i="2" s="1"/>
  <c r="AW22" i="2" s="1"/>
  <c r="AX22" i="2" s="1"/>
  <c r="T10" i="2"/>
  <c r="AN10" i="2"/>
  <c r="AP10" i="2" s="1"/>
  <c r="AQ10" i="2" s="1"/>
  <c r="AR10" i="2" s="1"/>
  <c r="AS10" i="2" s="1"/>
  <c r="AT10" i="2" s="1"/>
  <c r="AU10" i="2" s="1"/>
  <c r="AV10" i="2" s="1"/>
  <c r="AW10" i="2" s="1"/>
  <c r="AX10" i="2" s="1"/>
  <c r="T21" i="2"/>
  <c r="AN21" i="2"/>
  <c r="AO21" i="2" s="1"/>
  <c r="AP21" i="2" s="1"/>
  <c r="AQ21" i="2" s="1"/>
  <c r="AR21" i="2" s="1"/>
  <c r="AS21" i="2" s="1"/>
  <c r="AT21" i="2" s="1"/>
  <c r="AU21" i="2" s="1"/>
  <c r="AV21" i="2" s="1"/>
  <c r="AW21" i="2" s="1"/>
  <c r="AX21" i="2" s="1"/>
  <c r="T19" i="2"/>
  <c r="AN19" i="2"/>
  <c r="T43" i="2"/>
  <c r="W43" i="2" s="1"/>
  <c r="AN43" i="2"/>
  <c r="E51" i="2"/>
  <c r="E53" i="2" s="1"/>
  <c r="Q51" i="2"/>
  <c r="F51" i="2"/>
  <c r="F53" i="2" s="1"/>
  <c r="G51" i="2"/>
  <c r="T17" i="2"/>
  <c r="AN17" i="2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S51" i="2"/>
  <c r="L18" i="5" s="1"/>
  <c r="AW51" i="2"/>
  <c r="P18" i="5" s="1"/>
  <c r="AT51" i="2"/>
  <c r="M18" i="5" s="1"/>
  <c r="AX51" i="2"/>
  <c r="Q18" i="5" s="1"/>
  <c r="AO51" i="2"/>
  <c r="H18" i="5" s="1"/>
  <c r="AQ51" i="2"/>
  <c r="J18" i="5" s="1"/>
  <c r="AU51" i="2"/>
  <c r="N18" i="5" s="1"/>
  <c r="AP51" i="2"/>
  <c r="I18" i="5" s="1"/>
  <c r="AR51" i="2"/>
  <c r="K18" i="5" s="1"/>
  <c r="AV51" i="2"/>
  <c r="O18" i="5" s="1"/>
  <c r="AN51" i="2"/>
  <c r="G18" i="5" s="1"/>
  <c r="T33" i="2"/>
  <c r="T51" i="2"/>
  <c r="L51" i="2"/>
  <c r="J51" i="2"/>
  <c r="K51" i="2"/>
  <c r="K53" i="2" s="1"/>
  <c r="I53" i="2"/>
  <c r="S24" i="2"/>
  <c r="T24" i="2"/>
  <c r="S26" i="2"/>
  <c r="T26" i="2"/>
  <c r="S25" i="2"/>
  <c r="T25" i="2"/>
  <c r="S17" i="2"/>
  <c r="Q33" i="2"/>
  <c r="S33" i="2"/>
  <c r="Q24" i="2"/>
  <c r="Q25" i="2"/>
  <c r="Q26" i="2"/>
  <c r="Q17" i="2"/>
  <c r="L9" i="2"/>
  <c r="L13" i="2" s="1"/>
  <c r="J9" i="2"/>
  <c r="L47" i="2" l="1"/>
  <c r="L27" i="2"/>
  <c r="Z43" i="2"/>
  <c r="AO19" i="2"/>
  <c r="M53" i="2"/>
  <c r="AP33" i="2"/>
  <c r="R10" i="2"/>
  <c r="R14" i="2"/>
  <c r="J13" i="2"/>
  <c r="J27" i="2" s="1"/>
  <c r="L49" i="2" l="1"/>
  <c r="L53" i="2" s="1"/>
  <c r="R8" i="2"/>
  <c r="R26" i="2"/>
  <c r="T7" i="2"/>
  <c r="R17" i="2"/>
  <c r="R21" i="2"/>
  <c r="R15" i="2"/>
  <c r="S7" i="2"/>
  <c r="AN7" i="2"/>
  <c r="Q7" i="2"/>
  <c r="R25" i="2"/>
  <c r="R19" i="2"/>
  <c r="R20" i="2"/>
  <c r="R23" i="2"/>
  <c r="R24" i="2"/>
  <c r="R22" i="2"/>
  <c r="R16" i="2"/>
  <c r="R7" i="2"/>
  <c r="AP19" i="2"/>
  <c r="AQ33" i="2"/>
  <c r="P9" i="2"/>
  <c r="P12" i="2" l="1"/>
  <c r="P11" i="2"/>
  <c r="Q9" i="2"/>
  <c r="S9" i="2"/>
  <c r="AO7" i="2"/>
  <c r="AN9" i="2"/>
  <c r="AQ19" i="2"/>
  <c r="AR33" i="2"/>
  <c r="R9" i="2"/>
  <c r="AN11" i="2"/>
  <c r="T9" i="2"/>
  <c r="J49" i="2"/>
  <c r="J53" i="2" s="1"/>
  <c r="AO9" i="2" l="1"/>
  <c r="AO11" i="2" s="1"/>
  <c r="AP7" i="2"/>
  <c r="AR19" i="2"/>
  <c r="T12" i="2"/>
  <c r="AN12" i="2"/>
  <c r="AS33" i="2"/>
  <c r="R11" i="2"/>
  <c r="T11" i="2"/>
  <c r="R12" i="2"/>
  <c r="S12" i="2"/>
  <c r="S11" i="2"/>
  <c r="P13" i="2"/>
  <c r="P27" i="2" s="1"/>
  <c r="R35" i="2" s="1"/>
  <c r="Q12" i="2"/>
  <c r="Q11" i="2"/>
  <c r="AO12" i="2" l="1"/>
  <c r="AO13" i="2" s="1"/>
  <c r="AP9" i="2"/>
  <c r="AP11" i="2"/>
  <c r="AQ7" i="2"/>
  <c r="AS19" i="2"/>
  <c r="AN13" i="2"/>
  <c r="AN27" i="2" s="1"/>
  <c r="R13" i="2"/>
  <c r="R27" i="2" s="1"/>
  <c r="R34" i="2"/>
  <c r="AT33" i="2"/>
  <c r="S13" i="2"/>
  <c r="S27" i="2" s="1"/>
  <c r="T13" i="2"/>
  <c r="Q13" i="2"/>
  <c r="Q27" i="2" s="1"/>
  <c r="P32" i="2" l="1"/>
  <c r="AP12" i="2"/>
  <c r="AP13" i="2" s="1"/>
  <c r="AQ9" i="2"/>
  <c r="AQ12" i="2" s="1"/>
  <c r="AQ11" i="2"/>
  <c r="AR7" i="2"/>
  <c r="AT19" i="2"/>
  <c r="G16" i="5"/>
  <c r="AU33" i="2"/>
  <c r="R51" i="2"/>
  <c r="T27" i="2"/>
  <c r="R44" i="2"/>
  <c r="R43" i="2"/>
  <c r="X43" i="2" s="1"/>
  <c r="R39" i="2"/>
  <c r="R30" i="2"/>
  <c r="R40" i="2"/>
  <c r="R31" i="2"/>
  <c r="R45" i="2"/>
  <c r="R46" i="2"/>
  <c r="R41" i="2"/>
  <c r="R42" i="2"/>
  <c r="R37" i="2"/>
  <c r="R38" i="2"/>
  <c r="R36" i="2"/>
  <c r="R33" i="2"/>
  <c r="AN32" i="2" l="1"/>
  <c r="P47" i="2"/>
  <c r="R47" i="2" s="1"/>
  <c r="T32" i="2"/>
  <c r="R32" i="2"/>
  <c r="Q32" i="2"/>
  <c r="Q47" i="2" s="1"/>
  <c r="S32" i="2"/>
  <c r="S47" i="2" s="1"/>
  <c r="AR9" i="2"/>
  <c r="AR11" i="2"/>
  <c r="AS7" i="2"/>
  <c r="AU19" i="2"/>
  <c r="AQ13" i="2"/>
  <c r="AV33" i="2"/>
  <c r="AN47" i="2" l="1"/>
  <c r="AN49" i="2" s="1"/>
  <c r="AN53" i="2" s="1"/>
  <c r="G19" i="5" s="1"/>
  <c r="G23" i="5" s="1"/>
  <c r="I47" i="5" s="1"/>
  <c r="AR12" i="2"/>
  <c r="AR13" i="2" s="1"/>
  <c r="AS11" i="2"/>
  <c r="AT7" i="2"/>
  <c r="AT9" i="2" s="1"/>
  <c r="AT12" i="2" s="1"/>
  <c r="AS9" i="2"/>
  <c r="AV19" i="2"/>
  <c r="AW33" i="2"/>
  <c r="G17" i="5" l="1"/>
  <c r="L47" i="5"/>
  <c r="N47" i="5"/>
  <c r="O47" i="5"/>
  <c r="P47" i="5"/>
  <c r="J47" i="5"/>
  <c r="H47" i="5"/>
  <c r="M47" i="5"/>
  <c r="K47" i="5"/>
  <c r="AS12" i="2"/>
  <c r="AT11" i="2"/>
  <c r="AU7" i="2"/>
  <c r="AW19" i="2"/>
  <c r="AS13" i="2"/>
  <c r="AX33" i="2"/>
  <c r="AU11" i="2" l="1"/>
  <c r="AV7" i="2"/>
  <c r="AV9" i="2" s="1"/>
  <c r="AU9" i="2"/>
  <c r="AX19" i="2"/>
  <c r="AT13" i="2"/>
  <c r="AU12" i="2" l="1"/>
  <c r="AU13" i="2" s="1"/>
  <c r="AV11" i="2"/>
  <c r="AW7" i="2"/>
  <c r="AW11" i="2" s="1"/>
  <c r="AV12" i="2"/>
  <c r="AV13" i="2" l="1"/>
  <c r="AX7" i="2"/>
  <c r="AX11" i="2" s="1"/>
  <c r="AW9" i="2"/>
  <c r="AW12" i="2" l="1"/>
  <c r="AX9" i="2"/>
  <c r="AW13" i="2" l="1"/>
  <c r="AX12" i="2"/>
  <c r="AX13" i="2" l="1"/>
  <c r="T34" i="2" l="1"/>
  <c r="T47" i="2"/>
  <c r="Q49" i="2"/>
  <c r="Q53" i="2" s="1"/>
  <c r="S49" i="2" l="1"/>
  <c r="S53" i="2" s="1"/>
  <c r="P49" i="2"/>
  <c r="R49" i="2" s="1"/>
  <c r="R53" i="2" s="1"/>
  <c r="P53" i="2" l="1"/>
  <c r="T49" i="2"/>
  <c r="T53" i="2" l="1"/>
  <c r="G49" i="2" l="1"/>
  <c r="O27" i="2" l="1"/>
  <c r="O49" i="2"/>
  <c r="G53" i="2"/>
  <c r="N49" i="2"/>
  <c r="N27" i="2"/>
  <c r="O53" i="2" l="1"/>
  <c r="N53" i="2"/>
  <c r="O20" i="2"/>
  <c r="N20" i="2"/>
  <c r="N23" i="2"/>
  <c r="O23" i="2"/>
  <c r="G4" i="6" l="1"/>
  <c r="G8" i="6" l="1"/>
  <c r="X5" i="6"/>
  <c r="P5" i="5" s="1"/>
  <c r="F42" i="5" l="1"/>
  <c r="F41" i="5" s="1"/>
  <c r="G29" i="5" l="1"/>
  <c r="G28" i="5" l="1"/>
  <c r="G42" i="5" l="1"/>
  <c r="H29" i="5" l="1"/>
  <c r="H28" i="5" l="1"/>
  <c r="H42" i="5" l="1"/>
  <c r="I29" i="5" l="1"/>
  <c r="I28" i="5" l="1"/>
  <c r="I42" i="5" l="1"/>
  <c r="J29" i="5" l="1"/>
  <c r="J28" i="5" l="1"/>
  <c r="J42" i="5" l="1"/>
  <c r="K29" i="5" l="1"/>
  <c r="K28" i="5" l="1"/>
  <c r="K42" i="5" l="1"/>
  <c r="L29" i="5" l="1"/>
  <c r="L28" i="5" l="1"/>
  <c r="L42" i="5" l="1"/>
  <c r="M29" i="5" l="1"/>
  <c r="M28" i="5" l="1"/>
  <c r="M42" i="5" l="1"/>
  <c r="N29" i="5" l="1"/>
  <c r="N28" i="5" l="1"/>
  <c r="N42" i="5" l="1"/>
  <c r="O29" i="5" l="1"/>
  <c r="O28" i="5" l="1"/>
  <c r="O42" i="5" l="1"/>
  <c r="P29" i="5" l="1"/>
  <c r="P28" i="5" l="1"/>
  <c r="P42" i="5" l="1"/>
  <c r="H2" i="7" l="1"/>
  <c r="G17" i="7"/>
  <c r="H17" i="7" s="1"/>
  <c r="C11" i="10"/>
  <c r="C12" i="10"/>
  <c r="C24" i="10"/>
  <c r="D6" i="6" s="1"/>
  <c r="C36" i="10"/>
  <c r="C2" i="5"/>
  <c r="D4" i="6" s="1"/>
  <c r="X4" i="6" s="1"/>
  <c r="X6" i="6" s="1"/>
  <c r="P6" i="5" s="1"/>
  <c r="F34" i="5"/>
  <c r="F8" i="5" s="1"/>
  <c r="K46" i="5"/>
  <c r="L46" i="5"/>
  <c r="M46" i="5"/>
  <c r="N46" i="5"/>
  <c r="O46" i="5"/>
  <c r="P46" i="5"/>
  <c r="F73" i="5"/>
  <c r="G73" i="5" s="1"/>
  <c r="G71" i="5" s="1"/>
  <c r="H46" i="5" l="1"/>
  <c r="G46" i="5"/>
  <c r="J46" i="5"/>
  <c r="I46" i="5"/>
  <c r="G18" i="7"/>
  <c r="J18" i="7" s="1"/>
  <c r="M18" i="7" s="1"/>
  <c r="AQ43" i="2" s="1"/>
  <c r="G7" i="6"/>
  <c r="D15" i="6"/>
  <c r="D18" i="6"/>
  <c r="D19" i="6"/>
  <c r="D21" i="6"/>
  <c r="D23" i="6"/>
  <c r="D25" i="6"/>
  <c r="D27" i="6"/>
  <c r="D29" i="6"/>
  <c r="G14" i="6"/>
  <c r="D16" i="6"/>
  <c r="K16" i="6"/>
  <c r="D17" i="6"/>
  <c r="D20" i="6"/>
  <c r="D22" i="6"/>
  <c r="D24" i="6"/>
  <c r="D26" i="6"/>
  <c r="D28" i="6"/>
  <c r="D31" i="6"/>
  <c r="D33" i="6"/>
  <c r="D35" i="6"/>
  <c r="D37" i="6"/>
  <c r="D39" i="6"/>
  <c r="D41" i="6"/>
  <c r="D43" i="6"/>
  <c r="D45" i="6"/>
  <c r="D47" i="6"/>
  <c r="D49" i="6"/>
  <c r="D51" i="6"/>
  <c r="D53" i="6"/>
  <c r="D59" i="6"/>
  <c r="D61" i="6"/>
  <c r="D63" i="6"/>
  <c r="D65" i="6"/>
  <c r="D30" i="6"/>
  <c r="D34" i="6"/>
  <c r="D38" i="6"/>
  <c r="D42" i="6"/>
  <c r="D46" i="6"/>
  <c r="D50" i="6"/>
  <c r="D54" i="6"/>
  <c r="D60" i="6"/>
  <c r="D64" i="6"/>
  <c r="G57" i="6"/>
  <c r="C58" i="6" s="1"/>
  <c r="D66" i="6"/>
  <c r="D68" i="6"/>
  <c r="D70" i="6"/>
  <c r="D72" i="6"/>
  <c r="D74" i="6"/>
  <c r="D76" i="6"/>
  <c r="D78" i="6"/>
  <c r="D80" i="6"/>
  <c r="D82" i="6"/>
  <c r="D32" i="6"/>
  <c r="D40" i="6"/>
  <c r="D48" i="6"/>
  <c r="D62" i="6"/>
  <c r="D67" i="6"/>
  <c r="D71" i="6"/>
  <c r="D75" i="6"/>
  <c r="D79" i="6"/>
  <c r="D84" i="6"/>
  <c r="D86" i="6"/>
  <c r="D88" i="6"/>
  <c r="D90" i="6"/>
  <c r="D92" i="6"/>
  <c r="D94" i="6"/>
  <c r="D96" i="6"/>
  <c r="D98" i="6"/>
  <c r="D36" i="6"/>
  <c r="D44" i="6"/>
  <c r="D52" i="6"/>
  <c r="D58" i="6"/>
  <c r="D69" i="6"/>
  <c r="D73" i="6"/>
  <c r="D77" i="6"/>
  <c r="D81" i="6"/>
  <c r="D83" i="6"/>
  <c r="D85" i="6"/>
  <c r="D87" i="6"/>
  <c r="D89" i="6"/>
  <c r="D91" i="6"/>
  <c r="D93" i="6"/>
  <c r="D95" i="6"/>
  <c r="D97" i="6"/>
  <c r="D99" i="6"/>
  <c r="D101" i="6"/>
  <c r="D103" i="6"/>
  <c r="D105" i="6"/>
  <c r="D102" i="6"/>
  <c r="D106" i="6"/>
  <c r="D108" i="6"/>
  <c r="D110" i="6"/>
  <c r="D112" i="6"/>
  <c r="D114" i="6"/>
  <c r="D116" i="6"/>
  <c r="D118" i="6"/>
  <c r="D120" i="6"/>
  <c r="D122" i="6"/>
  <c r="D124" i="6"/>
  <c r="D126" i="6"/>
  <c r="D128" i="6"/>
  <c r="D130" i="6"/>
  <c r="D132" i="6"/>
  <c r="D134" i="6"/>
  <c r="D136" i="6"/>
  <c r="D138" i="6"/>
  <c r="D140" i="6"/>
  <c r="D142" i="6"/>
  <c r="D144" i="6"/>
  <c r="D146" i="6"/>
  <c r="D148" i="6"/>
  <c r="D150" i="6"/>
  <c r="D152" i="6"/>
  <c r="D154" i="6"/>
  <c r="D100" i="6"/>
  <c r="D104" i="6"/>
  <c r="D107" i="6"/>
  <c r="D109" i="6"/>
  <c r="D111" i="6"/>
  <c r="D113" i="6"/>
  <c r="D115" i="6"/>
  <c r="D117" i="6"/>
  <c r="D119" i="6"/>
  <c r="D121" i="6"/>
  <c r="D123" i="6"/>
  <c r="D125" i="6"/>
  <c r="D127" i="6"/>
  <c r="D129" i="6"/>
  <c r="D131" i="6"/>
  <c r="D133" i="6"/>
  <c r="D135" i="6"/>
  <c r="D137" i="6"/>
  <c r="D139" i="6"/>
  <c r="D141" i="6"/>
  <c r="D143" i="6"/>
  <c r="D145" i="6"/>
  <c r="D147" i="6"/>
  <c r="D149" i="6"/>
  <c r="D151" i="6"/>
  <c r="D153" i="6"/>
  <c r="D155" i="6"/>
  <c r="D157" i="6"/>
  <c r="D159" i="6"/>
  <c r="D161" i="6"/>
  <c r="D163" i="6"/>
  <c r="D165" i="6"/>
  <c r="D167" i="6"/>
  <c r="D169" i="6"/>
  <c r="D171" i="6"/>
  <c r="D156" i="6"/>
  <c r="D160" i="6"/>
  <c r="D164" i="6"/>
  <c r="D168" i="6"/>
  <c r="D172" i="6"/>
  <c r="D174" i="6"/>
  <c r="D176" i="6"/>
  <c r="D178" i="6"/>
  <c r="D180" i="6"/>
  <c r="D182" i="6"/>
  <c r="D184" i="6"/>
  <c r="D186" i="6"/>
  <c r="D188" i="6"/>
  <c r="D190" i="6"/>
  <c r="D192" i="6"/>
  <c r="D194" i="6"/>
  <c r="D196" i="6"/>
  <c r="D198" i="6"/>
  <c r="D200" i="6"/>
  <c r="D202" i="6"/>
  <c r="D204" i="6"/>
  <c r="D206" i="6"/>
  <c r="D208" i="6"/>
  <c r="D210" i="6"/>
  <c r="D212" i="6"/>
  <c r="D214" i="6"/>
  <c r="D216" i="6"/>
  <c r="D218" i="6"/>
  <c r="D220" i="6"/>
  <c r="D222" i="6"/>
  <c r="D224" i="6"/>
  <c r="D226" i="6"/>
  <c r="D228" i="6"/>
  <c r="D230" i="6"/>
  <c r="D158" i="6"/>
  <c r="D162" i="6"/>
  <c r="D166" i="6"/>
  <c r="D170" i="6"/>
  <c r="D173" i="6"/>
  <c r="D175" i="6"/>
  <c r="D177" i="6"/>
  <c r="D179" i="6"/>
  <c r="D181" i="6"/>
  <c r="D183" i="6"/>
  <c r="D185" i="6"/>
  <c r="D187" i="6"/>
  <c r="D189" i="6"/>
  <c r="D191" i="6"/>
  <c r="D193" i="6"/>
  <c r="D195" i="6"/>
  <c r="D197" i="6"/>
  <c r="D199" i="6"/>
  <c r="D201" i="6"/>
  <c r="D203" i="6"/>
  <c r="D205" i="6"/>
  <c r="D207" i="6"/>
  <c r="D209" i="6"/>
  <c r="D211" i="6"/>
  <c r="D213" i="6"/>
  <c r="D215" i="6"/>
  <c r="D217" i="6"/>
  <c r="D219" i="6"/>
  <c r="D221" i="6"/>
  <c r="D223" i="6"/>
  <c r="D225" i="6"/>
  <c r="D227" i="6"/>
  <c r="D235" i="6"/>
  <c r="D237" i="6"/>
  <c r="D239" i="6"/>
  <c r="D241" i="6"/>
  <c r="D243" i="6"/>
  <c r="D245" i="6"/>
  <c r="D247" i="6"/>
  <c r="D249" i="6"/>
  <c r="D251" i="6"/>
  <c r="D253" i="6"/>
  <c r="D255" i="6"/>
  <c r="D257" i="6"/>
  <c r="D259" i="6"/>
  <c r="D261" i="6"/>
  <c r="D263" i="6"/>
  <c r="D265" i="6"/>
  <c r="D267" i="6"/>
  <c r="D269" i="6"/>
  <c r="D271" i="6"/>
  <c r="D273" i="6"/>
  <c r="D275" i="6"/>
  <c r="D277" i="6"/>
  <c r="D279" i="6"/>
  <c r="D281" i="6"/>
  <c r="D283" i="6"/>
  <c r="D285" i="6"/>
  <c r="D287" i="6"/>
  <c r="D289" i="6"/>
  <c r="D291" i="6"/>
  <c r="D293" i="6"/>
  <c r="D295" i="6"/>
  <c r="D297" i="6"/>
  <c r="D229" i="6"/>
  <c r="D233" i="6"/>
  <c r="D234" i="6"/>
  <c r="D232" i="6"/>
  <c r="D236" i="6"/>
  <c r="D238" i="6"/>
  <c r="D240" i="6"/>
  <c r="D242" i="6"/>
  <c r="D244" i="6"/>
  <c r="D246" i="6"/>
  <c r="D248" i="6"/>
  <c r="D250" i="6"/>
  <c r="D252" i="6"/>
  <c r="D254" i="6"/>
  <c r="D256" i="6"/>
  <c r="D258" i="6"/>
  <c r="D260" i="6"/>
  <c r="D262" i="6"/>
  <c r="D264" i="6"/>
  <c r="D266" i="6"/>
  <c r="D268" i="6"/>
  <c r="D270" i="6"/>
  <c r="D272" i="6"/>
  <c r="D274" i="6"/>
  <c r="D276" i="6"/>
  <c r="D278" i="6"/>
  <c r="D280" i="6"/>
  <c r="D282" i="6"/>
  <c r="D284" i="6"/>
  <c r="D286" i="6"/>
  <c r="D288" i="6"/>
  <c r="D290" i="6"/>
  <c r="D292" i="6"/>
  <c r="D294" i="6"/>
  <c r="D296" i="6"/>
  <c r="D298" i="6"/>
  <c r="D231" i="6"/>
  <c r="D299" i="6"/>
  <c r="D301" i="6"/>
  <c r="D303" i="6"/>
  <c r="D305" i="6"/>
  <c r="D307" i="6"/>
  <c r="D309" i="6"/>
  <c r="D311" i="6"/>
  <c r="D313" i="6"/>
  <c r="D315" i="6"/>
  <c r="D317" i="6"/>
  <c r="D319" i="6"/>
  <c r="D321" i="6"/>
  <c r="D323" i="6"/>
  <c r="D325" i="6"/>
  <c r="D327" i="6"/>
  <c r="D329" i="6"/>
  <c r="D331" i="6"/>
  <c r="D333" i="6"/>
  <c r="D335" i="6"/>
  <c r="D337" i="6"/>
  <c r="D339" i="6"/>
  <c r="D341" i="6"/>
  <c r="D343" i="6"/>
  <c r="D345" i="6"/>
  <c r="D347" i="6"/>
  <c r="D349" i="6"/>
  <c r="D351" i="6"/>
  <c r="D353" i="6"/>
  <c r="D355" i="6"/>
  <c r="D357" i="6"/>
  <c r="D359" i="6"/>
  <c r="D361" i="6"/>
  <c r="D363" i="6"/>
  <c r="D365" i="6"/>
  <c r="D367" i="6"/>
  <c r="D300" i="6"/>
  <c r="D302" i="6"/>
  <c r="D304" i="6"/>
  <c r="D306" i="6"/>
  <c r="D308" i="6"/>
  <c r="D310" i="6"/>
  <c r="D312" i="6"/>
  <c r="D314" i="6"/>
  <c r="D316" i="6"/>
  <c r="D318" i="6"/>
  <c r="D320" i="6"/>
  <c r="D322" i="6"/>
  <c r="D324" i="6"/>
  <c r="D326" i="6"/>
  <c r="D328" i="6"/>
  <c r="D330" i="6"/>
  <c r="D332" i="6"/>
  <c r="D334" i="6"/>
  <c r="D336" i="6"/>
  <c r="D338" i="6"/>
  <c r="D340" i="6"/>
  <c r="D342" i="6"/>
  <c r="D344" i="6"/>
  <c r="D346" i="6"/>
  <c r="D348" i="6"/>
  <c r="D350" i="6"/>
  <c r="D352" i="6"/>
  <c r="D354" i="6"/>
  <c r="D356" i="6"/>
  <c r="D358" i="6"/>
  <c r="D360" i="6"/>
  <c r="D362" i="6"/>
  <c r="D364" i="6"/>
  <c r="D366" i="6"/>
  <c r="D369" i="6"/>
  <c r="D371" i="6"/>
  <c r="D373" i="6"/>
  <c r="D375" i="6"/>
  <c r="D377" i="6"/>
  <c r="D379" i="6"/>
  <c r="D381" i="6"/>
  <c r="D383" i="6"/>
  <c r="D385" i="6"/>
  <c r="D387" i="6"/>
  <c r="D389" i="6"/>
  <c r="D391" i="6"/>
  <c r="D393" i="6"/>
  <c r="D395" i="6"/>
  <c r="D397" i="6"/>
  <c r="D399" i="6"/>
  <c r="D401" i="6"/>
  <c r="D403" i="6"/>
  <c r="D405" i="6"/>
  <c r="D407" i="6"/>
  <c r="D409" i="6"/>
  <c r="D411" i="6"/>
  <c r="D413" i="6"/>
  <c r="D415" i="6"/>
  <c r="D417" i="6"/>
  <c r="D419" i="6"/>
  <c r="D421" i="6"/>
  <c r="D423" i="6"/>
  <c r="D425" i="6"/>
  <c r="D427" i="6"/>
  <c r="D429" i="6"/>
  <c r="D431" i="6"/>
  <c r="D433" i="6"/>
  <c r="D435" i="6"/>
  <c r="D437" i="6"/>
  <c r="D439" i="6"/>
  <c r="D441" i="6"/>
  <c r="D443" i="6"/>
  <c r="D445" i="6"/>
  <c r="D447" i="6"/>
  <c r="D449" i="6"/>
  <c r="D451" i="6"/>
  <c r="D453" i="6"/>
  <c r="D455" i="6"/>
  <c r="D457" i="6"/>
  <c r="D459" i="6"/>
  <c r="D461" i="6"/>
  <c r="D463" i="6"/>
  <c r="D465" i="6"/>
  <c r="D467" i="6"/>
  <c r="D469" i="6"/>
  <c r="D471" i="6"/>
  <c r="D473" i="6"/>
  <c r="D475" i="6"/>
  <c r="D477" i="6"/>
  <c r="D479" i="6"/>
  <c r="D481" i="6"/>
  <c r="D483" i="6"/>
  <c r="D485" i="6"/>
  <c r="D487" i="6"/>
  <c r="D489" i="6"/>
  <c r="D491" i="6"/>
  <c r="D493" i="6"/>
  <c r="D495" i="6"/>
  <c r="D497" i="6"/>
  <c r="D499" i="6"/>
  <c r="D501" i="6"/>
  <c r="D370" i="6"/>
  <c r="D372" i="6"/>
  <c r="D374" i="6"/>
  <c r="D376" i="6"/>
  <c r="D378" i="6"/>
  <c r="D380" i="6"/>
  <c r="D382" i="6"/>
  <c r="D384" i="6"/>
  <c r="D386" i="6"/>
  <c r="D388" i="6"/>
  <c r="D390" i="6"/>
  <c r="D392" i="6"/>
  <c r="D394" i="6"/>
  <c r="D396" i="6"/>
  <c r="D398" i="6"/>
  <c r="D400" i="6"/>
  <c r="D402" i="6"/>
  <c r="D404" i="6"/>
  <c r="D406" i="6"/>
  <c r="D408" i="6"/>
  <c r="D410" i="6"/>
  <c r="D412" i="6"/>
  <c r="D414" i="6"/>
  <c r="D416" i="6"/>
  <c r="D418" i="6"/>
  <c r="D420" i="6"/>
  <c r="D422" i="6"/>
  <c r="D424" i="6"/>
  <c r="D426" i="6"/>
  <c r="D428" i="6"/>
  <c r="D430" i="6"/>
  <c r="D432" i="6"/>
  <c r="D434" i="6"/>
  <c r="D436" i="6"/>
  <c r="D438" i="6"/>
  <c r="D440" i="6"/>
  <c r="D442" i="6"/>
  <c r="D444" i="6"/>
  <c r="D446" i="6"/>
  <c r="D448" i="6"/>
  <c r="D450" i="6"/>
  <c r="D452" i="6"/>
  <c r="D454" i="6"/>
  <c r="D456" i="6"/>
  <c r="D458" i="6"/>
  <c r="D460" i="6"/>
  <c r="D462" i="6"/>
  <c r="D464" i="6"/>
  <c r="D466" i="6"/>
  <c r="D468" i="6"/>
  <c r="D470" i="6"/>
  <c r="D472" i="6"/>
  <c r="D474" i="6"/>
  <c r="D476" i="6"/>
  <c r="D478" i="6"/>
  <c r="D480" i="6"/>
  <c r="D482" i="6"/>
  <c r="D484" i="6"/>
  <c r="D486" i="6"/>
  <c r="D488" i="6"/>
  <c r="D490" i="6"/>
  <c r="D492" i="6"/>
  <c r="D494" i="6"/>
  <c r="D496" i="6"/>
  <c r="D498" i="6"/>
  <c r="D500" i="6"/>
  <c r="D502" i="6"/>
  <c r="D368" i="6"/>
  <c r="X536" i="6"/>
  <c r="X534" i="6"/>
  <c r="X532" i="6"/>
  <c r="X530" i="6"/>
  <c r="X528" i="6"/>
  <c r="X526" i="6"/>
  <c r="X524" i="6"/>
  <c r="X522" i="6"/>
  <c r="X520" i="6"/>
  <c r="X518" i="6"/>
  <c r="X516" i="6"/>
  <c r="X514" i="6"/>
  <c r="X512" i="6"/>
  <c r="X510" i="6"/>
  <c r="X508" i="6"/>
  <c r="X506" i="6"/>
  <c r="X504" i="6"/>
  <c r="H73" i="5"/>
  <c r="F10" i="5"/>
  <c r="F3" i="5"/>
  <c r="D536" i="6"/>
  <c r="D534" i="6"/>
  <c r="D532" i="6"/>
  <c r="D530" i="6"/>
  <c r="D528" i="6"/>
  <c r="D526" i="6"/>
  <c r="D524" i="6"/>
  <c r="D522" i="6"/>
  <c r="D520" i="6"/>
  <c r="D518" i="6"/>
  <c r="D516" i="6"/>
  <c r="D514" i="6"/>
  <c r="D512" i="6"/>
  <c r="D510" i="6"/>
  <c r="D508" i="6"/>
  <c r="D506" i="6"/>
  <c r="D504" i="6"/>
  <c r="F9" i="5"/>
  <c r="C17" i="10" s="1"/>
  <c r="M6" i="5"/>
  <c r="X20" i="6"/>
  <c r="X22" i="6"/>
  <c r="X24" i="6"/>
  <c r="X26" i="6"/>
  <c r="X28" i="6"/>
  <c r="AA7" i="6"/>
  <c r="X18" i="6"/>
  <c r="X15" i="6"/>
  <c r="X17" i="6"/>
  <c r="X19" i="6"/>
  <c r="X21" i="6"/>
  <c r="X23" i="6"/>
  <c r="X25" i="6"/>
  <c r="X27" i="6"/>
  <c r="AA14" i="6"/>
  <c r="X16" i="6"/>
  <c r="AE16" i="6"/>
  <c r="AA57" i="6"/>
  <c r="W58" i="6" s="1"/>
  <c r="X29" i="6"/>
  <c r="X31" i="6"/>
  <c r="X33" i="6"/>
  <c r="X35" i="6"/>
  <c r="X37" i="6"/>
  <c r="X39" i="6"/>
  <c r="X41" i="6"/>
  <c r="X43" i="6"/>
  <c r="X45" i="6"/>
  <c r="X47" i="6"/>
  <c r="X49" i="6"/>
  <c r="X51" i="6"/>
  <c r="X53" i="6"/>
  <c r="X59" i="6"/>
  <c r="X61" i="6"/>
  <c r="X63" i="6"/>
  <c r="X65" i="6"/>
  <c r="X67" i="6"/>
  <c r="X69" i="6"/>
  <c r="X71" i="6"/>
  <c r="X73" i="6"/>
  <c r="X75" i="6"/>
  <c r="X77" i="6"/>
  <c r="X79" i="6"/>
  <c r="X81" i="6"/>
  <c r="X32" i="6"/>
  <c r="X36" i="6"/>
  <c r="X40" i="6"/>
  <c r="X44" i="6"/>
  <c r="X48" i="6"/>
  <c r="X52" i="6"/>
  <c r="X58" i="6"/>
  <c r="X62" i="6"/>
  <c r="X68" i="6"/>
  <c r="X72" i="6"/>
  <c r="X76" i="6"/>
  <c r="X80" i="6"/>
  <c r="X83" i="6"/>
  <c r="X85" i="6"/>
  <c r="X87" i="6"/>
  <c r="X89" i="6"/>
  <c r="X91" i="6"/>
  <c r="X93" i="6"/>
  <c r="X95" i="6"/>
  <c r="X97" i="6"/>
  <c r="X99" i="6"/>
  <c r="X30" i="6"/>
  <c r="X38" i="6"/>
  <c r="X46" i="6"/>
  <c r="X54" i="6"/>
  <c r="X60" i="6"/>
  <c r="X66" i="6"/>
  <c r="X70" i="6"/>
  <c r="X74" i="6"/>
  <c r="X78" i="6"/>
  <c r="X82" i="6"/>
  <c r="X84" i="6"/>
  <c r="X86" i="6"/>
  <c r="X88" i="6"/>
  <c r="X90" i="6"/>
  <c r="X92" i="6"/>
  <c r="X94" i="6"/>
  <c r="X96" i="6"/>
  <c r="X98" i="6"/>
  <c r="X100" i="6"/>
  <c r="X102" i="6"/>
  <c r="X104" i="6"/>
  <c r="X106" i="6"/>
  <c r="X34" i="6"/>
  <c r="X42" i="6"/>
  <c r="X50" i="6"/>
  <c r="X64" i="6"/>
  <c r="X103" i="6"/>
  <c r="X107" i="6"/>
  <c r="X109" i="6"/>
  <c r="X111" i="6"/>
  <c r="X113" i="6"/>
  <c r="X115" i="6"/>
  <c r="X117" i="6"/>
  <c r="X119" i="6"/>
  <c r="X121" i="6"/>
  <c r="X123" i="6"/>
  <c r="X125" i="6"/>
  <c r="X127" i="6"/>
  <c r="X129" i="6"/>
  <c r="X131" i="6"/>
  <c r="X133" i="6"/>
  <c r="X135" i="6"/>
  <c r="X137" i="6"/>
  <c r="X139" i="6"/>
  <c r="X141" i="6"/>
  <c r="X143" i="6"/>
  <c r="X145" i="6"/>
  <c r="X147" i="6"/>
  <c r="X149" i="6"/>
  <c r="X151" i="6"/>
  <c r="X153" i="6"/>
  <c r="X155" i="6"/>
  <c r="X101" i="6"/>
  <c r="X105" i="6"/>
  <c r="X108" i="6"/>
  <c r="X110" i="6"/>
  <c r="X112" i="6"/>
  <c r="X114" i="6"/>
  <c r="X116" i="6"/>
  <c r="X118" i="6"/>
  <c r="X120" i="6"/>
  <c r="X122" i="6"/>
  <c r="X124" i="6"/>
  <c r="X126" i="6"/>
  <c r="X128" i="6"/>
  <c r="X130" i="6"/>
  <c r="X132" i="6"/>
  <c r="X134" i="6"/>
  <c r="X136" i="6"/>
  <c r="X138" i="6"/>
  <c r="X140" i="6"/>
  <c r="X142" i="6"/>
  <c r="X144" i="6"/>
  <c r="X146" i="6"/>
  <c r="X148" i="6"/>
  <c r="X150" i="6"/>
  <c r="X152" i="6"/>
  <c r="X154" i="6"/>
  <c r="X156" i="6"/>
  <c r="X158" i="6"/>
  <c r="X160" i="6"/>
  <c r="X162" i="6"/>
  <c r="X164" i="6"/>
  <c r="X166" i="6"/>
  <c r="X168" i="6"/>
  <c r="X170" i="6"/>
  <c r="X157" i="6"/>
  <c r="X161" i="6"/>
  <c r="X165" i="6"/>
  <c r="X169" i="6"/>
  <c r="X171" i="6"/>
  <c r="X173" i="6"/>
  <c r="X175" i="6"/>
  <c r="X177" i="6"/>
  <c r="X179" i="6"/>
  <c r="X181" i="6"/>
  <c r="X183" i="6"/>
  <c r="X185" i="6"/>
  <c r="X187" i="6"/>
  <c r="X189" i="6"/>
  <c r="X191" i="6"/>
  <c r="X193" i="6"/>
  <c r="X195" i="6"/>
  <c r="X197" i="6"/>
  <c r="X199" i="6"/>
  <c r="X201" i="6"/>
  <c r="X203" i="6"/>
  <c r="X205" i="6"/>
  <c r="X207" i="6"/>
  <c r="X209" i="6"/>
  <c r="X211" i="6"/>
  <c r="X213" i="6"/>
  <c r="X215" i="6"/>
  <c r="X217" i="6"/>
  <c r="X219" i="6"/>
  <c r="X221" i="6"/>
  <c r="X223" i="6"/>
  <c r="X225" i="6"/>
  <c r="X159" i="6"/>
  <c r="X163" i="6"/>
  <c r="X167" i="6"/>
  <c r="X172" i="6"/>
  <c r="X174" i="6"/>
  <c r="X176" i="6"/>
  <c r="X178" i="6"/>
  <c r="X180" i="6"/>
  <c r="X182" i="6"/>
  <c r="X184" i="6"/>
  <c r="X186" i="6"/>
  <c r="X188" i="6"/>
  <c r="X190" i="6"/>
  <c r="X192" i="6"/>
  <c r="X194" i="6"/>
  <c r="X196" i="6"/>
  <c r="X198" i="6"/>
  <c r="X200" i="6"/>
  <c r="X202" i="6"/>
  <c r="X204" i="6"/>
  <c r="X206" i="6"/>
  <c r="X208" i="6"/>
  <c r="X210" i="6"/>
  <c r="X212" i="6"/>
  <c r="X214" i="6"/>
  <c r="X216" i="6"/>
  <c r="X218" i="6"/>
  <c r="X220" i="6"/>
  <c r="X222" i="6"/>
  <c r="X224" i="6"/>
  <c r="X226" i="6"/>
  <c r="X228" i="6"/>
  <c r="X230" i="6"/>
  <c r="X232" i="6"/>
  <c r="X234" i="6"/>
  <c r="X229" i="6"/>
  <c r="X233" i="6"/>
  <c r="X235" i="6"/>
  <c r="X237" i="6"/>
  <c r="X239" i="6"/>
  <c r="X241" i="6"/>
  <c r="X243" i="6"/>
  <c r="X245" i="6"/>
  <c r="X247" i="6"/>
  <c r="X249" i="6"/>
  <c r="X251" i="6"/>
  <c r="X253" i="6"/>
  <c r="X255" i="6"/>
  <c r="X257" i="6"/>
  <c r="X259" i="6"/>
  <c r="X261" i="6"/>
  <c r="X263" i="6"/>
  <c r="X265" i="6"/>
  <c r="X267" i="6"/>
  <c r="X269" i="6"/>
  <c r="X271" i="6"/>
  <c r="X273" i="6"/>
  <c r="X275" i="6"/>
  <c r="X277" i="6"/>
  <c r="X279" i="6"/>
  <c r="X281" i="6"/>
  <c r="X283" i="6"/>
  <c r="X285" i="6"/>
  <c r="X287" i="6"/>
  <c r="X289" i="6"/>
  <c r="X291" i="6"/>
  <c r="X293" i="6"/>
  <c r="X295" i="6"/>
  <c r="X297" i="6"/>
  <c r="X227" i="6"/>
  <c r="X231" i="6"/>
  <c r="X236" i="6"/>
  <c r="X238" i="6"/>
  <c r="X240" i="6"/>
  <c r="X242" i="6"/>
  <c r="X244" i="6"/>
  <c r="X246" i="6"/>
  <c r="X248" i="6"/>
  <c r="X250" i="6"/>
  <c r="X252" i="6"/>
  <c r="X254" i="6"/>
  <c r="X256" i="6"/>
  <c r="X258" i="6"/>
  <c r="X260" i="6"/>
  <c r="X262" i="6"/>
  <c r="X264" i="6"/>
  <c r="X266" i="6"/>
  <c r="X268" i="6"/>
  <c r="X270" i="6"/>
  <c r="X272" i="6"/>
  <c r="X274" i="6"/>
  <c r="X276" i="6"/>
  <c r="X278" i="6"/>
  <c r="X280" i="6"/>
  <c r="X282" i="6"/>
  <c r="X284" i="6"/>
  <c r="X286" i="6"/>
  <c r="X288" i="6"/>
  <c r="X290" i="6"/>
  <c r="X292" i="6"/>
  <c r="X294" i="6"/>
  <c r="X296" i="6"/>
  <c r="X298" i="6"/>
  <c r="X300" i="6"/>
  <c r="X302" i="6"/>
  <c r="X304" i="6"/>
  <c r="X306" i="6"/>
  <c r="X308" i="6"/>
  <c r="X310" i="6"/>
  <c r="X312" i="6"/>
  <c r="X314" i="6"/>
  <c r="X316" i="6"/>
  <c r="X318" i="6"/>
  <c r="X320" i="6"/>
  <c r="X322" i="6"/>
  <c r="X324" i="6"/>
  <c r="X326" i="6"/>
  <c r="X328" i="6"/>
  <c r="X330" i="6"/>
  <c r="X332" i="6"/>
  <c r="X334" i="6"/>
  <c r="X336" i="6"/>
  <c r="X338" i="6"/>
  <c r="X340" i="6"/>
  <c r="X342" i="6"/>
  <c r="X344" i="6"/>
  <c r="X346" i="6"/>
  <c r="X348" i="6"/>
  <c r="X350" i="6"/>
  <c r="X352" i="6"/>
  <c r="X354" i="6"/>
  <c r="X356" i="6"/>
  <c r="X358" i="6"/>
  <c r="X360" i="6"/>
  <c r="X362" i="6"/>
  <c r="X364" i="6"/>
  <c r="X299" i="6"/>
  <c r="X301" i="6"/>
  <c r="X303" i="6"/>
  <c r="X305" i="6"/>
  <c r="X307" i="6"/>
  <c r="X309" i="6"/>
  <c r="X311" i="6"/>
  <c r="X313" i="6"/>
  <c r="X315" i="6"/>
  <c r="X317" i="6"/>
  <c r="X319" i="6"/>
  <c r="X321" i="6"/>
  <c r="X323" i="6"/>
  <c r="X325" i="6"/>
  <c r="X327" i="6"/>
  <c r="X329" i="6"/>
  <c r="X331" i="6"/>
  <c r="X333" i="6"/>
  <c r="X335" i="6"/>
  <c r="X337" i="6"/>
  <c r="X339" i="6"/>
  <c r="X341" i="6"/>
  <c r="X343" i="6"/>
  <c r="X345" i="6"/>
  <c r="X347" i="6"/>
  <c r="X349" i="6"/>
  <c r="X351" i="6"/>
  <c r="X353" i="6"/>
  <c r="X355" i="6"/>
  <c r="X357" i="6"/>
  <c r="X359" i="6"/>
  <c r="X361" i="6"/>
  <c r="X363" i="6"/>
  <c r="X365" i="6"/>
  <c r="X366" i="6"/>
  <c r="X369" i="6"/>
  <c r="X371" i="6"/>
  <c r="X373" i="6"/>
  <c r="X375" i="6"/>
  <c r="X377" i="6"/>
  <c r="X379" i="6"/>
  <c r="X381" i="6"/>
  <c r="X383" i="6"/>
  <c r="X385" i="6"/>
  <c r="X387" i="6"/>
  <c r="X389" i="6"/>
  <c r="X391" i="6"/>
  <c r="X393" i="6"/>
  <c r="X395" i="6"/>
  <c r="X397" i="6"/>
  <c r="X399" i="6"/>
  <c r="X401" i="6"/>
  <c r="X403" i="6"/>
  <c r="X405" i="6"/>
  <c r="X407" i="6"/>
  <c r="X409" i="6"/>
  <c r="X411" i="6"/>
  <c r="X413" i="6"/>
  <c r="X415" i="6"/>
  <c r="X417" i="6"/>
  <c r="X419" i="6"/>
  <c r="X421" i="6"/>
  <c r="X423" i="6"/>
  <c r="X425" i="6"/>
  <c r="X427" i="6"/>
  <c r="X429" i="6"/>
  <c r="X431" i="6"/>
  <c r="X433" i="6"/>
  <c r="X435" i="6"/>
  <c r="X437" i="6"/>
  <c r="X439" i="6"/>
  <c r="X441" i="6"/>
  <c r="X443" i="6"/>
  <c r="X445" i="6"/>
  <c r="X447" i="6"/>
  <c r="X449" i="6"/>
  <c r="X451" i="6"/>
  <c r="X453" i="6"/>
  <c r="X455" i="6"/>
  <c r="X457" i="6"/>
  <c r="X459" i="6"/>
  <c r="X461" i="6"/>
  <c r="X463" i="6"/>
  <c r="X465" i="6"/>
  <c r="X467" i="6"/>
  <c r="X469" i="6"/>
  <c r="X471" i="6"/>
  <c r="X473" i="6"/>
  <c r="X475" i="6"/>
  <c r="X477" i="6"/>
  <c r="X479" i="6"/>
  <c r="X481" i="6"/>
  <c r="X483" i="6"/>
  <c r="X485" i="6"/>
  <c r="X487" i="6"/>
  <c r="X489" i="6"/>
  <c r="X491" i="6"/>
  <c r="X493" i="6"/>
  <c r="X495" i="6"/>
  <c r="X497" i="6"/>
  <c r="X499" i="6"/>
  <c r="X501" i="6"/>
  <c r="X367" i="6"/>
  <c r="X368" i="6"/>
  <c r="X370" i="6"/>
  <c r="X372" i="6"/>
  <c r="X374" i="6"/>
  <c r="X376" i="6"/>
  <c r="X378" i="6"/>
  <c r="X380" i="6"/>
  <c r="X382" i="6"/>
  <c r="X384" i="6"/>
  <c r="X386" i="6"/>
  <c r="X388" i="6"/>
  <c r="X390" i="6"/>
  <c r="X392" i="6"/>
  <c r="X394" i="6"/>
  <c r="X396" i="6"/>
  <c r="X398" i="6"/>
  <c r="X400" i="6"/>
  <c r="X402" i="6"/>
  <c r="X404" i="6"/>
  <c r="X406" i="6"/>
  <c r="X408" i="6"/>
  <c r="X410" i="6"/>
  <c r="X412" i="6"/>
  <c r="X414" i="6"/>
  <c r="X416" i="6"/>
  <c r="X418" i="6"/>
  <c r="X420" i="6"/>
  <c r="X422" i="6"/>
  <c r="X424" i="6"/>
  <c r="X426" i="6"/>
  <c r="X428" i="6"/>
  <c r="X430" i="6"/>
  <c r="X432" i="6"/>
  <c r="X434" i="6"/>
  <c r="X436" i="6"/>
  <c r="X438" i="6"/>
  <c r="X440" i="6"/>
  <c r="X442" i="6"/>
  <c r="X444" i="6"/>
  <c r="X446" i="6"/>
  <c r="X448" i="6"/>
  <c r="X450" i="6"/>
  <c r="X452" i="6"/>
  <c r="X454" i="6"/>
  <c r="X456" i="6"/>
  <c r="X458" i="6"/>
  <c r="X460" i="6"/>
  <c r="X462" i="6"/>
  <c r="X464" i="6"/>
  <c r="X466" i="6"/>
  <c r="X468" i="6"/>
  <c r="X470" i="6"/>
  <c r="X472" i="6"/>
  <c r="X474" i="6"/>
  <c r="X476" i="6"/>
  <c r="X478" i="6"/>
  <c r="X480" i="6"/>
  <c r="X482" i="6"/>
  <c r="X484" i="6"/>
  <c r="X486" i="6"/>
  <c r="X488" i="6"/>
  <c r="X490" i="6"/>
  <c r="X492" i="6"/>
  <c r="X494" i="6"/>
  <c r="X496" i="6"/>
  <c r="X498" i="6"/>
  <c r="X500" i="6"/>
  <c r="X502" i="6"/>
  <c r="J17" i="7"/>
  <c r="X537" i="6"/>
  <c r="X535" i="6"/>
  <c r="X533" i="6"/>
  <c r="X531" i="6"/>
  <c r="X529" i="6"/>
  <c r="X527" i="6"/>
  <c r="X525" i="6"/>
  <c r="X523" i="6"/>
  <c r="X521" i="6"/>
  <c r="X519" i="6"/>
  <c r="X517" i="6"/>
  <c r="X515" i="6"/>
  <c r="X513" i="6"/>
  <c r="X511" i="6"/>
  <c r="X509" i="6"/>
  <c r="X507" i="6"/>
  <c r="X505" i="6"/>
  <c r="X503" i="6"/>
  <c r="F12" i="5"/>
  <c r="C18" i="10" s="1"/>
  <c r="D537" i="6"/>
  <c r="D535" i="6"/>
  <c r="D533" i="6"/>
  <c r="D531" i="6"/>
  <c r="D529" i="6"/>
  <c r="D527" i="6"/>
  <c r="D525" i="6"/>
  <c r="D523" i="6"/>
  <c r="D521" i="6"/>
  <c r="D519" i="6"/>
  <c r="D517" i="6"/>
  <c r="D515" i="6"/>
  <c r="D513" i="6"/>
  <c r="D511" i="6"/>
  <c r="D509" i="6"/>
  <c r="D507" i="6"/>
  <c r="D505" i="6"/>
  <c r="D503" i="6"/>
  <c r="H18" i="7" l="1"/>
  <c r="G19" i="7"/>
  <c r="F13" i="5"/>
  <c r="C19" i="10" s="1"/>
  <c r="M17" i="7"/>
  <c r="AP43" i="2" s="1"/>
  <c r="F11" i="5"/>
  <c r="AA38" i="6"/>
  <c r="W39" i="6" s="1"/>
  <c r="AA40" i="6"/>
  <c r="W41" i="6" s="1"/>
  <c r="AA51" i="6"/>
  <c r="W52" i="6" s="1"/>
  <c r="AA43" i="6"/>
  <c r="W44" i="6" s="1"/>
  <c r="AA35" i="6"/>
  <c r="W36" i="6" s="1"/>
  <c r="Y58" i="6"/>
  <c r="AA27" i="6"/>
  <c r="W28" i="6" s="1"/>
  <c r="AA19" i="6"/>
  <c r="W20" i="6" s="1"/>
  <c r="AA22" i="6"/>
  <c r="W23" i="6" s="1"/>
  <c r="G36" i="6"/>
  <c r="C37" i="6" s="1"/>
  <c r="G32" i="6"/>
  <c r="C33" i="6" s="1"/>
  <c r="G42" i="6"/>
  <c r="C43" i="6" s="1"/>
  <c r="G53" i="6"/>
  <c r="C54" i="6" s="1"/>
  <c r="G45" i="6"/>
  <c r="C46" i="6" s="1"/>
  <c r="G37" i="6"/>
  <c r="C38" i="6" s="1"/>
  <c r="G28" i="6"/>
  <c r="C29" i="6" s="1"/>
  <c r="G20" i="6"/>
  <c r="C21" i="6" s="1"/>
  <c r="C15" i="6"/>
  <c r="K6" i="6"/>
  <c r="K18" i="6"/>
  <c r="K4" i="6"/>
  <c r="G23" i="6"/>
  <c r="C24" i="6" s="1"/>
  <c r="G15" i="6"/>
  <c r="C16" i="6" s="1"/>
  <c r="G31" i="5"/>
  <c r="AA50" i="6"/>
  <c r="W51" i="6" s="1"/>
  <c r="AA30" i="6"/>
  <c r="W31" i="6" s="1"/>
  <c r="AA52" i="6"/>
  <c r="W53" i="6" s="1"/>
  <c r="AA36" i="6"/>
  <c r="W37" i="6" s="1"/>
  <c r="AA49" i="6"/>
  <c r="W50" i="6" s="1"/>
  <c r="AA41" i="6"/>
  <c r="W42" i="6" s="1"/>
  <c r="AA33" i="6"/>
  <c r="W34" i="6" s="1"/>
  <c r="AA25" i="6"/>
  <c r="W26" i="6" s="1"/>
  <c r="AA17" i="6"/>
  <c r="W18" i="6" s="1"/>
  <c r="AA28" i="6"/>
  <c r="W29" i="6" s="1"/>
  <c r="AA20" i="6"/>
  <c r="W21" i="6" s="1"/>
  <c r="F5" i="5"/>
  <c r="F4" i="5"/>
  <c r="G54" i="6"/>
  <c r="G38" i="6"/>
  <c r="C39" i="6" s="1"/>
  <c r="G51" i="6"/>
  <c r="C52" i="6" s="1"/>
  <c r="G43" i="6"/>
  <c r="C44" i="6" s="1"/>
  <c r="G35" i="6"/>
  <c r="C36" i="6" s="1"/>
  <c r="G26" i="6"/>
  <c r="C27" i="6" s="1"/>
  <c r="G17" i="6"/>
  <c r="C18" i="6" s="1"/>
  <c r="G29" i="6"/>
  <c r="C30" i="6" s="1"/>
  <c r="G21" i="6"/>
  <c r="C22" i="6" s="1"/>
  <c r="L5" i="6"/>
  <c r="M5" i="6"/>
  <c r="AA42" i="6"/>
  <c r="W43" i="6" s="1"/>
  <c r="Z43" i="6" s="1"/>
  <c r="Y43" i="6" s="1"/>
  <c r="AA54" i="6"/>
  <c r="AA48" i="6"/>
  <c r="W49" i="6" s="1"/>
  <c r="Z49" i="6" s="1"/>
  <c r="Y49" i="6" s="1"/>
  <c r="AA32" i="6"/>
  <c r="W33" i="6" s="1"/>
  <c r="AA47" i="6"/>
  <c r="W48" i="6" s="1"/>
  <c r="AA39" i="6"/>
  <c r="W40" i="6" s="1"/>
  <c r="Z40" i="6" s="1"/>
  <c r="Y40" i="6" s="1"/>
  <c r="AA31" i="6"/>
  <c r="W32" i="6" s="1"/>
  <c r="AA16" i="6"/>
  <c r="W17" i="6" s="1"/>
  <c r="AA23" i="6"/>
  <c r="W24" i="6" s="1"/>
  <c r="AA15" i="6"/>
  <c r="W16" i="6" s="1"/>
  <c r="AA26" i="6"/>
  <c r="W27" i="6" s="1"/>
  <c r="G52" i="6"/>
  <c r="C53" i="6" s="1"/>
  <c r="G48" i="6"/>
  <c r="C49" i="6" s="1"/>
  <c r="E58" i="6"/>
  <c r="F58" i="6" s="1"/>
  <c r="G50" i="6"/>
  <c r="C51" i="6" s="1"/>
  <c r="F51" i="6" s="1"/>
  <c r="E51" i="6" s="1"/>
  <c r="G34" i="6"/>
  <c r="C35" i="6" s="1"/>
  <c r="F35" i="6" s="1"/>
  <c r="E35" i="6" s="1"/>
  <c r="G49" i="6"/>
  <c r="C50" i="6" s="1"/>
  <c r="G41" i="6"/>
  <c r="C42" i="6" s="1"/>
  <c r="G33" i="6"/>
  <c r="C34" i="6" s="1"/>
  <c r="F34" i="6" s="1"/>
  <c r="E34" i="6" s="1"/>
  <c r="G24" i="6"/>
  <c r="C25" i="6" s="1"/>
  <c r="G27" i="6"/>
  <c r="C28" i="6" s="1"/>
  <c r="F28" i="6" s="1"/>
  <c r="E28" i="6" s="1"/>
  <c r="G19" i="6"/>
  <c r="C20" i="6" s="1"/>
  <c r="F20" i="6" s="1"/>
  <c r="E20" i="6" s="1"/>
  <c r="AA34" i="6"/>
  <c r="W35" i="6" s="1"/>
  <c r="Z35" i="6" s="1"/>
  <c r="Y35" i="6" s="1"/>
  <c r="AA46" i="6"/>
  <c r="W47" i="6" s="1"/>
  <c r="AA44" i="6"/>
  <c r="W45" i="6" s="1"/>
  <c r="AA53" i="6"/>
  <c r="W54" i="6" s="1"/>
  <c r="Z54" i="6" s="1"/>
  <c r="Y54" i="6" s="1"/>
  <c r="AA45" i="6"/>
  <c r="W46" i="6" s="1"/>
  <c r="AA37" i="6"/>
  <c r="W38" i="6" s="1"/>
  <c r="AA29" i="6"/>
  <c r="W30" i="6" s="1"/>
  <c r="AE4" i="6"/>
  <c r="AE6" i="6"/>
  <c r="W15" i="6"/>
  <c r="AE18" i="6"/>
  <c r="AA21" i="6"/>
  <c r="W22" i="6" s="1"/>
  <c r="AA18" i="6"/>
  <c r="W19" i="6" s="1"/>
  <c r="AA24" i="6"/>
  <c r="W25" i="6" s="1"/>
  <c r="I73" i="5"/>
  <c r="J73" i="5" s="1"/>
  <c r="K73" i="5" s="1"/>
  <c r="L73" i="5" s="1"/>
  <c r="M73" i="5" s="1"/>
  <c r="N73" i="5" s="1"/>
  <c r="O73" i="5" s="1"/>
  <c r="P73" i="5" s="1"/>
  <c r="G44" i="6"/>
  <c r="C45" i="6" s="1"/>
  <c r="G40" i="6"/>
  <c r="C41" i="6" s="1"/>
  <c r="G46" i="6"/>
  <c r="C47" i="6" s="1"/>
  <c r="G30" i="6"/>
  <c r="C31" i="6" s="1"/>
  <c r="G47" i="6"/>
  <c r="C48" i="6" s="1"/>
  <c r="F48" i="6" s="1"/>
  <c r="E48" i="6" s="1"/>
  <c r="G39" i="6"/>
  <c r="C40" i="6" s="1"/>
  <c r="F40" i="6" s="1"/>
  <c r="E40" i="6" s="1"/>
  <c r="G31" i="6"/>
  <c r="C32" i="6" s="1"/>
  <c r="F32" i="6" s="1"/>
  <c r="E32" i="6" s="1"/>
  <c r="G22" i="6"/>
  <c r="C23" i="6" s="1"/>
  <c r="F23" i="6" s="1"/>
  <c r="E23" i="6" s="1"/>
  <c r="G16" i="6"/>
  <c r="C17" i="6" s="1"/>
  <c r="F17" i="6" s="1"/>
  <c r="E17" i="6" s="1"/>
  <c r="G25" i="6"/>
  <c r="C26" i="6" s="1"/>
  <c r="G18" i="6"/>
  <c r="C19" i="6" s="1"/>
  <c r="L6" i="6" l="1"/>
  <c r="M6" i="6" s="1"/>
  <c r="K12" i="6"/>
  <c r="F41" i="6"/>
  <c r="E41" i="6" s="1"/>
  <c r="Z32" i="6"/>
  <c r="Y32" i="6" s="1"/>
  <c r="Z50" i="6"/>
  <c r="Y50" i="6" s="1"/>
  <c r="Z47" i="6"/>
  <c r="Y47" i="6" s="1"/>
  <c r="Z38" i="6"/>
  <c r="Y38" i="6" s="1"/>
  <c r="F50" i="6"/>
  <c r="E50" i="6" s="1"/>
  <c r="Z22" i="6"/>
  <c r="Y22" i="6" s="1"/>
  <c r="F45" i="6"/>
  <c r="E45" i="6" s="1"/>
  <c r="F47" i="6"/>
  <c r="E47" i="6" s="1"/>
  <c r="F42" i="6"/>
  <c r="E42" i="6" s="1"/>
  <c r="F53" i="6"/>
  <c r="E53" i="6" s="1"/>
  <c r="Z27" i="6"/>
  <c r="Y27" i="6" s="1"/>
  <c r="Z30" i="6"/>
  <c r="Y30" i="6" s="1"/>
  <c r="Z25" i="6"/>
  <c r="Y25" i="6" s="1"/>
  <c r="Z19" i="6"/>
  <c r="Y19" i="6" s="1"/>
  <c r="F36" i="6"/>
  <c r="E36" i="6" s="1"/>
  <c r="F19" i="6"/>
  <c r="E19" i="6" s="1"/>
  <c r="F26" i="6"/>
  <c r="E26" i="6" s="1"/>
  <c r="Z46" i="6"/>
  <c r="Y46" i="6" s="1"/>
  <c r="Z17" i="6"/>
  <c r="Y17" i="6" s="1"/>
  <c r="Z15" i="6"/>
  <c r="Y15" i="6" s="1"/>
  <c r="Z51" i="6"/>
  <c r="Y51" i="6" s="1"/>
  <c r="Z33" i="6"/>
  <c r="Y33" i="6" s="1"/>
  <c r="Z16" i="6"/>
  <c r="Y16" i="6" s="1"/>
  <c r="Z48" i="6"/>
  <c r="Y48" i="6" s="1"/>
  <c r="AD43" i="2"/>
  <c r="H19" i="7"/>
  <c r="G20" i="7"/>
  <c r="J19" i="7"/>
  <c r="M19" i="7" s="1"/>
  <c r="AR43" i="2" s="1"/>
  <c r="G58" i="6"/>
  <c r="C59" i="6" s="1"/>
  <c r="F49" i="6"/>
  <c r="E49" i="6" s="1"/>
  <c r="F22" i="6"/>
  <c r="E22" i="6" s="1"/>
  <c r="Z21" i="6"/>
  <c r="Y21" i="6" s="1"/>
  <c r="Z31" i="6"/>
  <c r="Y31" i="6" s="1"/>
  <c r="F29" i="6"/>
  <c r="E29" i="6" s="1"/>
  <c r="F46" i="6"/>
  <c r="E46" i="6" s="1"/>
  <c r="F37" i="6"/>
  <c r="E37" i="6" s="1"/>
  <c r="Z28" i="6"/>
  <c r="Y28" i="6" s="1"/>
  <c r="Z36" i="6"/>
  <c r="Y36" i="6" s="1"/>
  <c r="Z52" i="6"/>
  <c r="Y52" i="6" s="1"/>
  <c r="Z41" i="6"/>
  <c r="Y41" i="6" s="1"/>
  <c r="F31" i="6"/>
  <c r="E31" i="6" s="1"/>
  <c r="Z45" i="6"/>
  <c r="Y45" i="6" s="1"/>
  <c r="F30" i="6"/>
  <c r="E30" i="6" s="1"/>
  <c r="F27" i="6"/>
  <c r="E27" i="6" s="1"/>
  <c r="F44" i="6"/>
  <c r="E44" i="6" s="1"/>
  <c r="Z18" i="6"/>
  <c r="Y18" i="6" s="1"/>
  <c r="Z34" i="6"/>
  <c r="Y34" i="6" s="1"/>
  <c r="Z37" i="6"/>
  <c r="Y37" i="6" s="1"/>
  <c r="F24" i="6"/>
  <c r="E24" i="6" s="1"/>
  <c r="F15" i="6"/>
  <c r="E15" i="6" s="1"/>
  <c r="F25" i="6"/>
  <c r="E25" i="6" s="1"/>
  <c r="Z29" i="6"/>
  <c r="Y29" i="6" s="1"/>
  <c r="F21" i="6"/>
  <c r="E21" i="6" s="1"/>
  <c r="F38" i="6"/>
  <c r="E38" i="6" s="1"/>
  <c r="F54" i="6"/>
  <c r="E54" i="6" s="1"/>
  <c r="F43" i="6"/>
  <c r="E43" i="6" s="1"/>
  <c r="Z20" i="6"/>
  <c r="Y20" i="6" s="1"/>
  <c r="Z44" i="6"/>
  <c r="Y44" i="6" s="1"/>
  <c r="Z58" i="6"/>
  <c r="Z39" i="6"/>
  <c r="Y39" i="6" s="1"/>
  <c r="AC43" i="2"/>
  <c r="Z24" i="6"/>
  <c r="Y24" i="6" s="1"/>
  <c r="F18" i="6"/>
  <c r="E18" i="6" s="1"/>
  <c r="F52" i="6"/>
  <c r="E52" i="6" s="1"/>
  <c r="F39" i="6"/>
  <c r="E39" i="6" s="1"/>
  <c r="Z26" i="6"/>
  <c r="Y26" i="6" s="1"/>
  <c r="Z42" i="6"/>
  <c r="Y42" i="6" s="1"/>
  <c r="Z53" i="6"/>
  <c r="Y53" i="6" s="1"/>
  <c r="F16" i="6"/>
  <c r="E16" i="6" s="1"/>
  <c r="F33" i="6"/>
  <c r="E33" i="6" s="1"/>
  <c r="Z23" i="6"/>
  <c r="Y23" i="6" s="1"/>
  <c r="AE43" i="2" l="1"/>
  <c r="H20" i="7"/>
  <c r="G21" i="7"/>
  <c r="J20" i="7"/>
  <c r="M20" i="7" s="1"/>
  <c r="AS43" i="2" s="1"/>
  <c r="AA58" i="6"/>
  <c r="W59" i="6" s="1"/>
  <c r="E59" i="6"/>
  <c r="H21" i="7" l="1"/>
  <c r="G22" i="7"/>
  <c r="J21" i="7"/>
  <c r="M21" i="7" s="1"/>
  <c r="AT43" i="2" s="1"/>
  <c r="AF43" i="2"/>
  <c r="F59" i="6"/>
  <c r="Y59" i="6"/>
  <c r="AG43" i="2" l="1"/>
  <c r="H22" i="7"/>
  <c r="G23" i="7"/>
  <c r="J22" i="7"/>
  <c r="M22" i="7" s="1"/>
  <c r="AU43" i="2" s="1"/>
  <c r="Z59" i="6"/>
  <c r="G59" i="6"/>
  <c r="C60" i="6" s="1"/>
  <c r="H23" i="7" l="1"/>
  <c r="G24" i="7"/>
  <c r="J23" i="7"/>
  <c r="M23" i="7" s="1"/>
  <c r="AV43" i="2" s="1"/>
  <c r="AH43" i="2"/>
  <c r="E60" i="6"/>
  <c r="AA59" i="6"/>
  <c r="W60" i="6" s="1"/>
  <c r="AI43" i="2" l="1"/>
  <c r="H24" i="7"/>
  <c r="G25" i="7"/>
  <c r="J24" i="7"/>
  <c r="M24" i="7" s="1"/>
  <c r="AW43" i="2" s="1"/>
  <c r="F60" i="6"/>
  <c r="Y60" i="6"/>
  <c r="H25" i="7" l="1"/>
  <c r="J25" i="7"/>
  <c r="M25" i="7" s="1"/>
  <c r="AX43" i="2" s="1"/>
  <c r="AJ43" i="2"/>
  <c r="Z60" i="6"/>
  <c r="G60" i="6"/>
  <c r="C61" i="6" s="1"/>
  <c r="AK43" i="2" l="1"/>
  <c r="E61" i="6"/>
  <c r="AA60" i="6"/>
  <c r="W61" i="6" s="1"/>
  <c r="Y61" i="6" l="1"/>
  <c r="F61" i="6"/>
  <c r="G61" i="6" l="1"/>
  <c r="C62" i="6" s="1"/>
  <c r="Z61" i="6"/>
  <c r="AA61" i="6" l="1"/>
  <c r="W62" i="6" s="1"/>
  <c r="E62" i="6"/>
  <c r="Y62" i="6" l="1"/>
  <c r="F62" i="6"/>
  <c r="G62" i="6" l="1"/>
  <c r="C63" i="6" s="1"/>
  <c r="Z62" i="6"/>
  <c r="AA62" i="6" l="1"/>
  <c r="W63" i="6" s="1"/>
  <c r="E63" i="6"/>
  <c r="F63" i="6" s="1"/>
  <c r="G63" i="6" s="1"/>
  <c r="C64" i="6" s="1"/>
  <c r="E64" i="6" l="1"/>
  <c r="F64" i="6" s="1"/>
  <c r="G64" i="6" s="1"/>
  <c r="C65" i="6" s="1"/>
  <c r="Y63" i="6"/>
  <c r="Z63" i="6" s="1"/>
  <c r="AA63" i="6" s="1"/>
  <c r="W64" i="6" s="1"/>
  <c r="Y64" i="6" l="1"/>
  <c r="Z64" i="6" s="1"/>
  <c r="AA64" i="6" s="1"/>
  <c r="W65" i="6" s="1"/>
  <c r="E65" i="6"/>
  <c r="F65" i="6" s="1"/>
  <c r="G65" i="6" s="1"/>
  <c r="C66" i="6" s="1"/>
  <c r="E66" i="6" l="1"/>
  <c r="F66" i="6" s="1"/>
  <c r="G66" i="6" s="1"/>
  <c r="C67" i="6" s="1"/>
  <c r="Y65" i="6"/>
  <c r="Z65" i="6" s="1"/>
  <c r="AA65" i="6" s="1"/>
  <c r="W66" i="6" s="1"/>
  <c r="E67" i="6" l="1"/>
  <c r="F67" i="6" s="1"/>
  <c r="G67" i="6" s="1"/>
  <c r="C68" i="6" s="1"/>
  <c r="Y66" i="6"/>
  <c r="Z66" i="6" s="1"/>
  <c r="AA66" i="6" s="1"/>
  <c r="W67" i="6" s="1"/>
  <c r="Y67" i="6" l="1"/>
  <c r="Z67" i="6" s="1"/>
  <c r="AA67" i="6" s="1"/>
  <c r="W68" i="6" s="1"/>
  <c r="E68" i="6"/>
  <c r="F68" i="6" s="1"/>
  <c r="G68" i="6" l="1"/>
  <c r="L10" i="6"/>
  <c r="Y68" i="6"/>
  <c r="Z68" i="6" s="1"/>
  <c r="AA68" i="6" s="1"/>
  <c r="W69" i="6" s="1"/>
  <c r="K10" i="6"/>
  <c r="F40" i="5" s="1"/>
  <c r="C69" i="6"/>
  <c r="Y69" i="6" l="1"/>
  <c r="C7" i="5"/>
  <c r="F39" i="5"/>
  <c r="F43" i="5" s="1"/>
  <c r="E69" i="6"/>
  <c r="J58" i="5" l="1"/>
  <c r="N58" i="5"/>
  <c r="G58" i="5"/>
  <c r="K58" i="5"/>
  <c r="O58" i="5"/>
  <c r="F74" i="5"/>
  <c r="G74" i="5" s="1"/>
  <c r="H74" i="5" s="1"/>
  <c r="I74" i="5" s="1"/>
  <c r="J74" i="5" s="1"/>
  <c r="K74" i="5" s="1"/>
  <c r="L74" i="5" s="1"/>
  <c r="M74" i="5" s="1"/>
  <c r="N74" i="5" s="1"/>
  <c r="O74" i="5" s="1"/>
  <c r="P74" i="5" s="1"/>
  <c r="H58" i="5"/>
  <c r="L58" i="5"/>
  <c r="P58" i="5"/>
  <c r="I58" i="5"/>
  <c r="M58" i="5"/>
  <c r="F69" i="6"/>
  <c r="N5" i="6"/>
  <c r="L17" i="6"/>
  <c r="Z69" i="6"/>
  <c r="AF5" i="6"/>
  <c r="AF17" i="6"/>
  <c r="AF4" i="6" l="1"/>
  <c r="AF6" i="6" s="1"/>
  <c r="AF16" i="6"/>
  <c r="AF18" i="6" s="1"/>
  <c r="AA69" i="6"/>
  <c r="W70" i="6" s="1"/>
  <c r="L16" i="6"/>
  <c r="L18" i="6" s="1"/>
  <c r="N4" i="6"/>
  <c r="N6" i="6" s="1"/>
  <c r="G69" i="6"/>
  <c r="C70" i="6" s="1"/>
  <c r="E70" i="6" l="1"/>
  <c r="Y70" i="6"/>
  <c r="Z70" i="6" l="1"/>
  <c r="F70" i="6"/>
  <c r="AA70" i="6" l="1"/>
  <c r="W71" i="6" s="1"/>
  <c r="G70" i="6"/>
  <c r="C71" i="6" s="1"/>
  <c r="E71" i="6" l="1"/>
  <c r="Y71" i="6"/>
  <c r="Z71" i="6" l="1"/>
  <c r="F71" i="6"/>
  <c r="G71" i="6" l="1"/>
  <c r="C72" i="6" s="1"/>
  <c r="AA71" i="6"/>
  <c r="E72" i="6" l="1"/>
  <c r="AE10" i="6"/>
  <c r="AE12" i="6"/>
  <c r="W72" i="6"/>
  <c r="F72" i="6" l="1"/>
  <c r="Y72" i="6"/>
  <c r="Z72" i="6" l="1"/>
  <c r="G72" i="6"/>
  <c r="C73" i="6" s="1"/>
  <c r="E73" i="6" l="1"/>
  <c r="AA72" i="6"/>
  <c r="W73" i="6" s="1"/>
  <c r="Y73" i="6" l="1"/>
  <c r="F73" i="6"/>
  <c r="G73" i="6" l="1"/>
  <c r="C74" i="6" s="1"/>
  <c r="Z73" i="6"/>
  <c r="E74" i="6" l="1"/>
  <c r="AA73" i="6"/>
  <c r="W74" i="6" s="1"/>
  <c r="Y74" i="6" l="1"/>
  <c r="F74" i="6"/>
  <c r="G74" i="6" l="1"/>
  <c r="C75" i="6" s="1"/>
  <c r="Z74" i="6"/>
  <c r="AA74" i="6" l="1"/>
  <c r="W75" i="6" s="1"/>
  <c r="E75" i="6"/>
  <c r="F75" i="6" s="1"/>
  <c r="G75" i="6"/>
  <c r="C76" i="6" s="1"/>
  <c r="E76" i="6" l="1"/>
  <c r="F76" i="6" s="1"/>
  <c r="G76" i="6" s="1"/>
  <c r="C77" i="6" s="1"/>
  <c r="Y75" i="6"/>
  <c r="E77" i="6" l="1"/>
  <c r="F77" i="6" s="1"/>
  <c r="G77" i="6"/>
  <c r="C78" i="6" s="1"/>
  <c r="Z75" i="6"/>
  <c r="AA75" i="6" l="1"/>
  <c r="W76" i="6" s="1"/>
  <c r="E78" i="6"/>
  <c r="F78" i="6" s="1"/>
  <c r="G78" i="6" s="1"/>
  <c r="C79" i="6" s="1"/>
  <c r="E79" i="6" l="1"/>
  <c r="F79" i="6" s="1"/>
  <c r="G79" i="6"/>
  <c r="C80" i="6" s="1"/>
  <c r="Y76" i="6"/>
  <c r="Z76" i="6" l="1"/>
  <c r="E80" i="6"/>
  <c r="F80" i="6" l="1"/>
  <c r="L11" i="6"/>
  <c r="G27" i="5" s="1"/>
  <c r="AA76" i="6"/>
  <c r="W77" i="6" s="1"/>
  <c r="Y77" i="6" l="1"/>
  <c r="G80" i="6"/>
  <c r="C81" i="6" s="1"/>
  <c r="L12" i="6" l="1"/>
  <c r="G40" i="5" s="1"/>
  <c r="G26" i="5"/>
  <c r="G30" i="5" s="1"/>
  <c r="E81" i="6"/>
  <c r="Z77" i="6"/>
  <c r="AA77" i="6" s="1"/>
  <c r="W78" i="6" s="1"/>
  <c r="F81" i="6" l="1"/>
  <c r="O5" i="6"/>
  <c r="M17" i="6"/>
  <c r="H59" i="5"/>
  <c r="L59" i="5"/>
  <c r="P59" i="5"/>
  <c r="I59" i="5"/>
  <c r="M59" i="5"/>
  <c r="J59" i="5"/>
  <c r="N59" i="5"/>
  <c r="G72" i="5"/>
  <c r="K59" i="5"/>
  <c r="O59" i="5"/>
  <c r="Y78" i="6"/>
  <c r="Z78" i="6" s="1"/>
  <c r="AA78" i="6" s="1"/>
  <c r="W79" i="6" s="1"/>
  <c r="Y79" i="6" l="1"/>
  <c r="Z79" i="6" s="1"/>
  <c r="AA79" i="6" s="1"/>
  <c r="W80" i="6" s="1"/>
  <c r="O4" i="6"/>
  <c r="O6" i="6" s="1"/>
  <c r="M16" i="6"/>
  <c r="M18" i="6" s="1"/>
  <c r="G81" i="6"/>
  <c r="C82" i="6" s="1"/>
  <c r="E82" i="6" l="1"/>
  <c r="Y80" i="6"/>
  <c r="Z80" i="6" s="1"/>
  <c r="AA80" i="6" s="1"/>
  <c r="W81" i="6" s="1"/>
  <c r="Y81" i="6" l="1"/>
  <c r="F82" i="6"/>
  <c r="G82" i="6" l="1"/>
  <c r="C83" i="6" s="1"/>
  <c r="Z81" i="6"/>
  <c r="AG17" i="6"/>
  <c r="AG5" i="6"/>
  <c r="E83" i="6" l="1"/>
  <c r="AG4" i="6"/>
  <c r="AG6" i="6" s="1"/>
  <c r="AG16" i="6"/>
  <c r="AG18" i="6" s="1"/>
  <c r="AA81" i="6"/>
  <c r="W82" i="6" s="1"/>
  <c r="Y82" i="6" l="1"/>
  <c r="F83" i="6"/>
  <c r="G83" i="6" l="1"/>
  <c r="C84" i="6" s="1"/>
  <c r="Z82" i="6"/>
  <c r="E84" i="6" l="1"/>
  <c r="AA82" i="6"/>
  <c r="W83" i="6" s="1"/>
  <c r="F84" i="6" l="1"/>
  <c r="Y83" i="6"/>
  <c r="Z83" i="6" l="1"/>
  <c r="G84" i="6"/>
  <c r="C85" i="6" s="1"/>
  <c r="E85" i="6" l="1"/>
  <c r="AF10" i="6"/>
  <c r="AF12" i="6" s="1"/>
  <c r="AA83" i="6"/>
  <c r="W84" i="6" s="1"/>
  <c r="Y84" i="6" l="1"/>
  <c r="F85" i="6"/>
  <c r="G85" i="6" l="1"/>
  <c r="C86" i="6" s="1"/>
  <c r="Z84" i="6"/>
  <c r="AF11" i="6"/>
  <c r="E86" i="6" l="1"/>
  <c r="AA84" i="6"/>
  <c r="W85" i="6" s="1"/>
  <c r="Y85" i="6" l="1"/>
  <c r="F86" i="6"/>
  <c r="G86" i="6" l="1"/>
  <c r="C87" i="6" s="1"/>
  <c r="Z85" i="6"/>
  <c r="E87" i="6" l="1"/>
  <c r="F87" i="6" s="1"/>
  <c r="G87" i="6"/>
  <c r="C88" i="6" s="1"/>
  <c r="AA85" i="6"/>
  <c r="W86" i="6" s="1"/>
  <c r="Y86" i="6" l="1"/>
  <c r="E88" i="6"/>
  <c r="F88" i="6" s="1"/>
  <c r="G88" i="6" s="1"/>
  <c r="C89" i="6" s="1"/>
  <c r="E89" i="6" l="1"/>
  <c r="F89" i="6" s="1"/>
  <c r="G89" i="6" s="1"/>
  <c r="C90" i="6" s="1"/>
  <c r="Z86" i="6"/>
  <c r="AA86" i="6" l="1"/>
  <c r="W87" i="6" s="1"/>
  <c r="E90" i="6"/>
  <c r="F90" i="6" s="1"/>
  <c r="G90" i="6" s="1"/>
  <c r="C91" i="6" s="1"/>
  <c r="E91" i="6" l="1"/>
  <c r="F91" i="6" s="1"/>
  <c r="G91" i="6"/>
  <c r="C92" i="6" s="1"/>
  <c r="Y87" i="6"/>
  <c r="Z87" i="6" l="1"/>
  <c r="E92" i="6"/>
  <c r="F92" i="6" l="1"/>
  <c r="M11" i="6"/>
  <c r="H27" i="5" s="1"/>
  <c r="AA87" i="6"/>
  <c r="W88" i="6" s="1"/>
  <c r="Y88" i="6" l="1"/>
  <c r="M10" i="6"/>
  <c r="G92" i="6"/>
  <c r="C93" i="6" s="1"/>
  <c r="E93" i="6" l="1"/>
  <c r="M12" i="6"/>
  <c r="H40" i="5" s="1"/>
  <c r="H26" i="5"/>
  <c r="Z88" i="6"/>
  <c r="AA88" i="6" l="1"/>
  <c r="W89" i="6" s="1"/>
  <c r="F93" i="6"/>
  <c r="P5" i="6"/>
  <c r="N17" i="6"/>
  <c r="N16" i="6" l="1"/>
  <c r="N18" i="6" s="1"/>
  <c r="P4" i="6"/>
  <c r="P6" i="6" s="1"/>
  <c r="G93" i="6"/>
  <c r="C94" i="6" s="1"/>
  <c r="Y89" i="6"/>
  <c r="E94" i="6" l="1"/>
  <c r="Z89" i="6"/>
  <c r="AA89" i="6" s="1"/>
  <c r="W90" i="6" s="1"/>
  <c r="Y90" i="6" l="1"/>
  <c r="Z90" i="6" s="1"/>
  <c r="AA90" i="6" s="1"/>
  <c r="W91" i="6" s="1"/>
  <c r="F94" i="6"/>
  <c r="Y91" i="6" l="1"/>
  <c r="Z91" i="6" s="1"/>
  <c r="AA91" i="6" s="1"/>
  <c r="W92" i="6" s="1"/>
  <c r="G94" i="6"/>
  <c r="C95" i="6" s="1"/>
  <c r="E95" i="6" l="1"/>
  <c r="Y92" i="6"/>
  <c r="Z92" i="6" s="1"/>
  <c r="AA92" i="6" s="1"/>
  <c r="W93" i="6" s="1"/>
  <c r="Y93" i="6" l="1"/>
  <c r="F95" i="6"/>
  <c r="Z93" i="6" l="1"/>
  <c r="AH17" i="6"/>
  <c r="AH5" i="6"/>
  <c r="G95" i="6"/>
  <c r="C96" i="6" s="1"/>
  <c r="E96" i="6" l="1"/>
  <c r="AH4" i="6"/>
  <c r="AH6" i="6" s="1"/>
  <c r="AH16" i="6"/>
  <c r="AH18" i="6" s="1"/>
  <c r="AA93" i="6"/>
  <c r="W94" i="6" s="1"/>
  <c r="F96" i="6" l="1"/>
  <c r="Y94" i="6"/>
  <c r="Z94" i="6" l="1"/>
  <c r="G96" i="6"/>
  <c r="C97" i="6" s="1"/>
  <c r="E97" i="6" l="1"/>
  <c r="AA94" i="6"/>
  <c r="W95" i="6" s="1"/>
  <c r="Y95" i="6" l="1"/>
  <c r="F97" i="6"/>
  <c r="G97" i="6" l="1"/>
  <c r="C98" i="6" s="1"/>
  <c r="Z95" i="6"/>
  <c r="AG10" i="6" l="1"/>
  <c r="AG12" i="6" s="1"/>
  <c r="AA95" i="6"/>
  <c r="W96" i="6" s="1"/>
  <c r="E98" i="6"/>
  <c r="Y96" i="6" l="1"/>
  <c r="F98" i="6"/>
  <c r="G98" i="6" l="1"/>
  <c r="C99" i="6" s="1"/>
  <c r="Z96" i="6"/>
  <c r="AG11" i="6"/>
  <c r="AA96" i="6" l="1"/>
  <c r="W97" i="6" s="1"/>
  <c r="E99" i="6"/>
  <c r="F99" i="6" s="1"/>
  <c r="G99" i="6" s="1"/>
  <c r="C100" i="6" s="1"/>
  <c r="Y97" i="6" l="1"/>
  <c r="E100" i="6"/>
  <c r="F100" i="6" s="1"/>
  <c r="G100" i="6" s="1"/>
  <c r="C101" i="6" s="1"/>
  <c r="E101" i="6" l="1"/>
  <c r="F101" i="6" s="1"/>
  <c r="G101" i="6" s="1"/>
  <c r="C102" i="6" s="1"/>
  <c r="Z97" i="6"/>
  <c r="E102" i="6" l="1"/>
  <c r="F102" i="6" s="1"/>
  <c r="G102" i="6"/>
  <c r="C103" i="6" s="1"/>
  <c r="AA97" i="6"/>
  <c r="W98" i="6" s="1"/>
  <c r="Y98" i="6" l="1"/>
  <c r="E103" i="6"/>
  <c r="F103" i="6" s="1"/>
  <c r="G103" i="6" s="1"/>
  <c r="C104" i="6" s="1"/>
  <c r="E104" i="6" l="1"/>
  <c r="Z98" i="6"/>
  <c r="AA98" i="6" l="1"/>
  <c r="W99" i="6" s="1"/>
  <c r="F104" i="6"/>
  <c r="N11" i="6"/>
  <c r="I27" i="5" s="1"/>
  <c r="Y99" i="6" l="1"/>
  <c r="N10" i="6"/>
  <c r="G104" i="6"/>
  <c r="C105" i="6" s="1"/>
  <c r="N12" i="6" l="1"/>
  <c r="I40" i="5" s="1"/>
  <c r="I26" i="5"/>
  <c r="E105" i="6"/>
  <c r="Z99" i="6"/>
  <c r="F105" i="6" l="1"/>
  <c r="O17" i="6"/>
  <c r="Q5" i="6"/>
  <c r="AA99" i="6"/>
  <c r="W100" i="6" s="1"/>
  <c r="Y100" i="6" l="1"/>
  <c r="Q4" i="6"/>
  <c r="Q6" i="6" s="1"/>
  <c r="O16" i="6"/>
  <c r="O18" i="6" s="1"/>
  <c r="G105" i="6"/>
  <c r="C106" i="6" s="1"/>
  <c r="E106" i="6" l="1"/>
  <c r="Z100" i="6"/>
  <c r="AA100" i="6" l="1"/>
  <c r="W101" i="6" s="1"/>
  <c r="F106" i="6"/>
  <c r="Y101" i="6" l="1"/>
  <c r="G106" i="6"/>
  <c r="C107" i="6" s="1"/>
  <c r="E107" i="6" l="1"/>
  <c r="Z101" i="6"/>
  <c r="AA101" i="6" s="1"/>
  <c r="W102" i="6" s="1"/>
  <c r="Y102" i="6" l="1"/>
  <c r="Z102" i="6" s="1"/>
  <c r="AA102" i="6"/>
  <c r="W103" i="6" s="1"/>
  <c r="F107" i="6"/>
  <c r="G107" i="6" l="1"/>
  <c r="C108" i="6" s="1"/>
  <c r="Y103" i="6"/>
  <c r="Z103" i="6" s="1"/>
  <c r="AA103" i="6" s="1"/>
  <c r="W104" i="6" s="1"/>
  <c r="Y104" i="6" l="1"/>
  <c r="Z104" i="6" s="1"/>
  <c r="AA104" i="6" s="1"/>
  <c r="W105" i="6" s="1"/>
  <c r="E108" i="6"/>
  <c r="F108" i="6" l="1"/>
  <c r="Y105" i="6"/>
  <c r="Z105" i="6" l="1"/>
  <c r="AI5" i="6"/>
  <c r="AI17" i="6"/>
  <c r="G108" i="6"/>
  <c r="C109" i="6" s="1"/>
  <c r="E109" i="6" l="1"/>
  <c r="AI4" i="6"/>
  <c r="AI6" i="6" s="1"/>
  <c r="AI16" i="6"/>
  <c r="AI18" i="6" s="1"/>
  <c r="AA105" i="6"/>
  <c r="W106" i="6" s="1"/>
  <c r="Y106" i="6" l="1"/>
  <c r="F109" i="6"/>
  <c r="G109" i="6" l="1"/>
  <c r="C110" i="6" s="1"/>
  <c r="Z106" i="6"/>
  <c r="AA106" i="6" l="1"/>
  <c r="W107" i="6" s="1"/>
  <c r="E110" i="6"/>
  <c r="Y107" i="6" l="1"/>
  <c r="F110" i="6"/>
  <c r="G110" i="6" l="1"/>
  <c r="C111" i="6" s="1"/>
  <c r="Z107" i="6"/>
  <c r="AH10" i="6" l="1"/>
  <c r="AH12" i="6" s="1"/>
  <c r="AA107" i="6"/>
  <c r="W108" i="6" s="1"/>
  <c r="E111" i="6"/>
  <c r="F111" i="6" s="1"/>
  <c r="G111" i="6" s="1"/>
  <c r="C112" i="6" s="1"/>
  <c r="Y108" i="6" l="1"/>
  <c r="E112" i="6"/>
  <c r="F112" i="6" s="1"/>
  <c r="G112" i="6" s="1"/>
  <c r="C113" i="6" s="1"/>
  <c r="E113" i="6" l="1"/>
  <c r="F113" i="6" s="1"/>
  <c r="G113" i="6" s="1"/>
  <c r="C114" i="6" s="1"/>
  <c r="Z108" i="6"/>
  <c r="AH11" i="6"/>
  <c r="AA108" i="6" l="1"/>
  <c r="W109" i="6" s="1"/>
  <c r="E114" i="6"/>
  <c r="F114" i="6" s="1"/>
  <c r="G114" i="6" s="1"/>
  <c r="C115" i="6" s="1"/>
  <c r="E115" i="6" l="1"/>
  <c r="F115" i="6" s="1"/>
  <c r="G115" i="6" s="1"/>
  <c r="C116" i="6" s="1"/>
  <c r="Y109" i="6"/>
  <c r="Z109" i="6" l="1"/>
  <c r="E116" i="6"/>
  <c r="F116" i="6" l="1"/>
  <c r="O11" i="6"/>
  <c r="J27" i="5" s="1"/>
  <c r="AA109" i="6"/>
  <c r="W110" i="6" s="1"/>
  <c r="Y110" i="6" l="1"/>
  <c r="O10" i="6"/>
  <c r="G116" i="6"/>
  <c r="C117" i="6" s="1"/>
  <c r="E117" i="6" l="1"/>
  <c r="O12" i="6"/>
  <c r="J40" i="5" s="1"/>
  <c r="J26" i="5"/>
  <c r="Z110" i="6"/>
  <c r="AA110" i="6" l="1"/>
  <c r="W111" i="6" s="1"/>
  <c r="F117" i="6"/>
  <c r="R5" i="6"/>
  <c r="P17" i="6"/>
  <c r="P16" i="6" l="1"/>
  <c r="P18" i="6" s="1"/>
  <c r="R4" i="6"/>
  <c r="R6" i="6" s="1"/>
  <c r="G117" i="6"/>
  <c r="C118" i="6" s="1"/>
  <c r="Y111" i="6"/>
  <c r="E118" i="6" l="1"/>
  <c r="Z111" i="6"/>
  <c r="AA111" i="6" l="1"/>
  <c r="W112" i="6" s="1"/>
  <c r="F118" i="6"/>
  <c r="Y112" i="6" l="1"/>
  <c r="G118" i="6"/>
  <c r="C119" i="6" s="1"/>
  <c r="E119" i="6" l="1"/>
  <c r="Z112" i="6"/>
  <c r="AA112" i="6" l="1"/>
  <c r="W113" i="6" s="1"/>
  <c r="F119" i="6"/>
  <c r="G119" i="6" l="1"/>
  <c r="C120" i="6" s="1"/>
  <c r="Y113" i="6"/>
  <c r="E120" i="6" l="1"/>
  <c r="Z113" i="6"/>
  <c r="AA113" i="6" s="1"/>
  <c r="W114" i="6" s="1"/>
  <c r="Y114" i="6" l="1"/>
  <c r="Z114" i="6" s="1"/>
  <c r="AA114" i="6" s="1"/>
  <c r="W115" i="6" s="1"/>
  <c r="F120" i="6"/>
  <c r="Y115" i="6" l="1"/>
  <c r="Z115" i="6" s="1"/>
  <c r="AA115" i="6" s="1"/>
  <c r="W116" i="6" s="1"/>
  <c r="G120" i="6"/>
  <c r="C121" i="6" s="1"/>
  <c r="Y116" i="6" l="1"/>
  <c r="Z116" i="6" s="1"/>
  <c r="AA116" i="6" s="1"/>
  <c r="W117" i="6" s="1"/>
  <c r="E121" i="6"/>
  <c r="Y117" i="6" l="1"/>
  <c r="F121" i="6"/>
  <c r="G121" i="6" l="1"/>
  <c r="C122" i="6" s="1"/>
  <c r="Z117" i="6"/>
  <c r="AJ5" i="6"/>
  <c r="AJ17" i="6"/>
  <c r="E122" i="6" l="1"/>
  <c r="AJ16" i="6"/>
  <c r="AJ18" i="6" s="1"/>
  <c r="AJ4" i="6"/>
  <c r="AJ6" i="6" s="1"/>
  <c r="AA117" i="6"/>
  <c r="W118" i="6" s="1"/>
  <c r="F122" i="6" l="1"/>
  <c r="Y118" i="6"/>
  <c r="Z118" i="6" l="1"/>
  <c r="G122" i="6"/>
  <c r="C123" i="6" s="1"/>
  <c r="AA118" i="6" l="1"/>
  <c r="W119" i="6" s="1"/>
  <c r="E123" i="6"/>
  <c r="F123" i="6" s="1"/>
  <c r="G123" i="6" s="1"/>
  <c r="C124" i="6" s="1"/>
  <c r="E124" i="6" l="1"/>
  <c r="F124" i="6" s="1"/>
  <c r="G124" i="6" s="1"/>
  <c r="C125" i="6" s="1"/>
  <c r="Y119" i="6"/>
  <c r="E125" i="6" l="1"/>
  <c r="F125" i="6" s="1"/>
  <c r="G125" i="6" s="1"/>
  <c r="C126" i="6" s="1"/>
  <c r="Z119" i="6"/>
  <c r="AI10" i="6" l="1"/>
  <c r="AI12" i="6" s="1"/>
  <c r="AA119" i="6"/>
  <c r="W120" i="6" s="1"/>
  <c r="E126" i="6"/>
  <c r="F126" i="6" s="1"/>
  <c r="G126" i="6" s="1"/>
  <c r="C127" i="6" s="1"/>
  <c r="E127" i="6" l="1"/>
  <c r="F127" i="6" s="1"/>
  <c r="G127" i="6" s="1"/>
  <c r="C128" i="6" s="1"/>
  <c r="Y120" i="6"/>
  <c r="E128" i="6" l="1"/>
  <c r="Z120" i="6"/>
  <c r="AI11" i="6"/>
  <c r="AA120" i="6" l="1"/>
  <c r="W121" i="6" s="1"/>
  <c r="F128" i="6"/>
  <c r="P11" i="6"/>
  <c r="K27" i="5" s="1"/>
  <c r="Y121" i="6" l="1"/>
  <c r="P10" i="6"/>
  <c r="G128" i="6"/>
  <c r="C129" i="6" s="1"/>
  <c r="E129" i="6" l="1"/>
  <c r="P12" i="6"/>
  <c r="K40" i="5" s="1"/>
  <c r="K26" i="5"/>
  <c r="Z121" i="6"/>
  <c r="F30" i="10" l="1"/>
  <c r="AA121" i="6"/>
  <c r="W122" i="6" s="1"/>
  <c r="F129" i="6"/>
  <c r="Q17" i="6"/>
  <c r="S5" i="6"/>
  <c r="Y122" i="6" l="1"/>
  <c r="S4" i="6"/>
  <c r="S6" i="6" s="1"/>
  <c r="Q16" i="6"/>
  <c r="Q18" i="6" s="1"/>
  <c r="G129" i="6"/>
  <c r="C130" i="6" s="1"/>
  <c r="E130" i="6" l="1"/>
  <c r="Z122" i="6"/>
  <c r="AA122" i="6" l="1"/>
  <c r="W123" i="6" s="1"/>
  <c r="F130" i="6"/>
  <c r="Y123" i="6" l="1"/>
  <c r="G130" i="6"/>
  <c r="C131" i="6" s="1"/>
  <c r="E131" i="6" l="1"/>
  <c r="Z123" i="6"/>
  <c r="AA123" i="6" l="1"/>
  <c r="W124" i="6" s="1"/>
  <c r="F131" i="6"/>
  <c r="G131" i="6" l="1"/>
  <c r="C132" i="6" s="1"/>
  <c r="Y124" i="6"/>
  <c r="E132" i="6" l="1"/>
  <c r="Z124" i="6"/>
  <c r="F132" i="6" l="1"/>
  <c r="AA124" i="6"/>
  <c r="W125" i="6" s="1"/>
  <c r="Y125" i="6" l="1"/>
  <c r="G132" i="6"/>
  <c r="C133" i="6" s="1"/>
  <c r="E133" i="6" l="1"/>
  <c r="Z125" i="6"/>
  <c r="AA125" i="6" s="1"/>
  <c r="W126" i="6" s="1"/>
  <c r="Y126" i="6" l="1"/>
  <c r="Z126" i="6" s="1"/>
  <c r="AA126" i="6" s="1"/>
  <c r="W127" i="6" s="1"/>
  <c r="F133" i="6"/>
  <c r="Y127" i="6" l="1"/>
  <c r="Z127" i="6" s="1"/>
  <c r="AA127" i="6" s="1"/>
  <c r="W128" i="6" s="1"/>
  <c r="G133" i="6"/>
  <c r="C134" i="6" s="1"/>
  <c r="Y128" i="6" l="1"/>
  <c r="Z128" i="6" s="1"/>
  <c r="AA128" i="6" s="1"/>
  <c r="W129" i="6" s="1"/>
  <c r="E134" i="6"/>
  <c r="Y129" i="6" l="1"/>
  <c r="F134" i="6"/>
  <c r="G134" i="6" l="1"/>
  <c r="C135" i="6" s="1"/>
  <c r="Z129" i="6"/>
  <c r="AK17" i="6"/>
  <c r="AK5" i="6"/>
  <c r="AK16" i="6" l="1"/>
  <c r="AK18" i="6" s="1"/>
  <c r="AK4" i="6"/>
  <c r="AK6" i="6" s="1"/>
  <c r="AA129" i="6"/>
  <c r="W130" i="6" s="1"/>
  <c r="E135" i="6"/>
  <c r="F135" i="6" s="1"/>
  <c r="G135" i="6" s="1"/>
  <c r="C136" i="6" s="1"/>
  <c r="E136" i="6" l="1"/>
  <c r="F136" i="6" s="1"/>
  <c r="G136" i="6" s="1"/>
  <c r="C137" i="6" s="1"/>
  <c r="Y130" i="6"/>
  <c r="E137" i="6" l="1"/>
  <c r="F137" i="6" s="1"/>
  <c r="G137" i="6" s="1"/>
  <c r="C138" i="6" s="1"/>
  <c r="Z130" i="6"/>
  <c r="E138" i="6" l="1"/>
  <c r="F138" i="6" s="1"/>
  <c r="G138" i="6" s="1"/>
  <c r="C139" i="6" s="1"/>
  <c r="AA130" i="6"/>
  <c r="W131" i="6" s="1"/>
  <c r="E139" i="6" l="1"/>
  <c r="F139" i="6" s="1"/>
  <c r="G139" i="6"/>
  <c r="C140" i="6" s="1"/>
  <c r="Y131" i="6"/>
  <c r="E140" i="6" l="1"/>
  <c r="Z131" i="6"/>
  <c r="AJ10" i="6" l="1"/>
  <c r="AJ12" i="6" s="1"/>
  <c r="AA131" i="6"/>
  <c r="W132" i="6" s="1"/>
  <c r="F140" i="6"/>
  <c r="Q11" i="6"/>
  <c r="L27" i="5" s="1"/>
  <c r="Y132" i="6" l="1"/>
  <c r="Q10" i="6"/>
  <c r="G140" i="6"/>
  <c r="C141" i="6" s="1"/>
  <c r="E141" i="6" l="1"/>
  <c r="Q12" i="6"/>
  <c r="L40" i="5" s="1"/>
  <c r="L26" i="5"/>
  <c r="Z132" i="6"/>
  <c r="AJ11" i="6"/>
  <c r="AA132" i="6" l="1"/>
  <c r="W133" i="6" s="1"/>
  <c r="F141" i="6"/>
  <c r="T5" i="6"/>
  <c r="R17" i="6"/>
  <c r="Y133" i="6" l="1"/>
  <c r="R16" i="6"/>
  <c r="R18" i="6" s="1"/>
  <c r="T4" i="6"/>
  <c r="T6" i="6" s="1"/>
  <c r="G141" i="6"/>
  <c r="C142" i="6" s="1"/>
  <c r="E142" i="6" l="1"/>
  <c r="Z133" i="6"/>
  <c r="F142" i="6" l="1"/>
  <c r="AA133" i="6"/>
  <c r="W134" i="6" s="1"/>
  <c r="Y134" i="6" l="1"/>
  <c r="G142" i="6"/>
  <c r="C143" i="6" s="1"/>
  <c r="E143" i="6" l="1"/>
  <c r="Z134" i="6"/>
  <c r="AA134" i="6" l="1"/>
  <c r="W135" i="6" s="1"/>
  <c r="F143" i="6"/>
  <c r="G143" i="6" l="1"/>
  <c r="C144" i="6" s="1"/>
  <c r="Y135" i="6"/>
  <c r="E144" i="6" l="1"/>
  <c r="Z135" i="6"/>
  <c r="AA135" i="6" l="1"/>
  <c r="W136" i="6" s="1"/>
  <c r="F144" i="6"/>
  <c r="G144" i="6" l="1"/>
  <c r="C145" i="6" s="1"/>
  <c r="Y136" i="6"/>
  <c r="Z136" i="6" l="1"/>
  <c r="E145" i="6"/>
  <c r="F145" i="6" l="1"/>
  <c r="AA136" i="6"/>
  <c r="W137" i="6" s="1"/>
  <c r="Y137" i="6" l="1"/>
  <c r="G145" i="6"/>
  <c r="C146" i="6" s="1"/>
  <c r="E146" i="6" l="1"/>
  <c r="Z137" i="6"/>
  <c r="AA137" i="6" s="1"/>
  <c r="W138" i="6" s="1"/>
  <c r="Y138" i="6" l="1"/>
  <c r="Z138" i="6" s="1"/>
  <c r="AA138" i="6" s="1"/>
  <c r="W139" i="6" s="1"/>
  <c r="F146" i="6"/>
  <c r="Y139" i="6" l="1"/>
  <c r="Z139" i="6" s="1"/>
  <c r="AA139" i="6" s="1"/>
  <c r="W140" i="6" s="1"/>
  <c r="G146" i="6"/>
  <c r="C147" i="6" s="1"/>
  <c r="Y140" i="6" l="1"/>
  <c r="Z140" i="6" s="1"/>
  <c r="AA140" i="6" s="1"/>
  <c r="W141" i="6" s="1"/>
  <c r="E147" i="6"/>
  <c r="F147" i="6" s="1"/>
  <c r="G147" i="6" s="1"/>
  <c r="C148" i="6" s="1"/>
  <c r="Y141" i="6" l="1"/>
  <c r="E148" i="6"/>
  <c r="F148" i="6" s="1"/>
  <c r="G148" i="6" s="1"/>
  <c r="C149" i="6" s="1"/>
  <c r="E149" i="6" l="1"/>
  <c r="F149" i="6" s="1"/>
  <c r="G149" i="6"/>
  <c r="C150" i="6" s="1"/>
  <c r="Z141" i="6"/>
  <c r="AL5" i="6"/>
  <c r="AL17" i="6"/>
  <c r="AL4" i="6" l="1"/>
  <c r="AL6" i="6" s="1"/>
  <c r="AL16" i="6"/>
  <c r="AL18" i="6" s="1"/>
  <c r="AA141" i="6"/>
  <c r="W142" i="6" s="1"/>
  <c r="E150" i="6"/>
  <c r="F150" i="6" s="1"/>
  <c r="G150" i="6" s="1"/>
  <c r="C151" i="6" s="1"/>
  <c r="E151" i="6" l="1"/>
  <c r="F151" i="6" s="1"/>
  <c r="G151" i="6"/>
  <c r="C152" i="6" s="1"/>
  <c r="Y142" i="6"/>
  <c r="Z142" i="6" l="1"/>
  <c r="E152" i="6"/>
  <c r="AA142" i="6" l="1"/>
  <c r="W143" i="6" s="1"/>
  <c r="F152" i="6"/>
  <c r="R11" i="6"/>
  <c r="M27" i="5" s="1"/>
  <c r="R10" i="6" l="1"/>
  <c r="G152" i="6"/>
  <c r="C153" i="6" s="1"/>
  <c r="Y143" i="6"/>
  <c r="Z143" i="6" l="1"/>
  <c r="E153" i="6"/>
  <c r="R12" i="6"/>
  <c r="M40" i="5" s="1"/>
  <c r="M26" i="5"/>
  <c r="F153" i="6" l="1"/>
  <c r="U5" i="6"/>
  <c r="S17" i="6"/>
  <c r="AK10" i="6"/>
  <c r="AK12" i="6" s="1"/>
  <c r="AA143" i="6"/>
  <c r="W144" i="6" s="1"/>
  <c r="Y144" i="6" l="1"/>
  <c r="U4" i="6"/>
  <c r="U6" i="6" s="1"/>
  <c r="S16" i="6"/>
  <c r="S18" i="6" s="1"/>
  <c r="G153" i="6"/>
  <c r="C154" i="6" s="1"/>
  <c r="E154" i="6" l="1"/>
  <c r="Z144" i="6"/>
  <c r="AK11" i="6"/>
  <c r="AA144" i="6" l="1"/>
  <c r="W145" i="6" s="1"/>
  <c r="F154" i="6"/>
  <c r="Y145" i="6" l="1"/>
  <c r="G154" i="6"/>
  <c r="C155" i="6" s="1"/>
  <c r="E155" i="6" l="1"/>
  <c r="Z145" i="6"/>
  <c r="AA145" i="6" l="1"/>
  <c r="W146" i="6" s="1"/>
  <c r="F155" i="6"/>
  <c r="Y146" i="6" l="1"/>
  <c r="G155" i="6"/>
  <c r="C156" i="6" s="1"/>
  <c r="Z146" i="6" l="1"/>
  <c r="E156" i="6"/>
  <c r="F156" i="6" l="1"/>
  <c r="AA146" i="6"/>
  <c r="W147" i="6" s="1"/>
  <c r="Y147" i="6" l="1"/>
  <c r="G156" i="6"/>
  <c r="C157" i="6" s="1"/>
  <c r="E157" i="6" l="1"/>
  <c r="Z147" i="6"/>
  <c r="AA147" i="6" l="1"/>
  <c r="W148" i="6" s="1"/>
  <c r="F157" i="6"/>
  <c r="G157" i="6" l="1"/>
  <c r="C158" i="6" s="1"/>
  <c r="Y148" i="6"/>
  <c r="Z148" i="6" l="1"/>
  <c r="E158" i="6"/>
  <c r="F158" i="6" l="1"/>
  <c r="AA148" i="6"/>
  <c r="W149" i="6" s="1"/>
  <c r="Y149" i="6" l="1"/>
  <c r="G158" i="6"/>
  <c r="C159" i="6" s="1"/>
  <c r="E159" i="6" l="1"/>
  <c r="F159" i="6" s="1"/>
  <c r="G159" i="6" s="1"/>
  <c r="C160" i="6" s="1"/>
  <c r="Z149" i="6"/>
  <c r="AA149" i="6" s="1"/>
  <c r="W150" i="6" s="1"/>
  <c r="E160" i="6" l="1"/>
  <c r="F160" i="6" s="1"/>
  <c r="G160" i="6"/>
  <c r="C161" i="6" s="1"/>
  <c r="Y150" i="6"/>
  <c r="Z150" i="6" s="1"/>
  <c r="AA150" i="6" s="1"/>
  <c r="W151" i="6" s="1"/>
  <c r="Y151" i="6" l="1"/>
  <c r="Z151" i="6" s="1"/>
  <c r="AA151" i="6" s="1"/>
  <c r="W152" i="6" s="1"/>
  <c r="E161" i="6"/>
  <c r="F161" i="6" s="1"/>
  <c r="G161" i="6" s="1"/>
  <c r="C162" i="6" s="1"/>
  <c r="E162" i="6" l="1"/>
  <c r="F162" i="6" s="1"/>
  <c r="G162" i="6" s="1"/>
  <c r="C163" i="6" s="1"/>
  <c r="Y152" i="6"/>
  <c r="Z152" i="6" s="1"/>
  <c r="AA152" i="6" s="1"/>
  <c r="W153" i="6" s="1"/>
  <c r="Y153" i="6" l="1"/>
  <c r="E163" i="6"/>
  <c r="F163" i="6" s="1"/>
  <c r="G163" i="6" s="1"/>
  <c r="C164" i="6" s="1"/>
  <c r="E164" i="6" l="1"/>
  <c r="Z153" i="6"/>
  <c r="AM5" i="6"/>
  <c r="AM17" i="6"/>
  <c r="AM4" i="6" l="1"/>
  <c r="AM6" i="6" s="1"/>
  <c r="AM16" i="6"/>
  <c r="AM18" i="6" s="1"/>
  <c r="AA153" i="6"/>
  <c r="W154" i="6" s="1"/>
  <c r="F164" i="6"/>
  <c r="S11" i="6"/>
  <c r="N27" i="5" s="1"/>
  <c r="S10" i="6" l="1"/>
  <c r="G164" i="6"/>
  <c r="C165" i="6" s="1"/>
  <c r="Y154" i="6"/>
  <c r="Z154" i="6" l="1"/>
  <c r="E165" i="6"/>
  <c r="S12" i="6"/>
  <c r="N40" i="5" s="1"/>
  <c r="N26" i="5"/>
  <c r="AA154" i="6" l="1"/>
  <c r="W155" i="6" s="1"/>
  <c r="F165" i="6"/>
  <c r="T17" i="6"/>
  <c r="Y155" i="6" l="1"/>
  <c r="T16" i="6"/>
  <c r="T18" i="6" s="1"/>
  <c r="G165" i="6"/>
  <c r="C166" i="6" s="1"/>
  <c r="Z155" i="6" l="1"/>
  <c r="E166" i="6"/>
  <c r="F166" i="6" l="1"/>
  <c r="AL10" i="6"/>
  <c r="AL12" i="6" s="1"/>
  <c r="AA155" i="6"/>
  <c r="W156" i="6" s="1"/>
  <c r="Y156" i="6" l="1"/>
  <c r="G166" i="6"/>
  <c r="C167" i="6" s="1"/>
  <c r="E167" i="6" l="1"/>
  <c r="Z156" i="6"/>
  <c r="AL11" i="6"/>
  <c r="AA156" i="6" l="1"/>
  <c r="W157" i="6" s="1"/>
  <c r="F167" i="6"/>
  <c r="Y157" i="6" l="1"/>
  <c r="G167" i="6"/>
  <c r="C168" i="6" s="1"/>
  <c r="Z157" i="6" l="1"/>
  <c r="E168" i="6"/>
  <c r="AA157" i="6" l="1"/>
  <c r="W158" i="6" s="1"/>
  <c r="F168" i="6"/>
  <c r="Y158" i="6" l="1"/>
  <c r="G168" i="6"/>
  <c r="C169" i="6" s="1"/>
  <c r="E169" i="6" l="1"/>
  <c r="Z158" i="6"/>
  <c r="AA158" i="6" l="1"/>
  <c r="W159" i="6" s="1"/>
  <c r="F169" i="6"/>
  <c r="Y159" i="6" l="1"/>
  <c r="G169" i="6"/>
  <c r="C170" i="6" s="1"/>
  <c r="Z159" i="6" l="1"/>
  <c r="E170" i="6"/>
  <c r="F170" i="6" l="1"/>
  <c r="AA159" i="6"/>
  <c r="W160" i="6" s="1"/>
  <c r="Y160" i="6" l="1"/>
  <c r="G170" i="6"/>
  <c r="C171" i="6" s="1"/>
  <c r="E171" i="6" l="1"/>
  <c r="F171" i="6" s="1"/>
  <c r="G171" i="6" s="1"/>
  <c r="C172" i="6" s="1"/>
  <c r="Z160" i="6"/>
  <c r="AA160" i="6" l="1"/>
  <c r="W161" i="6" s="1"/>
  <c r="E172" i="6"/>
  <c r="F172" i="6" s="1"/>
  <c r="G172" i="6" s="1"/>
  <c r="C173" i="6" s="1"/>
  <c r="E173" i="6" l="1"/>
  <c r="F173" i="6" s="1"/>
  <c r="G173" i="6" s="1"/>
  <c r="C174" i="6" s="1"/>
  <c r="Y161" i="6"/>
  <c r="E174" i="6" l="1"/>
  <c r="F174" i="6" s="1"/>
  <c r="G174" i="6" s="1"/>
  <c r="C175" i="6" s="1"/>
  <c r="Z161" i="6"/>
  <c r="AA161" i="6" s="1"/>
  <c r="W162" i="6" s="1"/>
  <c r="E175" i="6" l="1"/>
  <c r="F175" i="6" s="1"/>
  <c r="G175" i="6" s="1"/>
  <c r="C176" i="6" s="1"/>
  <c r="Y162" i="6"/>
  <c r="Z162" i="6" s="1"/>
  <c r="AA162" i="6" s="1"/>
  <c r="W163" i="6" s="1"/>
  <c r="E176" i="6" l="1"/>
  <c r="Y163" i="6"/>
  <c r="Z163" i="6" s="1"/>
  <c r="AA163" i="6" s="1"/>
  <c r="W164" i="6" s="1"/>
  <c r="Y164" i="6" l="1"/>
  <c r="Z164" i="6" s="1"/>
  <c r="AA164" i="6" s="1"/>
  <c r="W165" i="6" s="1"/>
  <c r="F176" i="6"/>
  <c r="T11" i="6"/>
  <c r="O27" i="5" s="1"/>
  <c r="Y165" i="6" l="1"/>
  <c r="T10" i="6"/>
  <c r="G176" i="6"/>
  <c r="C177" i="6" s="1"/>
  <c r="E177" i="6" l="1"/>
  <c r="Z165" i="6"/>
  <c r="AN5" i="6"/>
  <c r="AN17" i="6"/>
  <c r="T12" i="6"/>
  <c r="O40" i="5" s="1"/>
  <c r="O26" i="5"/>
  <c r="AN16" i="6" l="1"/>
  <c r="AN18" i="6" s="1"/>
  <c r="AN4" i="6"/>
  <c r="AN6" i="6" s="1"/>
  <c r="AA165" i="6"/>
  <c r="W166" i="6" s="1"/>
  <c r="F177" i="6"/>
  <c r="U17" i="6"/>
  <c r="U16" i="6" l="1"/>
  <c r="U18" i="6" s="1"/>
  <c r="G177" i="6"/>
  <c r="C178" i="6" s="1"/>
  <c r="Y166" i="6"/>
  <c r="Z166" i="6" l="1"/>
  <c r="E178" i="6"/>
  <c r="F178" i="6" l="1"/>
  <c r="AA166" i="6"/>
  <c r="W167" i="6" s="1"/>
  <c r="Y167" i="6" l="1"/>
  <c r="G178" i="6"/>
  <c r="C179" i="6" s="1"/>
  <c r="E179" i="6" l="1"/>
  <c r="Z167" i="6"/>
  <c r="AM10" i="6" l="1"/>
  <c r="AM12" i="6" s="1"/>
  <c r="AA167" i="6"/>
  <c r="W168" i="6" s="1"/>
  <c r="F179" i="6"/>
  <c r="Y168" i="6" l="1"/>
  <c r="G179" i="6"/>
  <c r="C180" i="6" s="1"/>
  <c r="E180" i="6" l="1"/>
  <c r="Z168" i="6"/>
  <c r="AM11" i="6"/>
  <c r="AA168" i="6" l="1"/>
  <c r="W169" i="6" s="1"/>
  <c r="F180" i="6"/>
  <c r="Y169" i="6" l="1"/>
  <c r="G180" i="6"/>
  <c r="C181" i="6" s="1"/>
  <c r="E181" i="6" l="1"/>
  <c r="Z169" i="6"/>
  <c r="AA169" i="6" l="1"/>
  <c r="W170" i="6" s="1"/>
  <c r="F181" i="6"/>
  <c r="Y170" i="6" l="1"/>
  <c r="G181" i="6"/>
  <c r="C182" i="6" s="1"/>
  <c r="E182" i="6" l="1"/>
  <c r="F182" i="6" s="1"/>
  <c r="G182" i="6" s="1"/>
  <c r="C183" i="6" s="1"/>
  <c r="Z170" i="6"/>
  <c r="E183" i="6" l="1"/>
  <c r="F183" i="6" s="1"/>
  <c r="G183" i="6" s="1"/>
  <c r="C184" i="6" s="1"/>
  <c r="AA170" i="6"/>
  <c r="W171" i="6" s="1"/>
  <c r="E184" i="6" l="1"/>
  <c r="F184" i="6" s="1"/>
  <c r="G184" i="6" s="1"/>
  <c r="C185" i="6" s="1"/>
  <c r="Y171" i="6"/>
  <c r="Z171" i="6" l="1"/>
  <c r="E185" i="6"/>
  <c r="F185" i="6" s="1"/>
  <c r="G185" i="6" s="1"/>
  <c r="C186" i="6" s="1"/>
  <c r="E186" i="6" l="1"/>
  <c r="F186" i="6" s="1"/>
  <c r="G186" i="6" s="1"/>
  <c r="C187" i="6" s="1"/>
  <c r="AA171" i="6"/>
  <c r="W172" i="6" s="1"/>
  <c r="E187" i="6" l="1"/>
  <c r="F187" i="6" s="1"/>
  <c r="G187" i="6" s="1"/>
  <c r="C188" i="6" s="1"/>
  <c r="Y172" i="6"/>
  <c r="E188" i="6" l="1"/>
  <c r="Z172" i="6"/>
  <c r="AA172" i="6" l="1"/>
  <c r="W173" i="6" s="1"/>
  <c r="F188" i="6"/>
  <c r="U11" i="6"/>
  <c r="P27" i="5" s="1"/>
  <c r="U10" i="6" l="1"/>
  <c r="G188" i="6"/>
  <c r="C189" i="6" s="1"/>
  <c r="Y173" i="6"/>
  <c r="Z173" i="6" l="1"/>
  <c r="AA173" i="6" s="1"/>
  <c r="W174" i="6" s="1"/>
  <c r="E189" i="6"/>
  <c r="F189" i="6" s="1"/>
  <c r="G189" i="6" s="1"/>
  <c r="C190" i="6" s="1"/>
  <c r="U12" i="6"/>
  <c r="P40" i="5" s="1"/>
  <c r="P26" i="5"/>
  <c r="E190" i="6" l="1"/>
  <c r="F190" i="6" s="1"/>
  <c r="G190" i="6" s="1"/>
  <c r="C191" i="6" s="1"/>
  <c r="Y174" i="6"/>
  <c r="Z174" i="6" s="1"/>
  <c r="AA174" i="6" s="1"/>
  <c r="W175" i="6" s="1"/>
  <c r="E191" i="6" l="1"/>
  <c r="F191" i="6" s="1"/>
  <c r="G191" i="6" s="1"/>
  <c r="C192" i="6" s="1"/>
  <c r="Y175" i="6"/>
  <c r="Z175" i="6" s="1"/>
  <c r="AA175" i="6" s="1"/>
  <c r="W176" i="6" s="1"/>
  <c r="Y176" i="6" l="1"/>
  <c r="Z176" i="6" s="1"/>
  <c r="AA176" i="6" s="1"/>
  <c r="W177" i="6" s="1"/>
  <c r="E192" i="6"/>
  <c r="F192" i="6" s="1"/>
  <c r="G192" i="6" s="1"/>
  <c r="C193" i="6" s="1"/>
  <c r="E193" i="6" l="1"/>
  <c r="F193" i="6" s="1"/>
  <c r="G193" i="6" s="1"/>
  <c r="C194" i="6" s="1"/>
  <c r="Y177" i="6"/>
  <c r="E194" i="6" l="1"/>
  <c r="F194" i="6" s="1"/>
  <c r="G194" i="6" s="1"/>
  <c r="C195" i="6" s="1"/>
  <c r="Z177" i="6"/>
  <c r="AO5" i="6"/>
  <c r="AO17" i="6"/>
  <c r="E195" i="6" l="1"/>
  <c r="F195" i="6" s="1"/>
  <c r="G195" i="6"/>
  <c r="C196" i="6" s="1"/>
  <c r="AO16" i="6"/>
  <c r="AO18" i="6" s="1"/>
  <c r="AO4" i="6"/>
  <c r="AO6" i="6" s="1"/>
  <c r="AA177" i="6"/>
  <c r="W178" i="6" s="1"/>
  <c r="E196" i="6" l="1"/>
  <c r="F196" i="6" s="1"/>
  <c r="G196" i="6" s="1"/>
  <c r="C197" i="6" s="1"/>
  <c r="Y178" i="6"/>
  <c r="Z178" i="6" s="1"/>
  <c r="AA178" i="6" s="1"/>
  <c r="W179" i="6" s="1"/>
  <c r="E197" i="6" l="1"/>
  <c r="F197" i="6" s="1"/>
  <c r="G197" i="6" s="1"/>
  <c r="C198" i="6" s="1"/>
  <c r="Y179" i="6"/>
  <c r="Z179" i="6" s="1"/>
  <c r="AN10" i="6" s="1"/>
  <c r="AN12" i="6" s="1"/>
  <c r="AA179" i="6" l="1"/>
  <c r="W180" i="6" s="1"/>
  <c r="E198" i="6"/>
  <c r="F198" i="6" s="1"/>
  <c r="G198" i="6" s="1"/>
  <c r="C199" i="6" s="1"/>
  <c r="E199" i="6" l="1"/>
  <c r="F199" i="6" s="1"/>
  <c r="G199" i="6"/>
  <c r="C200" i="6" s="1"/>
  <c r="Y180" i="6"/>
  <c r="Z180" i="6" l="1"/>
  <c r="AN11" i="6"/>
  <c r="E200" i="6"/>
  <c r="F200" i="6" s="1"/>
  <c r="G200" i="6" s="1"/>
  <c r="C201" i="6" s="1"/>
  <c r="E201" i="6" l="1"/>
  <c r="F201" i="6" s="1"/>
  <c r="G201" i="6"/>
  <c r="C202" i="6" s="1"/>
  <c r="AA180" i="6"/>
  <c r="W181" i="6" s="1"/>
  <c r="Y181" i="6" l="1"/>
  <c r="E202" i="6"/>
  <c r="F202" i="6" s="1"/>
  <c r="G202" i="6" s="1"/>
  <c r="C203" i="6" s="1"/>
  <c r="E203" i="6" l="1"/>
  <c r="F203" i="6" s="1"/>
  <c r="G203" i="6"/>
  <c r="C204" i="6" s="1"/>
  <c r="Z181" i="6"/>
  <c r="AA181" i="6" l="1"/>
  <c r="W182" i="6" s="1"/>
  <c r="E204" i="6"/>
  <c r="F204" i="6" s="1"/>
  <c r="G204" i="6" s="1"/>
  <c r="C205" i="6" s="1"/>
  <c r="E205" i="6" l="1"/>
  <c r="F205" i="6" s="1"/>
  <c r="G205" i="6"/>
  <c r="C206" i="6" s="1"/>
  <c r="Y182" i="6"/>
  <c r="Z182" i="6" l="1"/>
  <c r="E206" i="6"/>
  <c r="F206" i="6" s="1"/>
  <c r="G206" i="6" s="1"/>
  <c r="C207" i="6" s="1"/>
  <c r="E207" i="6" l="1"/>
  <c r="F207" i="6" s="1"/>
  <c r="G207" i="6"/>
  <c r="C208" i="6" s="1"/>
  <c r="AA182" i="6"/>
  <c r="W183" i="6" s="1"/>
  <c r="Y183" i="6" l="1"/>
  <c r="E208" i="6"/>
  <c r="F208" i="6" s="1"/>
  <c r="G208" i="6" s="1"/>
  <c r="C209" i="6" s="1"/>
  <c r="E209" i="6" l="1"/>
  <c r="F209" i="6" s="1"/>
  <c r="G209" i="6" s="1"/>
  <c r="C210" i="6" s="1"/>
  <c r="Z183" i="6"/>
  <c r="AA183" i="6" l="1"/>
  <c r="W184" i="6" s="1"/>
  <c r="E210" i="6"/>
  <c r="F210" i="6" s="1"/>
  <c r="G210" i="6" s="1"/>
  <c r="C211" i="6" s="1"/>
  <c r="E211" i="6" l="1"/>
  <c r="F211" i="6" s="1"/>
  <c r="G211" i="6" s="1"/>
  <c r="C212" i="6" s="1"/>
  <c r="Y184" i="6"/>
  <c r="Z184" i="6" l="1"/>
  <c r="E212" i="6"/>
  <c r="F212" i="6" s="1"/>
  <c r="G212" i="6" s="1"/>
  <c r="C213" i="6" s="1"/>
  <c r="E213" i="6" l="1"/>
  <c r="F213" i="6" s="1"/>
  <c r="G213" i="6"/>
  <c r="C214" i="6" s="1"/>
  <c r="AA184" i="6"/>
  <c r="W185" i="6" s="1"/>
  <c r="Y185" i="6" l="1"/>
  <c r="E214" i="6"/>
  <c r="F214" i="6" s="1"/>
  <c r="G214" i="6" s="1"/>
  <c r="C215" i="6" s="1"/>
  <c r="E215" i="6" l="1"/>
  <c r="F215" i="6" s="1"/>
  <c r="G215" i="6" s="1"/>
  <c r="C216" i="6" s="1"/>
  <c r="Z185" i="6"/>
  <c r="AA185" i="6" s="1"/>
  <c r="W186" i="6" s="1"/>
  <c r="Y186" i="6" l="1"/>
  <c r="Z186" i="6" s="1"/>
  <c r="AA186" i="6" s="1"/>
  <c r="W187" i="6" s="1"/>
  <c r="E216" i="6"/>
  <c r="F216" i="6" s="1"/>
  <c r="G216" i="6" s="1"/>
  <c r="C217" i="6" s="1"/>
  <c r="Y187" i="6" l="1"/>
  <c r="Z187" i="6" s="1"/>
  <c r="AA187" i="6" s="1"/>
  <c r="W188" i="6" s="1"/>
  <c r="E217" i="6"/>
  <c r="F217" i="6" s="1"/>
  <c r="G217" i="6" s="1"/>
  <c r="C218" i="6" s="1"/>
  <c r="E218" i="6" l="1"/>
  <c r="F218" i="6" s="1"/>
  <c r="G218" i="6" s="1"/>
  <c r="C219" i="6" s="1"/>
  <c r="Y188" i="6"/>
  <c r="Z188" i="6" s="1"/>
  <c r="AA188" i="6" s="1"/>
  <c r="W189" i="6" s="1"/>
  <c r="Y189" i="6" l="1"/>
  <c r="Z189" i="6" s="1"/>
  <c r="AA189" i="6" s="1"/>
  <c r="W190" i="6" s="1"/>
  <c r="E219" i="6"/>
  <c r="F219" i="6" s="1"/>
  <c r="G219" i="6" s="1"/>
  <c r="C220" i="6" s="1"/>
  <c r="E220" i="6" l="1"/>
  <c r="F220" i="6" s="1"/>
  <c r="G220" i="6" s="1"/>
  <c r="C221" i="6" s="1"/>
  <c r="Y190" i="6"/>
  <c r="Z190" i="6" s="1"/>
  <c r="AA190" i="6" s="1"/>
  <c r="W191" i="6" s="1"/>
  <c r="Y191" i="6" l="1"/>
  <c r="Z191" i="6" s="1"/>
  <c r="AO10" i="6" s="1"/>
  <c r="AO12" i="6" s="1"/>
  <c r="E221" i="6"/>
  <c r="F221" i="6" s="1"/>
  <c r="G221" i="6" s="1"/>
  <c r="C222" i="6" s="1"/>
  <c r="AA191" i="6" l="1"/>
  <c r="W192" i="6" s="1"/>
  <c r="E222" i="6"/>
  <c r="F222" i="6" s="1"/>
  <c r="G222" i="6" s="1"/>
  <c r="C223" i="6" s="1"/>
  <c r="Y192" i="6"/>
  <c r="E223" i="6" l="1"/>
  <c r="F223" i="6" s="1"/>
  <c r="G223" i="6"/>
  <c r="C224" i="6" s="1"/>
  <c r="Z192" i="6"/>
  <c r="AA192" i="6" s="1"/>
  <c r="W193" i="6" s="1"/>
  <c r="AO11" i="6"/>
  <c r="Y193" i="6" l="1"/>
  <c r="Z193" i="6" s="1"/>
  <c r="AA193" i="6" s="1"/>
  <c r="W194" i="6" s="1"/>
  <c r="E224" i="6"/>
  <c r="F224" i="6" s="1"/>
  <c r="G224" i="6" s="1"/>
  <c r="C225" i="6" s="1"/>
  <c r="E225" i="6" l="1"/>
  <c r="F225" i="6" s="1"/>
  <c r="G225" i="6"/>
  <c r="C226" i="6" s="1"/>
  <c r="Y194" i="6"/>
  <c r="Z194" i="6" s="1"/>
  <c r="AA194" i="6" s="1"/>
  <c r="W195" i="6" s="1"/>
  <c r="Y195" i="6" l="1"/>
  <c r="Z195" i="6" s="1"/>
  <c r="AA195" i="6" s="1"/>
  <c r="W196" i="6" s="1"/>
  <c r="E226" i="6"/>
  <c r="F226" i="6" s="1"/>
  <c r="G226" i="6" s="1"/>
  <c r="C227" i="6" s="1"/>
  <c r="E227" i="6" l="1"/>
  <c r="F227" i="6" s="1"/>
  <c r="G227" i="6"/>
  <c r="C228" i="6" s="1"/>
  <c r="Y196" i="6"/>
  <c r="Z196" i="6" s="1"/>
  <c r="AA196" i="6" s="1"/>
  <c r="W197" i="6" s="1"/>
  <c r="Y197" i="6" l="1"/>
  <c r="Z197" i="6" s="1"/>
  <c r="AA197" i="6" s="1"/>
  <c r="W198" i="6" s="1"/>
  <c r="E228" i="6"/>
  <c r="F228" i="6" s="1"/>
  <c r="G228" i="6" s="1"/>
  <c r="C229" i="6" s="1"/>
  <c r="E229" i="6" l="1"/>
  <c r="F229" i="6" s="1"/>
  <c r="G229" i="6" s="1"/>
  <c r="C230" i="6" s="1"/>
  <c r="Y198" i="6"/>
  <c r="Z198" i="6" s="1"/>
  <c r="AA198" i="6" s="1"/>
  <c r="W199" i="6" s="1"/>
  <c r="Y199" i="6" l="1"/>
  <c r="Z199" i="6" s="1"/>
  <c r="AA199" i="6" s="1"/>
  <c r="W200" i="6" s="1"/>
  <c r="E230" i="6"/>
  <c r="F230" i="6" s="1"/>
  <c r="G230" i="6" s="1"/>
  <c r="C231" i="6" s="1"/>
  <c r="E231" i="6" l="1"/>
  <c r="F231" i="6" s="1"/>
  <c r="G231" i="6" s="1"/>
  <c r="C232" i="6" s="1"/>
  <c r="Y200" i="6"/>
  <c r="Z200" i="6" s="1"/>
  <c r="AA200" i="6" s="1"/>
  <c r="W201" i="6" s="1"/>
  <c r="Y201" i="6" l="1"/>
  <c r="Z201" i="6" s="1"/>
  <c r="AA201" i="6" s="1"/>
  <c r="W202" i="6" s="1"/>
  <c r="E232" i="6"/>
  <c r="F232" i="6" s="1"/>
  <c r="G232" i="6" s="1"/>
  <c r="C233" i="6" s="1"/>
  <c r="E233" i="6" l="1"/>
  <c r="F233" i="6" s="1"/>
  <c r="G233" i="6" s="1"/>
  <c r="C234" i="6" s="1"/>
  <c r="Y202" i="6"/>
  <c r="Z202" i="6" s="1"/>
  <c r="AA202" i="6" s="1"/>
  <c r="W203" i="6" s="1"/>
  <c r="Y203" i="6" l="1"/>
  <c r="Z203" i="6" s="1"/>
  <c r="AA203" i="6" s="1"/>
  <c r="W204" i="6" s="1"/>
  <c r="E234" i="6"/>
  <c r="F234" i="6" s="1"/>
  <c r="G234" i="6"/>
  <c r="C235" i="6" s="1"/>
  <c r="E235" i="6" l="1"/>
  <c r="F235" i="6" s="1"/>
  <c r="G235" i="6"/>
  <c r="C236" i="6" s="1"/>
  <c r="Y204" i="6"/>
  <c r="Z204" i="6" s="1"/>
  <c r="AA204" i="6" s="1"/>
  <c r="W205" i="6" s="1"/>
  <c r="Y205" i="6" l="1"/>
  <c r="Z205" i="6" s="1"/>
  <c r="AA205" i="6" s="1"/>
  <c r="W206" i="6" s="1"/>
  <c r="E236" i="6"/>
  <c r="F236" i="6" s="1"/>
  <c r="G236" i="6" s="1"/>
  <c r="C237" i="6" s="1"/>
  <c r="E237" i="6" l="1"/>
  <c r="F237" i="6" s="1"/>
  <c r="G237" i="6" s="1"/>
  <c r="C238" i="6" s="1"/>
  <c r="Y206" i="6"/>
  <c r="Z206" i="6" s="1"/>
  <c r="AA206" i="6" s="1"/>
  <c r="W207" i="6" s="1"/>
  <c r="Y207" i="6" l="1"/>
  <c r="Z207" i="6" s="1"/>
  <c r="AA207" i="6" s="1"/>
  <c r="W208" i="6" s="1"/>
  <c r="E238" i="6"/>
  <c r="F238" i="6" s="1"/>
  <c r="G238" i="6" s="1"/>
  <c r="C239" i="6" s="1"/>
  <c r="E239" i="6" l="1"/>
  <c r="F239" i="6" s="1"/>
  <c r="G239" i="6"/>
  <c r="C240" i="6" s="1"/>
  <c r="Y208" i="6"/>
  <c r="Z208" i="6" s="1"/>
  <c r="AA208" i="6" s="1"/>
  <c r="W209" i="6" s="1"/>
  <c r="Y209" i="6" l="1"/>
  <c r="Z209" i="6" s="1"/>
  <c r="AA209" i="6" s="1"/>
  <c r="W210" i="6" s="1"/>
  <c r="E240" i="6"/>
  <c r="F240" i="6" s="1"/>
  <c r="G240" i="6" s="1"/>
  <c r="C241" i="6" s="1"/>
  <c r="E241" i="6" l="1"/>
  <c r="F241" i="6" s="1"/>
  <c r="G241" i="6"/>
  <c r="C242" i="6" s="1"/>
  <c r="Y210" i="6"/>
  <c r="Z210" i="6" s="1"/>
  <c r="AA210" i="6" s="1"/>
  <c r="W211" i="6" s="1"/>
  <c r="Y211" i="6" l="1"/>
  <c r="Z211" i="6" s="1"/>
  <c r="AA211" i="6"/>
  <c r="W212" i="6" s="1"/>
  <c r="E242" i="6"/>
  <c r="F242" i="6" s="1"/>
  <c r="G242" i="6" s="1"/>
  <c r="C243" i="6" s="1"/>
  <c r="E243" i="6" l="1"/>
  <c r="F243" i="6" s="1"/>
  <c r="G243" i="6"/>
  <c r="C244" i="6" s="1"/>
  <c r="Y212" i="6"/>
  <c r="Z212" i="6" s="1"/>
  <c r="AA212" i="6" s="1"/>
  <c r="W213" i="6" s="1"/>
  <c r="Y213" i="6" l="1"/>
  <c r="Z213" i="6" s="1"/>
  <c r="AA213" i="6" s="1"/>
  <c r="W214" i="6" s="1"/>
  <c r="E244" i="6"/>
  <c r="F244" i="6" s="1"/>
  <c r="G244" i="6" s="1"/>
  <c r="C245" i="6" s="1"/>
  <c r="E245" i="6" l="1"/>
  <c r="F245" i="6" s="1"/>
  <c r="G245" i="6" s="1"/>
  <c r="C246" i="6" s="1"/>
  <c r="Y214" i="6"/>
  <c r="Z214" i="6" s="1"/>
  <c r="AA214" i="6" s="1"/>
  <c r="W215" i="6" s="1"/>
  <c r="Y215" i="6" l="1"/>
  <c r="Z215" i="6" s="1"/>
  <c r="AA215" i="6" s="1"/>
  <c r="W216" i="6" s="1"/>
  <c r="E246" i="6"/>
  <c r="F246" i="6" s="1"/>
  <c r="G246" i="6" s="1"/>
  <c r="C247" i="6" s="1"/>
  <c r="E247" i="6" l="1"/>
  <c r="F247" i="6" s="1"/>
  <c r="G247" i="6" s="1"/>
  <c r="C248" i="6" s="1"/>
  <c r="Y216" i="6"/>
  <c r="Z216" i="6" s="1"/>
  <c r="AA216" i="6" s="1"/>
  <c r="W217" i="6" s="1"/>
  <c r="Y217" i="6" l="1"/>
  <c r="Z217" i="6" s="1"/>
  <c r="AA217" i="6" s="1"/>
  <c r="W218" i="6" s="1"/>
  <c r="E248" i="6"/>
  <c r="F248" i="6" s="1"/>
  <c r="G248" i="6" s="1"/>
  <c r="C249" i="6" s="1"/>
  <c r="E249" i="6" l="1"/>
  <c r="F249" i="6" s="1"/>
  <c r="G249" i="6" s="1"/>
  <c r="C250" i="6" s="1"/>
  <c r="Y218" i="6"/>
  <c r="Z218" i="6" s="1"/>
  <c r="AA218" i="6" s="1"/>
  <c r="W219" i="6" s="1"/>
  <c r="Y219" i="6" l="1"/>
  <c r="Z219" i="6" s="1"/>
  <c r="AA219" i="6" s="1"/>
  <c r="W220" i="6" s="1"/>
  <c r="E250" i="6"/>
  <c r="F250" i="6" s="1"/>
  <c r="G250" i="6" s="1"/>
  <c r="C251" i="6" s="1"/>
  <c r="E251" i="6" l="1"/>
  <c r="F251" i="6" s="1"/>
  <c r="G251" i="6"/>
  <c r="C252" i="6" s="1"/>
  <c r="Y220" i="6"/>
  <c r="Z220" i="6" s="1"/>
  <c r="AA220" i="6" s="1"/>
  <c r="W221" i="6" s="1"/>
  <c r="Y221" i="6" l="1"/>
  <c r="Z221" i="6" s="1"/>
  <c r="AA221" i="6" s="1"/>
  <c r="W222" i="6" s="1"/>
  <c r="E252" i="6"/>
  <c r="F252" i="6" s="1"/>
  <c r="G252" i="6" s="1"/>
  <c r="C253" i="6" s="1"/>
  <c r="E253" i="6" l="1"/>
  <c r="F253" i="6" s="1"/>
  <c r="G253" i="6" s="1"/>
  <c r="C254" i="6" s="1"/>
  <c r="Y222" i="6"/>
  <c r="Z222" i="6" s="1"/>
  <c r="AA222" i="6" s="1"/>
  <c r="W223" i="6" s="1"/>
  <c r="Y223" i="6" l="1"/>
  <c r="Z223" i="6" s="1"/>
  <c r="AA223" i="6" s="1"/>
  <c r="W224" i="6" s="1"/>
  <c r="E254" i="6"/>
  <c r="F254" i="6" s="1"/>
  <c r="G254" i="6" s="1"/>
  <c r="C255" i="6" s="1"/>
  <c r="Y224" i="6" l="1"/>
  <c r="Z224" i="6" s="1"/>
  <c r="AA224" i="6" s="1"/>
  <c r="W225" i="6" s="1"/>
  <c r="E255" i="6"/>
  <c r="F255" i="6" s="1"/>
  <c r="G255" i="6" s="1"/>
  <c r="C256" i="6" s="1"/>
  <c r="E256" i="6" l="1"/>
  <c r="F256" i="6" s="1"/>
  <c r="G256" i="6" s="1"/>
  <c r="C257" i="6" s="1"/>
  <c r="Y225" i="6"/>
  <c r="Z225" i="6" s="1"/>
  <c r="AA225" i="6" s="1"/>
  <c r="W226" i="6" s="1"/>
  <c r="E257" i="6" l="1"/>
  <c r="F257" i="6" s="1"/>
  <c r="G257" i="6"/>
  <c r="C258" i="6" s="1"/>
  <c r="Y226" i="6"/>
  <c r="Z226" i="6" s="1"/>
  <c r="AA226" i="6" s="1"/>
  <c r="W227" i="6" s="1"/>
  <c r="Y227" i="6" l="1"/>
  <c r="Z227" i="6" s="1"/>
  <c r="AA227" i="6" s="1"/>
  <c r="W228" i="6" s="1"/>
  <c r="E258" i="6"/>
  <c r="F258" i="6" s="1"/>
  <c r="G258" i="6" s="1"/>
  <c r="C259" i="6" s="1"/>
  <c r="E259" i="6" l="1"/>
  <c r="F259" i="6" s="1"/>
  <c r="G259" i="6" s="1"/>
  <c r="C260" i="6" s="1"/>
  <c r="Y228" i="6"/>
  <c r="Z228" i="6" s="1"/>
  <c r="AA228" i="6" s="1"/>
  <c r="W229" i="6" s="1"/>
  <c r="Y229" i="6" l="1"/>
  <c r="Z229" i="6" s="1"/>
  <c r="AA229" i="6" s="1"/>
  <c r="W230" i="6" s="1"/>
  <c r="E260" i="6"/>
  <c r="F260" i="6" s="1"/>
  <c r="G260" i="6" s="1"/>
  <c r="C261" i="6" s="1"/>
  <c r="E261" i="6" l="1"/>
  <c r="F261" i="6" s="1"/>
  <c r="G261" i="6" s="1"/>
  <c r="C262" i="6" s="1"/>
  <c r="Y230" i="6"/>
  <c r="Z230" i="6" s="1"/>
  <c r="AA230" i="6" s="1"/>
  <c r="W231" i="6" s="1"/>
  <c r="Y231" i="6" l="1"/>
  <c r="Z231" i="6" s="1"/>
  <c r="AA231" i="6" s="1"/>
  <c r="W232" i="6" s="1"/>
  <c r="E262" i="6"/>
  <c r="F262" i="6" s="1"/>
  <c r="G262" i="6" s="1"/>
  <c r="C263" i="6" s="1"/>
  <c r="E263" i="6" l="1"/>
  <c r="F263" i="6" s="1"/>
  <c r="G263" i="6" s="1"/>
  <c r="C264" i="6" s="1"/>
  <c r="Y232" i="6"/>
  <c r="Z232" i="6" s="1"/>
  <c r="AA232" i="6" s="1"/>
  <c r="W233" i="6" s="1"/>
  <c r="Y233" i="6" l="1"/>
  <c r="Z233" i="6" s="1"/>
  <c r="AA233" i="6" s="1"/>
  <c r="W234" i="6" s="1"/>
  <c r="E264" i="6"/>
  <c r="F264" i="6" s="1"/>
  <c r="G264" i="6" s="1"/>
  <c r="C265" i="6" s="1"/>
  <c r="E265" i="6" l="1"/>
  <c r="F265" i="6" s="1"/>
  <c r="G265" i="6"/>
  <c r="C266" i="6" s="1"/>
  <c r="Y234" i="6"/>
  <c r="Z234" i="6" s="1"/>
  <c r="AA234" i="6"/>
  <c r="W235" i="6" s="1"/>
  <c r="Y235" i="6" l="1"/>
  <c r="Z235" i="6" s="1"/>
  <c r="AA235" i="6" s="1"/>
  <c r="W236" i="6" s="1"/>
  <c r="E266" i="6"/>
  <c r="F266" i="6" s="1"/>
  <c r="G266" i="6" s="1"/>
  <c r="C267" i="6" s="1"/>
  <c r="E267" i="6" l="1"/>
  <c r="F267" i="6" s="1"/>
  <c r="G267" i="6"/>
  <c r="C268" i="6" s="1"/>
  <c r="Y236" i="6"/>
  <c r="Z236" i="6" s="1"/>
  <c r="AA236" i="6" s="1"/>
  <c r="W237" i="6" s="1"/>
  <c r="Y237" i="6" l="1"/>
  <c r="Z237" i="6" s="1"/>
  <c r="AA237" i="6" s="1"/>
  <c r="W238" i="6" s="1"/>
  <c r="E268" i="6"/>
  <c r="F268" i="6" s="1"/>
  <c r="G268" i="6" s="1"/>
  <c r="C269" i="6" s="1"/>
  <c r="E269" i="6" l="1"/>
  <c r="F269" i="6" s="1"/>
  <c r="G269" i="6"/>
  <c r="C270" i="6" s="1"/>
  <c r="Y238" i="6"/>
  <c r="Z238" i="6" s="1"/>
  <c r="AA238" i="6"/>
  <c r="W239" i="6" s="1"/>
  <c r="Y239" i="6" l="1"/>
  <c r="Z239" i="6" s="1"/>
  <c r="AA239" i="6" s="1"/>
  <c r="W240" i="6" s="1"/>
  <c r="E270" i="6"/>
  <c r="F270" i="6" s="1"/>
  <c r="G270" i="6" s="1"/>
  <c r="C271" i="6" s="1"/>
  <c r="E271" i="6" l="1"/>
  <c r="F271" i="6" s="1"/>
  <c r="G271" i="6"/>
  <c r="C272" i="6" s="1"/>
  <c r="Y240" i="6"/>
  <c r="Z240" i="6" s="1"/>
  <c r="AA240" i="6" s="1"/>
  <c r="W241" i="6" s="1"/>
  <c r="Y241" i="6" l="1"/>
  <c r="Z241" i="6" s="1"/>
  <c r="AA241" i="6" s="1"/>
  <c r="W242" i="6" s="1"/>
  <c r="E272" i="6"/>
  <c r="F272" i="6" s="1"/>
  <c r="G272" i="6" s="1"/>
  <c r="C273" i="6" s="1"/>
  <c r="E273" i="6" l="1"/>
  <c r="F273" i="6" s="1"/>
  <c r="G273" i="6" s="1"/>
  <c r="C274" i="6" s="1"/>
  <c r="Y242" i="6"/>
  <c r="Z242" i="6" s="1"/>
  <c r="AA242" i="6" s="1"/>
  <c r="W243" i="6" s="1"/>
  <c r="Y243" i="6" l="1"/>
  <c r="Z243" i="6" s="1"/>
  <c r="AA243" i="6" s="1"/>
  <c r="W244" i="6" s="1"/>
  <c r="E274" i="6"/>
  <c r="F274" i="6" s="1"/>
  <c r="G274" i="6" s="1"/>
  <c r="C275" i="6" s="1"/>
  <c r="E275" i="6" l="1"/>
  <c r="F275" i="6" s="1"/>
  <c r="G275" i="6"/>
  <c r="C276" i="6" s="1"/>
  <c r="Y244" i="6"/>
  <c r="Z244" i="6" s="1"/>
  <c r="AA244" i="6" s="1"/>
  <c r="W245" i="6" s="1"/>
  <c r="Y245" i="6" l="1"/>
  <c r="Z245" i="6" s="1"/>
  <c r="AA245" i="6" s="1"/>
  <c r="W246" i="6" s="1"/>
  <c r="E276" i="6"/>
  <c r="F276" i="6" s="1"/>
  <c r="G276" i="6" s="1"/>
  <c r="C277" i="6" s="1"/>
  <c r="E277" i="6" l="1"/>
  <c r="F277" i="6" s="1"/>
  <c r="G277" i="6"/>
  <c r="C278" i="6" s="1"/>
  <c r="Y246" i="6"/>
  <c r="Z246" i="6" s="1"/>
  <c r="AA246" i="6" s="1"/>
  <c r="W247" i="6" s="1"/>
  <c r="Y247" i="6" l="1"/>
  <c r="Z247" i="6" s="1"/>
  <c r="AA247" i="6" s="1"/>
  <c r="W248" i="6" s="1"/>
  <c r="E278" i="6"/>
  <c r="F278" i="6" s="1"/>
  <c r="G278" i="6" s="1"/>
  <c r="C279" i="6" s="1"/>
  <c r="E279" i="6" l="1"/>
  <c r="F279" i="6" s="1"/>
  <c r="G279" i="6"/>
  <c r="C280" i="6" s="1"/>
  <c r="Y248" i="6"/>
  <c r="Z248" i="6" s="1"/>
  <c r="AA248" i="6" s="1"/>
  <c r="W249" i="6" s="1"/>
  <c r="Y249" i="6" l="1"/>
  <c r="Z249" i="6" s="1"/>
  <c r="AA249" i="6" s="1"/>
  <c r="W250" i="6" s="1"/>
  <c r="E280" i="6"/>
  <c r="F280" i="6" s="1"/>
  <c r="G280" i="6" s="1"/>
  <c r="C281" i="6" s="1"/>
  <c r="E281" i="6" l="1"/>
  <c r="F281" i="6" s="1"/>
  <c r="G281" i="6"/>
  <c r="C282" i="6" s="1"/>
  <c r="Y250" i="6"/>
  <c r="Z250" i="6" s="1"/>
  <c r="AA250" i="6" s="1"/>
  <c r="W251" i="6" s="1"/>
  <c r="Y251" i="6" l="1"/>
  <c r="Z251" i="6" s="1"/>
  <c r="AA251" i="6" s="1"/>
  <c r="W252" i="6" s="1"/>
  <c r="E282" i="6"/>
  <c r="F282" i="6" s="1"/>
  <c r="G282" i="6" s="1"/>
  <c r="C283" i="6" s="1"/>
  <c r="E283" i="6" l="1"/>
  <c r="F283" i="6" s="1"/>
  <c r="G283" i="6" s="1"/>
  <c r="C284" i="6" s="1"/>
  <c r="Y252" i="6"/>
  <c r="Z252" i="6" s="1"/>
  <c r="AA252" i="6" s="1"/>
  <c r="W253" i="6" s="1"/>
  <c r="Y253" i="6" l="1"/>
  <c r="Z253" i="6" s="1"/>
  <c r="AA253" i="6" s="1"/>
  <c r="W254" i="6" s="1"/>
  <c r="E284" i="6"/>
  <c r="F284" i="6" s="1"/>
  <c r="G284" i="6" s="1"/>
  <c r="C285" i="6" s="1"/>
  <c r="E285" i="6" l="1"/>
  <c r="F285" i="6" s="1"/>
  <c r="G285" i="6" s="1"/>
  <c r="C286" i="6" s="1"/>
  <c r="Y254" i="6"/>
  <c r="Z254" i="6" s="1"/>
  <c r="AA254" i="6" s="1"/>
  <c r="W255" i="6" s="1"/>
  <c r="Y255" i="6" l="1"/>
  <c r="Z255" i="6" s="1"/>
  <c r="AA255" i="6" s="1"/>
  <c r="W256" i="6" s="1"/>
  <c r="E286" i="6"/>
  <c r="F286" i="6" s="1"/>
  <c r="G286" i="6" s="1"/>
  <c r="C287" i="6" s="1"/>
  <c r="E287" i="6" l="1"/>
  <c r="F287" i="6" s="1"/>
  <c r="G287" i="6" s="1"/>
  <c r="C288" i="6" s="1"/>
  <c r="Y256" i="6"/>
  <c r="Z256" i="6" s="1"/>
  <c r="AA256" i="6"/>
  <c r="W257" i="6" s="1"/>
  <c r="Y257" i="6" l="1"/>
  <c r="Z257" i="6" s="1"/>
  <c r="AA257" i="6" s="1"/>
  <c r="W258" i="6" s="1"/>
  <c r="E288" i="6"/>
  <c r="F288" i="6" s="1"/>
  <c r="G288" i="6" s="1"/>
  <c r="C289" i="6" s="1"/>
  <c r="E289" i="6" l="1"/>
  <c r="F289" i="6" s="1"/>
  <c r="G289" i="6"/>
  <c r="C290" i="6" s="1"/>
  <c r="Y258" i="6"/>
  <c r="Z258" i="6" s="1"/>
  <c r="AA258" i="6" s="1"/>
  <c r="W259" i="6" s="1"/>
  <c r="Y259" i="6" l="1"/>
  <c r="Z259" i="6" s="1"/>
  <c r="AA259" i="6" s="1"/>
  <c r="W260" i="6" s="1"/>
  <c r="E290" i="6"/>
  <c r="F290" i="6" s="1"/>
  <c r="G290" i="6" s="1"/>
  <c r="C291" i="6" s="1"/>
  <c r="E291" i="6" l="1"/>
  <c r="F291" i="6" s="1"/>
  <c r="G291" i="6"/>
  <c r="C292" i="6" s="1"/>
  <c r="Y260" i="6"/>
  <c r="Z260" i="6" s="1"/>
  <c r="AA260" i="6" s="1"/>
  <c r="W261" i="6" s="1"/>
  <c r="Y261" i="6" l="1"/>
  <c r="Z261" i="6" s="1"/>
  <c r="AA261" i="6" s="1"/>
  <c r="W262" i="6" s="1"/>
  <c r="E292" i="6"/>
  <c r="F292" i="6" s="1"/>
  <c r="G292" i="6" s="1"/>
  <c r="C293" i="6" s="1"/>
  <c r="E293" i="6" l="1"/>
  <c r="F293" i="6" s="1"/>
  <c r="G293" i="6" s="1"/>
  <c r="C294" i="6" s="1"/>
  <c r="Y262" i="6"/>
  <c r="Z262" i="6" s="1"/>
  <c r="AA262" i="6" s="1"/>
  <c r="W263" i="6" s="1"/>
  <c r="Y263" i="6" l="1"/>
  <c r="Z263" i="6" s="1"/>
  <c r="AA263" i="6" s="1"/>
  <c r="W264" i="6" s="1"/>
  <c r="E294" i="6"/>
  <c r="F294" i="6" s="1"/>
  <c r="G294" i="6" s="1"/>
  <c r="C295" i="6" s="1"/>
  <c r="E295" i="6" l="1"/>
  <c r="F295" i="6" s="1"/>
  <c r="G295" i="6"/>
  <c r="C296" i="6" s="1"/>
  <c r="Y264" i="6"/>
  <c r="Z264" i="6" s="1"/>
  <c r="AA264" i="6" s="1"/>
  <c r="W265" i="6" s="1"/>
  <c r="Y265" i="6" l="1"/>
  <c r="Z265" i="6" s="1"/>
  <c r="AA265" i="6" s="1"/>
  <c r="W266" i="6" s="1"/>
  <c r="E296" i="6"/>
  <c r="F296" i="6" s="1"/>
  <c r="G296" i="6" s="1"/>
  <c r="C297" i="6" s="1"/>
  <c r="E297" i="6" l="1"/>
  <c r="F297" i="6" s="1"/>
  <c r="G297" i="6" s="1"/>
  <c r="C298" i="6" s="1"/>
  <c r="Y266" i="6"/>
  <c r="Z266" i="6" s="1"/>
  <c r="AA266" i="6" s="1"/>
  <c r="W267" i="6" s="1"/>
  <c r="Y267" i="6" l="1"/>
  <c r="Z267" i="6" s="1"/>
  <c r="AA267" i="6" s="1"/>
  <c r="W268" i="6" s="1"/>
  <c r="E298" i="6"/>
  <c r="F298" i="6" s="1"/>
  <c r="G298" i="6" s="1"/>
  <c r="C299" i="6" s="1"/>
  <c r="E299" i="6" l="1"/>
  <c r="F299" i="6" s="1"/>
  <c r="G299" i="6" s="1"/>
  <c r="C300" i="6" s="1"/>
  <c r="Y268" i="6"/>
  <c r="Z268" i="6" s="1"/>
  <c r="AA268" i="6" s="1"/>
  <c r="W269" i="6" s="1"/>
  <c r="E300" i="6" l="1"/>
  <c r="F300" i="6" s="1"/>
  <c r="G300" i="6" s="1"/>
  <c r="C301" i="6" s="1"/>
  <c r="Y269" i="6"/>
  <c r="Z269" i="6" s="1"/>
  <c r="AA269" i="6" s="1"/>
  <c r="W270" i="6" s="1"/>
  <c r="Y270" i="6" l="1"/>
  <c r="Z270" i="6" s="1"/>
  <c r="AA270" i="6" s="1"/>
  <c r="W271" i="6" s="1"/>
  <c r="E301" i="6"/>
  <c r="F301" i="6" s="1"/>
  <c r="G301" i="6" s="1"/>
  <c r="C302" i="6" s="1"/>
  <c r="E302" i="6" l="1"/>
  <c r="F302" i="6" s="1"/>
  <c r="G302" i="6" s="1"/>
  <c r="C303" i="6" s="1"/>
  <c r="Y271" i="6"/>
  <c r="Z271" i="6" s="1"/>
  <c r="AA271" i="6" s="1"/>
  <c r="W272" i="6" s="1"/>
  <c r="Y272" i="6" l="1"/>
  <c r="Z272" i="6" s="1"/>
  <c r="AA272" i="6" s="1"/>
  <c r="W273" i="6" s="1"/>
  <c r="E303" i="6"/>
  <c r="F303" i="6" s="1"/>
  <c r="G303" i="6" s="1"/>
  <c r="C304" i="6" s="1"/>
  <c r="E304" i="6" l="1"/>
  <c r="F304" i="6" s="1"/>
  <c r="G304" i="6"/>
  <c r="C305" i="6" s="1"/>
  <c r="Y273" i="6"/>
  <c r="Z273" i="6" s="1"/>
  <c r="AA273" i="6" s="1"/>
  <c r="W274" i="6" s="1"/>
  <c r="Y274" i="6" l="1"/>
  <c r="Z274" i="6" s="1"/>
  <c r="AA274" i="6" s="1"/>
  <c r="W275" i="6" s="1"/>
  <c r="E305" i="6"/>
  <c r="F305" i="6" s="1"/>
  <c r="G305" i="6" s="1"/>
  <c r="C306" i="6" s="1"/>
  <c r="E306" i="6" l="1"/>
  <c r="F306" i="6" s="1"/>
  <c r="G306" i="6" s="1"/>
  <c r="C307" i="6" s="1"/>
  <c r="Y275" i="6"/>
  <c r="Z275" i="6" s="1"/>
  <c r="AA275" i="6" s="1"/>
  <c r="W276" i="6" s="1"/>
  <c r="Y276" i="6" l="1"/>
  <c r="Z276" i="6" s="1"/>
  <c r="AA276" i="6" s="1"/>
  <c r="W277" i="6" s="1"/>
  <c r="E307" i="6"/>
  <c r="F307" i="6" s="1"/>
  <c r="G307" i="6" s="1"/>
  <c r="C308" i="6" s="1"/>
  <c r="E308" i="6" l="1"/>
  <c r="F308" i="6" s="1"/>
  <c r="G308" i="6"/>
  <c r="C309" i="6" s="1"/>
  <c r="Y277" i="6"/>
  <c r="Z277" i="6" s="1"/>
  <c r="AA277" i="6" s="1"/>
  <c r="W278" i="6" s="1"/>
  <c r="Y278" i="6" l="1"/>
  <c r="Z278" i="6" s="1"/>
  <c r="AA278" i="6" s="1"/>
  <c r="W279" i="6" s="1"/>
  <c r="E309" i="6"/>
  <c r="F309" i="6" s="1"/>
  <c r="G309" i="6" s="1"/>
  <c r="C310" i="6" s="1"/>
  <c r="E310" i="6" l="1"/>
  <c r="F310" i="6" s="1"/>
  <c r="G310" i="6" s="1"/>
  <c r="C311" i="6" s="1"/>
  <c r="Y279" i="6"/>
  <c r="Z279" i="6" s="1"/>
  <c r="AA279" i="6" s="1"/>
  <c r="W280" i="6" s="1"/>
  <c r="Y280" i="6" l="1"/>
  <c r="Z280" i="6" s="1"/>
  <c r="AA280" i="6" s="1"/>
  <c r="W281" i="6" s="1"/>
  <c r="E311" i="6"/>
  <c r="F311" i="6" s="1"/>
  <c r="G311" i="6" s="1"/>
  <c r="C312" i="6" s="1"/>
  <c r="E312" i="6" l="1"/>
  <c r="F312" i="6" s="1"/>
  <c r="G312" i="6" s="1"/>
  <c r="C313" i="6" s="1"/>
  <c r="Y281" i="6"/>
  <c r="Z281" i="6" s="1"/>
  <c r="AA281" i="6" s="1"/>
  <c r="W282" i="6" s="1"/>
  <c r="Y282" i="6" l="1"/>
  <c r="Z282" i="6" s="1"/>
  <c r="AA282" i="6" s="1"/>
  <c r="W283" i="6" s="1"/>
  <c r="E313" i="6"/>
  <c r="F313" i="6" s="1"/>
  <c r="G313" i="6" s="1"/>
  <c r="C314" i="6" s="1"/>
  <c r="E314" i="6" l="1"/>
  <c r="F314" i="6" s="1"/>
  <c r="G314" i="6" s="1"/>
  <c r="C315" i="6" s="1"/>
  <c r="Y283" i="6"/>
  <c r="Z283" i="6" s="1"/>
  <c r="AA283" i="6" s="1"/>
  <c r="W284" i="6" s="1"/>
  <c r="Y284" i="6" l="1"/>
  <c r="Z284" i="6" s="1"/>
  <c r="AA284" i="6" s="1"/>
  <c r="W285" i="6" s="1"/>
  <c r="E315" i="6"/>
  <c r="F315" i="6" s="1"/>
  <c r="G315" i="6" s="1"/>
  <c r="C316" i="6" s="1"/>
  <c r="E316" i="6" l="1"/>
  <c r="F316" i="6" s="1"/>
  <c r="G316" i="6"/>
  <c r="C317" i="6" s="1"/>
  <c r="Y285" i="6"/>
  <c r="Z285" i="6" s="1"/>
  <c r="AA285" i="6" s="1"/>
  <c r="W286" i="6" s="1"/>
  <c r="Y286" i="6" l="1"/>
  <c r="Z286" i="6" s="1"/>
  <c r="AA286" i="6" s="1"/>
  <c r="W287" i="6" s="1"/>
  <c r="E317" i="6"/>
  <c r="F317" i="6" s="1"/>
  <c r="G317" i="6" s="1"/>
  <c r="C318" i="6" s="1"/>
  <c r="E318" i="6" l="1"/>
  <c r="F318" i="6" s="1"/>
  <c r="G318" i="6"/>
  <c r="C319" i="6" s="1"/>
  <c r="Y287" i="6"/>
  <c r="Z287" i="6" s="1"/>
  <c r="AA287" i="6" s="1"/>
  <c r="W288" i="6" s="1"/>
  <c r="Y288" i="6" l="1"/>
  <c r="Z288" i="6" s="1"/>
  <c r="AA288" i="6" s="1"/>
  <c r="W289" i="6" s="1"/>
  <c r="E319" i="6"/>
  <c r="F319" i="6" s="1"/>
  <c r="G319" i="6" s="1"/>
  <c r="C320" i="6" s="1"/>
  <c r="E320" i="6" l="1"/>
  <c r="F320" i="6" s="1"/>
  <c r="G320" i="6"/>
  <c r="C321" i="6" s="1"/>
  <c r="Y289" i="6"/>
  <c r="Z289" i="6" s="1"/>
  <c r="AA289" i="6" s="1"/>
  <c r="W290" i="6" s="1"/>
  <c r="Y290" i="6" l="1"/>
  <c r="Z290" i="6" s="1"/>
  <c r="AA290" i="6" s="1"/>
  <c r="W291" i="6" s="1"/>
  <c r="E321" i="6"/>
  <c r="F321" i="6" s="1"/>
  <c r="G321" i="6" s="1"/>
  <c r="C322" i="6" s="1"/>
  <c r="E322" i="6" l="1"/>
  <c r="F322" i="6" s="1"/>
  <c r="G322" i="6"/>
  <c r="C323" i="6" s="1"/>
  <c r="Y291" i="6"/>
  <c r="Z291" i="6" s="1"/>
  <c r="AA291" i="6" s="1"/>
  <c r="W292" i="6" s="1"/>
  <c r="Y292" i="6" l="1"/>
  <c r="Z292" i="6" s="1"/>
  <c r="AA292" i="6" s="1"/>
  <c r="W293" i="6" s="1"/>
  <c r="E323" i="6"/>
  <c r="F323" i="6" s="1"/>
  <c r="G323" i="6" s="1"/>
  <c r="C324" i="6" s="1"/>
  <c r="E324" i="6" l="1"/>
  <c r="F324" i="6" s="1"/>
  <c r="G324" i="6"/>
  <c r="C325" i="6" s="1"/>
  <c r="Y293" i="6"/>
  <c r="Z293" i="6" s="1"/>
  <c r="AA293" i="6" s="1"/>
  <c r="W294" i="6" s="1"/>
  <c r="Y294" i="6" l="1"/>
  <c r="Z294" i="6" s="1"/>
  <c r="AA294" i="6" s="1"/>
  <c r="W295" i="6" s="1"/>
  <c r="E325" i="6"/>
  <c r="F325" i="6" s="1"/>
  <c r="G325" i="6" s="1"/>
  <c r="C326" i="6" s="1"/>
  <c r="E326" i="6" l="1"/>
  <c r="F326" i="6" s="1"/>
  <c r="G326" i="6"/>
  <c r="C327" i="6" s="1"/>
  <c r="Y295" i="6"/>
  <c r="Z295" i="6" s="1"/>
  <c r="AA295" i="6" s="1"/>
  <c r="W296" i="6" s="1"/>
  <c r="Y296" i="6" l="1"/>
  <c r="Z296" i="6" s="1"/>
  <c r="AA296" i="6" s="1"/>
  <c r="W297" i="6" s="1"/>
  <c r="E327" i="6"/>
  <c r="F327" i="6" s="1"/>
  <c r="G327" i="6" s="1"/>
  <c r="C328" i="6" s="1"/>
  <c r="E328" i="6" l="1"/>
  <c r="F328" i="6" s="1"/>
  <c r="G328" i="6"/>
  <c r="C329" i="6" s="1"/>
  <c r="Y297" i="6"/>
  <c r="Z297" i="6" s="1"/>
  <c r="AA297" i="6" s="1"/>
  <c r="W298" i="6" s="1"/>
  <c r="Y298" i="6" l="1"/>
  <c r="Z298" i="6" s="1"/>
  <c r="AA298" i="6"/>
  <c r="W299" i="6" s="1"/>
  <c r="E329" i="6"/>
  <c r="F329" i="6" s="1"/>
  <c r="G329" i="6" s="1"/>
  <c r="C330" i="6" s="1"/>
  <c r="E330" i="6" l="1"/>
  <c r="F330" i="6" s="1"/>
  <c r="G330" i="6" s="1"/>
  <c r="C331" i="6" s="1"/>
  <c r="Y299" i="6"/>
  <c r="Z299" i="6" s="1"/>
  <c r="AA299" i="6" s="1"/>
  <c r="W300" i="6" s="1"/>
  <c r="Y300" i="6" l="1"/>
  <c r="Z300" i="6" s="1"/>
  <c r="AA300" i="6" s="1"/>
  <c r="W301" i="6" s="1"/>
  <c r="E331" i="6"/>
  <c r="F331" i="6" s="1"/>
  <c r="G331" i="6" s="1"/>
  <c r="C332" i="6" s="1"/>
  <c r="E332" i="6" l="1"/>
  <c r="F332" i="6" s="1"/>
  <c r="G332" i="6"/>
  <c r="C333" i="6" s="1"/>
  <c r="Y301" i="6"/>
  <c r="Z301" i="6" s="1"/>
  <c r="AA301" i="6" s="1"/>
  <c r="W302" i="6" s="1"/>
  <c r="Y302" i="6" l="1"/>
  <c r="Z302" i="6" s="1"/>
  <c r="AA302" i="6" s="1"/>
  <c r="W303" i="6" s="1"/>
  <c r="E333" i="6"/>
  <c r="F333" i="6" s="1"/>
  <c r="G333" i="6" s="1"/>
  <c r="C334" i="6" s="1"/>
  <c r="E334" i="6" l="1"/>
  <c r="F334" i="6" s="1"/>
  <c r="G334" i="6"/>
  <c r="C335" i="6" s="1"/>
  <c r="Y303" i="6"/>
  <c r="Z303" i="6" s="1"/>
  <c r="AA303" i="6" s="1"/>
  <c r="W304" i="6" s="1"/>
  <c r="Y304" i="6" l="1"/>
  <c r="Z304" i="6" s="1"/>
  <c r="AA304" i="6" s="1"/>
  <c r="W305" i="6" s="1"/>
  <c r="E335" i="6"/>
  <c r="F335" i="6" s="1"/>
  <c r="G335" i="6" s="1"/>
  <c r="C336" i="6" s="1"/>
  <c r="E336" i="6" l="1"/>
  <c r="F336" i="6" s="1"/>
  <c r="G336" i="6" s="1"/>
  <c r="C337" i="6" s="1"/>
  <c r="Y305" i="6"/>
  <c r="Z305" i="6" s="1"/>
  <c r="AA305" i="6" s="1"/>
  <c r="W306" i="6" s="1"/>
  <c r="Y306" i="6" l="1"/>
  <c r="Z306" i="6" s="1"/>
  <c r="AA306" i="6" s="1"/>
  <c r="W307" i="6" s="1"/>
  <c r="E337" i="6"/>
  <c r="F337" i="6" s="1"/>
  <c r="G337" i="6" s="1"/>
  <c r="C338" i="6" s="1"/>
  <c r="E338" i="6" l="1"/>
  <c r="F338" i="6" s="1"/>
  <c r="G338" i="6" s="1"/>
  <c r="C339" i="6" s="1"/>
  <c r="Y307" i="6"/>
  <c r="Z307" i="6" s="1"/>
  <c r="AA307" i="6" s="1"/>
  <c r="W308" i="6" s="1"/>
  <c r="Y308" i="6" l="1"/>
  <c r="Z308" i="6" s="1"/>
  <c r="AA308" i="6" s="1"/>
  <c r="W309" i="6" s="1"/>
  <c r="E339" i="6"/>
  <c r="F339" i="6" s="1"/>
  <c r="G339" i="6" s="1"/>
  <c r="C340" i="6" s="1"/>
  <c r="E340" i="6" l="1"/>
  <c r="F340" i="6" s="1"/>
  <c r="G340" i="6" s="1"/>
  <c r="C341" i="6" s="1"/>
  <c r="Y309" i="6"/>
  <c r="Z309" i="6" s="1"/>
  <c r="AA309" i="6" s="1"/>
  <c r="W310" i="6" s="1"/>
  <c r="Y310" i="6" l="1"/>
  <c r="Z310" i="6" s="1"/>
  <c r="AA310" i="6" s="1"/>
  <c r="W311" i="6" s="1"/>
  <c r="E341" i="6"/>
  <c r="F341" i="6" s="1"/>
  <c r="G341" i="6" s="1"/>
  <c r="C342" i="6" s="1"/>
  <c r="E342" i="6" l="1"/>
  <c r="F342" i="6" s="1"/>
  <c r="G342" i="6"/>
  <c r="C343" i="6" s="1"/>
  <c r="Y311" i="6"/>
  <c r="Z311" i="6" s="1"/>
  <c r="AA311" i="6" s="1"/>
  <c r="W312" i="6" s="1"/>
  <c r="Y312" i="6" l="1"/>
  <c r="Z312" i="6" s="1"/>
  <c r="AA312" i="6" s="1"/>
  <c r="W313" i="6" s="1"/>
  <c r="E343" i="6"/>
  <c r="F343" i="6" s="1"/>
  <c r="G343" i="6" s="1"/>
  <c r="C344" i="6" s="1"/>
  <c r="E344" i="6" l="1"/>
  <c r="F344" i="6" s="1"/>
  <c r="G344" i="6"/>
  <c r="C345" i="6" s="1"/>
  <c r="Y313" i="6"/>
  <c r="Z313" i="6" s="1"/>
  <c r="AA313" i="6" s="1"/>
  <c r="W314" i="6" s="1"/>
  <c r="Y314" i="6" l="1"/>
  <c r="Z314" i="6" s="1"/>
  <c r="AA314" i="6" s="1"/>
  <c r="W315" i="6" s="1"/>
  <c r="E345" i="6"/>
  <c r="F345" i="6" s="1"/>
  <c r="G345" i="6" s="1"/>
  <c r="C346" i="6" s="1"/>
  <c r="E346" i="6" l="1"/>
  <c r="F346" i="6" s="1"/>
  <c r="G346" i="6"/>
  <c r="C347" i="6" s="1"/>
  <c r="Y315" i="6"/>
  <c r="Z315" i="6" s="1"/>
  <c r="AA315" i="6" s="1"/>
  <c r="W316" i="6" s="1"/>
  <c r="Y316" i="6" l="1"/>
  <c r="Z316" i="6" s="1"/>
  <c r="AA316" i="6" s="1"/>
  <c r="W317" i="6" s="1"/>
  <c r="E347" i="6"/>
  <c r="F347" i="6" s="1"/>
  <c r="G347" i="6" s="1"/>
  <c r="C348" i="6" s="1"/>
  <c r="E348" i="6" l="1"/>
  <c r="F348" i="6" s="1"/>
  <c r="G348" i="6" s="1"/>
  <c r="C349" i="6" s="1"/>
  <c r="Y317" i="6"/>
  <c r="Z317" i="6" s="1"/>
  <c r="AA317" i="6" s="1"/>
  <c r="W318" i="6" s="1"/>
  <c r="Y318" i="6" l="1"/>
  <c r="Z318" i="6" s="1"/>
  <c r="AA318" i="6" s="1"/>
  <c r="W319" i="6" s="1"/>
  <c r="E349" i="6"/>
  <c r="F349" i="6" s="1"/>
  <c r="G349" i="6" s="1"/>
  <c r="C350" i="6" s="1"/>
  <c r="E350" i="6" l="1"/>
  <c r="F350" i="6" s="1"/>
  <c r="G350" i="6" s="1"/>
  <c r="C351" i="6" s="1"/>
  <c r="Y319" i="6"/>
  <c r="Z319" i="6" s="1"/>
  <c r="AA319" i="6" s="1"/>
  <c r="W320" i="6" s="1"/>
  <c r="Y320" i="6" l="1"/>
  <c r="Z320" i="6" s="1"/>
  <c r="AA320" i="6" s="1"/>
  <c r="W321" i="6" s="1"/>
  <c r="E351" i="6"/>
  <c r="F351" i="6" s="1"/>
  <c r="G351" i="6" s="1"/>
  <c r="C352" i="6" s="1"/>
  <c r="E352" i="6" l="1"/>
  <c r="F352" i="6" s="1"/>
  <c r="G352" i="6" s="1"/>
  <c r="C353" i="6" s="1"/>
  <c r="Y321" i="6"/>
  <c r="Z321" i="6" s="1"/>
  <c r="AA321" i="6" s="1"/>
  <c r="W322" i="6" s="1"/>
  <c r="Y322" i="6" l="1"/>
  <c r="Z322" i="6" s="1"/>
  <c r="AA322" i="6" s="1"/>
  <c r="W323" i="6" s="1"/>
  <c r="E353" i="6"/>
  <c r="F353" i="6" s="1"/>
  <c r="G353" i="6" s="1"/>
  <c r="C354" i="6" s="1"/>
  <c r="E354" i="6" l="1"/>
  <c r="F354" i="6" s="1"/>
  <c r="G354" i="6" s="1"/>
  <c r="C355" i="6" s="1"/>
  <c r="Y323" i="6"/>
  <c r="Z323" i="6" s="1"/>
  <c r="AA323" i="6" s="1"/>
  <c r="W324" i="6" s="1"/>
  <c r="Y324" i="6" l="1"/>
  <c r="Z324" i="6" s="1"/>
  <c r="AA324" i="6" s="1"/>
  <c r="W325" i="6" s="1"/>
  <c r="E355" i="6"/>
  <c r="F355" i="6" s="1"/>
  <c r="G355" i="6" s="1"/>
  <c r="C356" i="6" s="1"/>
  <c r="E356" i="6" l="1"/>
  <c r="F356" i="6" s="1"/>
  <c r="G356" i="6" s="1"/>
  <c r="C357" i="6" s="1"/>
  <c r="Y325" i="6"/>
  <c r="Z325" i="6" s="1"/>
  <c r="AA325" i="6" s="1"/>
  <c r="W326" i="6" s="1"/>
  <c r="Y326" i="6" l="1"/>
  <c r="Z326" i="6" s="1"/>
  <c r="AA326" i="6" s="1"/>
  <c r="W327" i="6" s="1"/>
  <c r="E357" i="6"/>
  <c r="F357" i="6" s="1"/>
  <c r="G357" i="6" s="1"/>
  <c r="C358" i="6" s="1"/>
  <c r="E358" i="6" l="1"/>
  <c r="F358" i="6" s="1"/>
  <c r="G358" i="6" s="1"/>
  <c r="C359" i="6" s="1"/>
  <c r="Y327" i="6"/>
  <c r="Z327" i="6" s="1"/>
  <c r="AA327" i="6" s="1"/>
  <c r="W328" i="6" s="1"/>
  <c r="Y328" i="6" l="1"/>
  <c r="Z328" i="6" s="1"/>
  <c r="AA328" i="6" s="1"/>
  <c r="W329" i="6" s="1"/>
  <c r="E359" i="6"/>
  <c r="F359" i="6" s="1"/>
  <c r="G359" i="6" s="1"/>
  <c r="C360" i="6" s="1"/>
  <c r="E360" i="6" l="1"/>
  <c r="F360" i="6" s="1"/>
  <c r="G360" i="6"/>
  <c r="C361" i="6" s="1"/>
  <c r="Y329" i="6"/>
  <c r="Z329" i="6" s="1"/>
  <c r="AA329" i="6" s="1"/>
  <c r="W330" i="6" s="1"/>
  <c r="Y330" i="6" l="1"/>
  <c r="Z330" i="6" s="1"/>
  <c r="AA330" i="6" s="1"/>
  <c r="W331" i="6" s="1"/>
  <c r="E361" i="6"/>
  <c r="F361" i="6" s="1"/>
  <c r="G361" i="6" s="1"/>
  <c r="C362" i="6" s="1"/>
  <c r="E362" i="6" l="1"/>
  <c r="F362" i="6" s="1"/>
  <c r="G362" i="6"/>
  <c r="C363" i="6" s="1"/>
  <c r="Y331" i="6"/>
  <c r="Z331" i="6" s="1"/>
  <c r="AA331" i="6" s="1"/>
  <c r="W332" i="6" s="1"/>
  <c r="Y332" i="6" l="1"/>
  <c r="Z332" i="6" s="1"/>
  <c r="AA332" i="6"/>
  <c r="W333" i="6" s="1"/>
  <c r="E363" i="6"/>
  <c r="F363" i="6" s="1"/>
  <c r="G363" i="6" s="1"/>
  <c r="C364" i="6" s="1"/>
  <c r="E364" i="6" l="1"/>
  <c r="F364" i="6" s="1"/>
  <c r="G364" i="6" s="1"/>
  <c r="C365" i="6" s="1"/>
  <c r="Y333" i="6"/>
  <c r="Z333" i="6" s="1"/>
  <c r="AA333" i="6" s="1"/>
  <c r="W334" i="6" s="1"/>
  <c r="Y334" i="6" l="1"/>
  <c r="Z334" i="6" s="1"/>
  <c r="AA334" i="6" s="1"/>
  <c r="W335" i="6" s="1"/>
  <c r="E365" i="6"/>
  <c r="F365" i="6" s="1"/>
  <c r="G365" i="6" s="1"/>
  <c r="C366" i="6" s="1"/>
  <c r="E366" i="6" l="1"/>
  <c r="F366" i="6" s="1"/>
  <c r="G366" i="6" s="1"/>
  <c r="C367" i="6" s="1"/>
  <c r="Y335" i="6"/>
  <c r="Z335" i="6" s="1"/>
  <c r="AA335" i="6" s="1"/>
  <c r="W336" i="6" s="1"/>
  <c r="Y336" i="6" l="1"/>
  <c r="Z336" i="6" s="1"/>
  <c r="AA336" i="6" s="1"/>
  <c r="W337" i="6" s="1"/>
  <c r="E367" i="6"/>
  <c r="F367" i="6" s="1"/>
  <c r="G367" i="6" s="1"/>
  <c r="C368" i="6" s="1"/>
  <c r="E368" i="6" l="1"/>
  <c r="F368" i="6" s="1"/>
  <c r="G368" i="6" s="1"/>
  <c r="C369" i="6" s="1"/>
  <c r="Y337" i="6"/>
  <c r="Z337" i="6" s="1"/>
  <c r="AA337" i="6" s="1"/>
  <c r="W338" i="6" s="1"/>
  <c r="Y338" i="6" l="1"/>
  <c r="Z338" i="6" s="1"/>
  <c r="AA338" i="6" s="1"/>
  <c r="W339" i="6" s="1"/>
  <c r="E369" i="6"/>
  <c r="F369" i="6" s="1"/>
  <c r="G369" i="6" s="1"/>
  <c r="C370" i="6" s="1"/>
  <c r="E370" i="6" l="1"/>
  <c r="F370" i="6" s="1"/>
  <c r="G370" i="6" s="1"/>
  <c r="C371" i="6" s="1"/>
  <c r="Y339" i="6"/>
  <c r="Z339" i="6" s="1"/>
  <c r="AA339" i="6" s="1"/>
  <c r="W340" i="6" s="1"/>
  <c r="Y340" i="6" l="1"/>
  <c r="Z340" i="6" s="1"/>
  <c r="AA340" i="6" s="1"/>
  <c r="W341" i="6" s="1"/>
  <c r="E371" i="6"/>
  <c r="F371" i="6" s="1"/>
  <c r="G371" i="6" s="1"/>
  <c r="C372" i="6" s="1"/>
  <c r="E372" i="6" l="1"/>
  <c r="F372" i="6" s="1"/>
  <c r="G372" i="6" s="1"/>
  <c r="C373" i="6" s="1"/>
  <c r="Y341" i="6"/>
  <c r="Z341" i="6" s="1"/>
  <c r="AA341" i="6" s="1"/>
  <c r="W342" i="6" s="1"/>
  <c r="Y342" i="6" l="1"/>
  <c r="Z342" i="6" s="1"/>
  <c r="AA342" i="6" s="1"/>
  <c r="W343" i="6" s="1"/>
  <c r="E373" i="6"/>
  <c r="F373" i="6" s="1"/>
  <c r="G373" i="6" s="1"/>
  <c r="C374" i="6" s="1"/>
  <c r="E374" i="6" l="1"/>
  <c r="F374" i="6" s="1"/>
  <c r="G374" i="6" s="1"/>
  <c r="C375" i="6" s="1"/>
  <c r="Y343" i="6"/>
  <c r="Z343" i="6" s="1"/>
  <c r="AA343" i="6" s="1"/>
  <c r="W344" i="6" s="1"/>
  <c r="Y344" i="6" l="1"/>
  <c r="Z344" i="6" s="1"/>
  <c r="AA344" i="6" s="1"/>
  <c r="W345" i="6" s="1"/>
  <c r="E375" i="6"/>
  <c r="F375" i="6" s="1"/>
  <c r="G375" i="6" s="1"/>
  <c r="C376" i="6" s="1"/>
  <c r="E376" i="6" l="1"/>
  <c r="F376" i="6" s="1"/>
  <c r="G376" i="6" s="1"/>
  <c r="C377" i="6" s="1"/>
  <c r="Y345" i="6"/>
  <c r="Z345" i="6" s="1"/>
  <c r="AA345" i="6" s="1"/>
  <c r="W346" i="6" s="1"/>
  <c r="Y346" i="6" l="1"/>
  <c r="Z346" i="6" s="1"/>
  <c r="AA346" i="6" s="1"/>
  <c r="W347" i="6" s="1"/>
  <c r="E377" i="6"/>
  <c r="F377" i="6" s="1"/>
  <c r="G377" i="6" s="1"/>
  <c r="C378" i="6" s="1"/>
  <c r="E378" i="6" l="1"/>
  <c r="F378" i="6" s="1"/>
  <c r="G378" i="6" s="1"/>
  <c r="C379" i="6" s="1"/>
  <c r="Y347" i="6"/>
  <c r="Z347" i="6" s="1"/>
  <c r="AA347" i="6" s="1"/>
  <c r="W348" i="6" s="1"/>
  <c r="Y348" i="6" l="1"/>
  <c r="Z348" i="6" s="1"/>
  <c r="AA348" i="6" s="1"/>
  <c r="W349" i="6" s="1"/>
  <c r="E379" i="6"/>
  <c r="F379" i="6" s="1"/>
  <c r="G379" i="6" s="1"/>
  <c r="C380" i="6" s="1"/>
  <c r="E380" i="6" l="1"/>
  <c r="F380" i="6" s="1"/>
  <c r="G380" i="6" s="1"/>
  <c r="C381" i="6" s="1"/>
  <c r="Y349" i="6"/>
  <c r="Z349" i="6" s="1"/>
  <c r="AA349" i="6" s="1"/>
  <c r="W350" i="6" s="1"/>
  <c r="Y350" i="6" l="1"/>
  <c r="Z350" i="6" s="1"/>
  <c r="AA350" i="6" s="1"/>
  <c r="W351" i="6" s="1"/>
  <c r="E381" i="6"/>
  <c r="F381" i="6" s="1"/>
  <c r="G381" i="6" s="1"/>
  <c r="C382" i="6" s="1"/>
  <c r="E382" i="6" l="1"/>
  <c r="F382" i="6" s="1"/>
  <c r="G382" i="6" s="1"/>
  <c r="C383" i="6" s="1"/>
  <c r="Y351" i="6"/>
  <c r="Z351" i="6" s="1"/>
  <c r="AA351" i="6" s="1"/>
  <c r="W352" i="6" s="1"/>
  <c r="Y352" i="6" l="1"/>
  <c r="Z352" i="6" s="1"/>
  <c r="AA352" i="6" s="1"/>
  <c r="W353" i="6" s="1"/>
  <c r="E383" i="6"/>
  <c r="F383" i="6" s="1"/>
  <c r="G383" i="6" s="1"/>
  <c r="C384" i="6" s="1"/>
  <c r="E384" i="6" l="1"/>
  <c r="F384" i="6" s="1"/>
  <c r="G384" i="6" s="1"/>
  <c r="C385" i="6" s="1"/>
  <c r="Y353" i="6"/>
  <c r="Z353" i="6" s="1"/>
  <c r="AA353" i="6" s="1"/>
  <c r="W354" i="6" s="1"/>
  <c r="Y354" i="6" l="1"/>
  <c r="Z354" i="6" s="1"/>
  <c r="AA354" i="6"/>
  <c r="W355" i="6" s="1"/>
  <c r="E385" i="6"/>
  <c r="F385" i="6" s="1"/>
  <c r="G385" i="6" s="1"/>
  <c r="C386" i="6" s="1"/>
  <c r="E386" i="6" l="1"/>
  <c r="F386" i="6" s="1"/>
  <c r="G386" i="6" s="1"/>
  <c r="C387" i="6" s="1"/>
  <c r="Y355" i="6"/>
  <c r="Z355" i="6" s="1"/>
  <c r="AA355" i="6" s="1"/>
  <c r="W356" i="6" s="1"/>
  <c r="E387" i="6" l="1"/>
  <c r="F387" i="6" s="1"/>
  <c r="G387" i="6"/>
  <c r="C388" i="6" s="1"/>
  <c r="Y356" i="6"/>
  <c r="Z356" i="6" s="1"/>
  <c r="AA356" i="6" s="1"/>
  <c r="W357" i="6" s="1"/>
  <c r="Y357" i="6" l="1"/>
  <c r="Z357" i="6" s="1"/>
  <c r="AA357" i="6" s="1"/>
  <c r="W358" i="6" s="1"/>
  <c r="E388" i="6"/>
  <c r="F388" i="6" s="1"/>
  <c r="G388" i="6" s="1"/>
  <c r="C389" i="6" s="1"/>
  <c r="E389" i="6" l="1"/>
  <c r="F389" i="6" s="1"/>
  <c r="G389" i="6"/>
  <c r="C390" i="6" s="1"/>
  <c r="Y358" i="6"/>
  <c r="Z358" i="6" s="1"/>
  <c r="AA358" i="6" s="1"/>
  <c r="W359" i="6" s="1"/>
  <c r="Y359" i="6" l="1"/>
  <c r="Z359" i="6" s="1"/>
  <c r="AA359" i="6" s="1"/>
  <c r="W360" i="6" s="1"/>
  <c r="E390" i="6"/>
  <c r="F390" i="6" s="1"/>
  <c r="G390" i="6" s="1"/>
  <c r="C391" i="6" s="1"/>
  <c r="E391" i="6" l="1"/>
  <c r="F391" i="6" s="1"/>
  <c r="G391" i="6" s="1"/>
  <c r="C392" i="6" s="1"/>
  <c r="Y360" i="6"/>
  <c r="Z360" i="6" s="1"/>
  <c r="AA360" i="6" s="1"/>
  <c r="W361" i="6" s="1"/>
  <c r="Y361" i="6" l="1"/>
  <c r="Z361" i="6" s="1"/>
  <c r="AA361" i="6" s="1"/>
  <c r="W362" i="6" s="1"/>
  <c r="E392" i="6"/>
  <c r="F392" i="6" s="1"/>
  <c r="G392" i="6" s="1"/>
  <c r="C393" i="6" s="1"/>
  <c r="E393" i="6" l="1"/>
  <c r="F393" i="6" s="1"/>
  <c r="G393" i="6" s="1"/>
  <c r="C394" i="6" s="1"/>
  <c r="Y362" i="6"/>
  <c r="Z362" i="6" s="1"/>
  <c r="AA362" i="6" s="1"/>
  <c r="W363" i="6" s="1"/>
  <c r="E394" i="6" l="1"/>
  <c r="F394" i="6" s="1"/>
  <c r="G394" i="6" s="1"/>
  <c r="C395" i="6" s="1"/>
  <c r="Y363" i="6"/>
  <c r="Z363" i="6" s="1"/>
  <c r="AA363" i="6" s="1"/>
  <c r="W364" i="6" s="1"/>
  <c r="Y364" i="6" l="1"/>
  <c r="Z364" i="6" s="1"/>
  <c r="AA364" i="6" s="1"/>
  <c r="W365" i="6" s="1"/>
  <c r="E395" i="6"/>
  <c r="F395" i="6" s="1"/>
  <c r="G395" i="6" s="1"/>
  <c r="C396" i="6" s="1"/>
  <c r="E396" i="6" l="1"/>
  <c r="F396" i="6" s="1"/>
  <c r="G396" i="6" s="1"/>
  <c r="C397" i="6" s="1"/>
  <c r="Y365" i="6"/>
  <c r="Z365" i="6" s="1"/>
  <c r="AA365" i="6" s="1"/>
  <c r="W366" i="6" s="1"/>
  <c r="E397" i="6" l="1"/>
  <c r="F397" i="6" s="1"/>
  <c r="G397" i="6" s="1"/>
  <c r="C398" i="6" s="1"/>
  <c r="Y366" i="6"/>
  <c r="Z366" i="6" s="1"/>
  <c r="AA366" i="6" s="1"/>
  <c r="W367" i="6" s="1"/>
  <c r="Y367" i="6" l="1"/>
  <c r="Z367" i="6" s="1"/>
  <c r="AA367" i="6" s="1"/>
  <c r="W368" i="6" s="1"/>
  <c r="E398" i="6"/>
  <c r="F398" i="6" s="1"/>
  <c r="G398" i="6" s="1"/>
  <c r="C399" i="6" s="1"/>
  <c r="E399" i="6" l="1"/>
  <c r="F399" i="6" s="1"/>
  <c r="G399" i="6"/>
  <c r="C400" i="6" s="1"/>
  <c r="Y368" i="6"/>
  <c r="Z368" i="6" s="1"/>
  <c r="AA368" i="6" s="1"/>
  <c r="W369" i="6" s="1"/>
  <c r="E400" i="6" l="1"/>
  <c r="F400" i="6" s="1"/>
  <c r="G400" i="6" s="1"/>
  <c r="C401" i="6" s="1"/>
  <c r="Y369" i="6"/>
  <c r="Z369" i="6" s="1"/>
  <c r="AA369" i="6" s="1"/>
  <c r="W370" i="6" s="1"/>
  <c r="Y370" i="6" l="1"/>
  <c r="Z370" i="6" s="1"/>
  <c r="AA370" i="6" s="1"/>
  <c r="W371" i="6" s="1"/>
  <c r="E401" i="6"/>
  <c r="F401" i="6" s="1"/>
  <c r="G401" i="6" s="1"/>
  <c r="C402" i="6" s="1"/>
  <c r="E402" i="6" l="1"/>
  <c r="F402" i="6" s="1"/>
  <c r="G402" i="6" s="1"/>
  <c r="C403" i="6" s="1"/>
  <c r="Y371" i="6"/>
  <c r="Z371" i="6" s="1"/>
  <c r="AA371" i="6" s="1"/>
  <c r="W372" i="6" s="1"/>
  <c r="E403" i="6" l="1"/>
  <c r="F403" i="6" s="1"/>
  <c r="G403" i="6" s="1"/>
  <c r="C404" i="6" s="1"/>
  <c r="Y372" i="6"/>
  <c r="Z372" i="6" s="1"/>
  <c r="AA372" i="6" s="1"/>
  <c r="W373" i="6" s="1"/>
  <c r="Y373" i="6" l="1"/>
  <c r="Z373" i="6" s="1"/>
  <c r="AA373" i="6" s="1"/>
  <c r="W374" i="6" s="1"/>
  <c r="E404" i="6"/>
  <c r="F404" i="6" s="1"/>
  <c r="G404" i="6" s="1"/>
  <c r="C405" i="6" s="1"/>
  <c r="E405" i="6" l="1"/>
  <c r="F405" i="6" s="1"/>
  <c r="G405" i="6" s="1"/>
  <c r="C406" i="6" s="1"/>
  <c r="Y374" i="6"/>
  <c r="Z374" i="6" s="1"/>
  <c r="AA374" i="6" s="1"/>
  <c r="W375" i="6" s="1"/>
  <c r="Y375" i="6" l="1"/>
  <c r="Z375" i="6" s="1"/>
  <c r="AA375" i="6" s="1"/>
  <c r="W376" i="6" s="1"/>
  <c r="E406" i="6"/>
  <c r="F406" i="6" s="1"/>
  <c r="G406" i="6" s="1"/>
  <c r="C407" i="6" s="1"/>
  <c r="E407" i="6" l="1"/>
  <c r="F407" i="6" s="1"/>
  <c r="G407" i="6"/>
  <c r="C408" i="6" s="1"/>
  <c r="Y376" i="6"/>
  <c r="Z376" i="6" s="1"/>
  <c r="AA376" i="6" s="1"/>
  <c r="W377" i="6" s="1"/>
  <c r="Y377" i="6" l="1"/>
  <c r="Z377" i="6" s="1"/>
  <c r="AA377" i="6" s="1"/>
  <c r="W378" i="6" s="1"/>
  <c r="E408" i="6"/>
  <c r="F408" i="6" s="1"/>
  <c r="G408" i="6" s="1"/>
  <c r="C409" i="6" s="1"/>
  <c r="E409" i="6" l="1"/>
  <c r="F409" i="6" s="1"/>
  <c r="G409" i="6" s="1"/>
  <c r="C410" i="6" s="1"/>
  <c r="Y378" i="6"/>
  <c r="Z378" i="6" s="1"/>
  <c r="AA378" i="6" s="1"/>
  <c r="W379" i="6" s="1"/>
  <c r="Y379" i="6" l="1"/>
  <c r="Z379" i="6" s="1"/>
  <c r="AA379" i="6" s="1"/>
  <c r="W380" i="6" s="1"/>
  <c r="E410" i="6"/>
  <c r="F410" i="6" s="1"/>
  <c r="G410" i="6" s="1"/>
  <c r="C411" i="6" s="1"/>
  <c r="E411" i="6" l="1"/>
  <c r="F411" i="6" s="1"/>
  <c r="G411" i="6"/>
  <c r="C412" i="6" s="1"/>
  <c r="Y380" i="6"/>
  <c r="Z380" i="6" s="1"/>
  <c r="AA380" i="6" s="1"/>
  <c r="W381" i="6" s="1"/>
  <c r="Y381" i="6" l="1"/>
  <c r="Z381" i="6" s="1"/>
  <c r="AA381" i="6" s="1"/>
  <c r="W382" i="6" s="1"/>
  <c r="E412" i="6"/>
  <c r="F412" i="6" s="1"/>
  <c r="G412" i="6" s="1"/>
  <c r="C413" i="6" s="1"/>
  <c r="E413" i="6" l="1"/>
  <c r="F413" i="6" s="1"/>
  <c r="G413" i="6"/>
  <c r="C414" i="6" s="1"/>
  <c r="Y382" i="6"/>
  <c r="Z382" i="6" s="1"/>
  <c r="AA382" i="6" s="1"/>
  <c r="W383" i="6" s="1"/>
  <c r="Y383" i="6" l="1"/>
  <c r="Z383" i="6" s="1"/>
  <c r="AA383" i="6" s="1"/>
  <c r="W384" i="6" s="1"/>
  <c r="E414" i="6"/>
  <c r="F414" i="6" s="1"/>
  <c r="G414" i="6" s="1"/>
  <c r="C415" i="6" s="1"/>
  <c r="E415" i="6" l="1"/>
  <c r="F415" i="6" s="1"/>
  <c r="G415" i="6"/>
  <c r="C416" i="6" s="1"/>
  <c r="Y384" i="6"/>
  <c r="Z384" i="6" s="1"/>
  <c r="AA384" i="6" s="1"/>
  <c r="W385" i="6" s="1"/>
  <c r="Y385" i="6" l="1"/>
  <c r="Z385" i="6" s="1"/>
  <c r="AA385" i="6" s="1"/>
  <c r="W386" i="6" s="1"/>
  <c r="E416" i="6"/>
  <c r="F416" i="6" s="1"/>
  <c r="G416" i="6" s="1"/>
  <c r="C417" i="6" s="1"/>
  <c r="E417" i="6" l="1"/>
  <c r="F417" i="6" s="1"/>
  <c r="G417" i="6" s="1"/>
  <c r="C418" i="6" s="1"/>
  <c r="Y386" i="6"/>
  <c r="Z386" i="6" s="1"/>
  <c r="AA386" i="6" s="1"/>
  <c r="W387" i="6" s="1"/>
  <c r="Y387" i="6" l="1"/>
  <c r="Z387" i="6" s="1"/>
  <c r="AA387" i="6" s="1"/>
  <c r="W388" i="6" s="1"/>
  <c r="E418" i="6"/>
  <c r="F418" i="6" s="1"/>
  <c r="G418" i="6" s="1"/>
  <c r="C419" i="6" s="1"/>
  <c r="E419" i="6" l="1"/>
  <c r="F419" i="6" s="1"/>
  <c r="G419" i="6"/>
  <c r="C420" i="6" s="1"/>
  <c r="Y388" i="6"/>
  <c r="Z388" i="6" s="1"/>
  <c r="AA388" i="6" s="1"/>
  <c r="W389" i="6" s="1"/>
  <c r="Y389" i="6" l="1"/>
  <c r="Z389" i="6" s="1"/>
  <c r="AA389" i="6" s="1"/>
  <c r="W390" i="6" s="1"/>
  <c r="E420" i="6"/>
  <c r="F420" i="6" s="1"/>
  <c r="G420" i="6" s="1"/>
  <c r="C421" i="6" s="1"/>
  <c r="E421" i="6" l="1"/>
  <c r="F421" i="6" s="1"/>
  <c r="G421" i="6" s="1"/>
  <c r="C422" i="6" s="1"/>
  <c r="Y390" i="6"/>
  <c r="Z390" i="6" s="1"/>
  <c r="AA390" i="6" s="1"/>
  <c r="W391" i="6" s="1"/>
  <c r="Y391" i="6" l="1"/>
  <c r="Z391" i="6" s="1"/>
  <c r="AA391" i="6" s="1"/>
  <c r="W392" i="6" s="1"/>
  <c r="E422" i="6"/>
  <c r="F422" i="6" s="1"/>
  <c r="G422" i="6" s="1"/>
  <c r="C423" i="6" s="1"/>
  <c r="E423" i="6" l="1"/>
  <c r="F423" i="6" s="1"/>
  <c r="G423" i="6"/>
  <c r="C424" i="6" s="1"/>
  <c r="Y392" i="6"/>
  <c r="Z392" i="6" s="1"/>
  <c r="AA392" i="6" s="1"/>
  <c r="W393" i="6" s="1"/>
  <c r="Y393" i="6" l="1"/>
  <c r="Z393" i="6" s="1"/>
  <c r="AA393" i="6" s="1"/>
  <c r="W394" i="6" s="1"/>
  <c r="E424" i="6"/>
  <c r="F424" i="6" s="1"/>
  <c r="G424" i="6" s="1"/>
  <c r="C425" i="6" s="1"/>
  <c r="E425" i="6" l="1"/>
  <c r="F425" i="6" s="1"/>
  <c r="G425" i="6" s="1"/>
  <c r="C426" i="6" s="1"/>
  <c r="Y394" i="6"/>
  <c r="Z394" i="6" s="1"/>
  <c r="AA394" i="6" s="1"/>
  <c r="W395" i="6" s="1"/>
  <c r="Y395" i="6" l="1"/>
  <c r="Z395" i="6" s="1"/>
  <c r="AA395" i="6" s="1"/>
  <c r="W396" i="6" s="1"/>
  <c r="E426" i="6"/>
  <c r="F426" i="6" s="1"/>
  <c r="G426" i="6" s="1"/>
  <c r="C427" i="6" s="1"/>
  <c r="Y396" i="6" l="1"/>
  <c r="Z396" i="6" s="1"/>
  <c r="AA396" i="6" s="1"/>
  <c r="W397" i="6" s="1"/>
  <c r="E427" i="6"/>
  <c r="F427" i="6" s="1"/>
  <c r="G427" i="6" s="1"/>
  <c r="C428" i="6" s="1"/>
  <c r="E428" i="6" l="1"/>
  <c r="F428" i="6" s="1"/>
  <c r="G428" i="6" s="1"/>
  <c r="C429" i="6" s="1"/>
  <c r="Y397" i="6"/>
  <c r="Z397" i="6" s="1"/>
  <c r="AA397" i="6" s="1"/>
  <c r="W398" i="6" s="1"/>
  <c r="Y398" i="6" l="1"/>
  <c r="Z398" i="6" s="1"/>
  <c r="AA398" i="6" s="1"/>
  <c r="W399" i="6" s="1"/>
  <c r="E429" i="6"/>
  <c r="F429" i="6" s="1"/>
  <c r="G429" i="6" s="1"/>
  <c r="C430" i="6" s="1"/>
  <c r="E430" i="6" l="1"/>
  <c r="F430" i="6" s="1"/>
  <c r="G430" i="6" s="1"/>
  <c r="C431" i="6" s="1"/>
  <c r="Y399" i="6"/>
  <c r="Z399" i="6" s="1"/>
  <c r="AA399" i="6" s="1"/>
  <c r="W400" i="6" s="1"/>
  <c r="Y400" i="6" l="1"/>
  <c r="Z400" i="6" s="1"/>
  <c r="AA400" i="6" s="1"/>
  <c r="W401" i="6" s="1"/>
  <c r="E431" i="6"/>
  <c r="F431" i="6" s="1"/>
  <c r="G431" i="6" s="1"/>
  <c r="C432" i="6" s="1"/>
  <c r="E432" i="6" l="1"/>
  <c r="F432" i="6" s="1"/>
  <c r="G432" i="6" s="1"/>
  <c r="C433" i="6" s="1"/>
  <c r="Y401" i="6"/>
  <c r="Z401" i="6" s="1"/>
  <c r="AA401" i="6" s="1"/>
  <c r="W402" i="6" s="1"/>
  <c r="Y402" i="6" l="1"/>
  <c r="Z402" i="6" s="1"/>
  <c r="AA402" i="6"/>
  <c r="W403" i="6" s="1"/>
  <c r="E433" i="6"/>
  <c r="F433" i="6" s="1"/>
  <c r="G433" i="6" s="1"/>
  <c r="C434" i="6" s="1"/>
  <c r="E434" i="6" l="1"/>
  <c r="F434" i="6" s="1"/>
  <c r="G434" i="6" s="1"/>
  <c r="C435" i="6" s="1"/>
  <c r="Y403" i="6"/>
  <c r="Z403" i="6" s="1"/>
  <c r="AA403" i="6" s="1"/>
  <c r="W404" i="6" s="1"/>
  <c r="Y404" i="6" l="1"/>
  <c r="Z404" i="6" s="1"/>
  <c r="AA404" i="6"/>
  <c r="W405" i="6" s="1"/>
  <c r="E435" i="6"/>
  <c r="F435" i="6" s="1"/>
  <c r="G435" i="6" s="1"/>
  <c r="C436" i="6" s="1"/>
  <c r="E436" i="6" l="1"/>
  <c r="F436" i="6" s="1"/>
  <c r="G436" i="6" s="1"/>
  <c r="C437" i="6" s="1"/>
  <c r="Y405" i="6"/>
  <c r="Z405" i="6" s="1"/>
  <c r="AA405" i="6" s="1"/>
  <c r="W406" i="6" s="1"/>
  <c r="Y406" i="6" l="1"/>
  <c r="Z406" i="6" s="1"/>
  <c r="AA406" i="6" s="1"/>
  <c r="W407" i="6" s="1"/>
  <c r="E437" i="6"/>
  <c r="F437" i="6" s="1"/>
  <c r="G437" i="6" s="1"/>
  <c r="C438" i="6" s="1"/>
  <c r="E438" i="6" l="1"/>
  <c r="F438" i="6" s="1"/>
  <c r="G438" i="6" s="1"/>
  <c r="C439" i="6" s="1"/>
  <c r="Y407" i="6"/>
  <c r="Z407" i="6" s="1"/>
  <c r="AA407" i="6" s="1"/>
  <c r="W408" i="6" s="1"/>
  <c r="Y408" i="6" l="1"/>
  <c r="Z408" i="6" s="1"/>
  <c r="AA408" i="6"/>
  <c r="W409" i="6" s="1"/>
  <c r="E439" i="6"/>
  <c r="F439" i="6" s="1"/>
  <c r="G439" i="6" s="1"/>
  <c r="C440" i="6" s="1"/>
  <c r="E440" i="6" l="1"/>
  <c r="F440" i="6" s="1"/>
  <c r="G440" i="6" s="1"/>
  <c r="C441" i="6" s="1"/>
  <c r="Y409" i="6"/>
  <c r="Z409" i="6" s="1"/>
  <c r="AA409" i="6" s="1"/>
  <c r="W410" i="6" s="1"/>
  <c r="Y410" i="6" l="1"/>
  <c r="Z410" i="6" s="1"/>
  <c r="AA410" i="6" s="1"/>
  <c r="W411" i="6" s="1"/>
  <c r="E441" i="6"/>
  <c r="F441" i="6" s="1"/>
  <c r="G441" i="6" s="1"/>
  <c r="C442" i="6" s="1"/>
  <c r="E442" i="6" l="1"/>
  <c r="F442" i="6" s="1"/>
  <c r="G442" i="6" s="1"/>
  <c r="C443" i="6" s="1"/>
  <c r="Y411" i="6"/>
  <c r="Z411" i="6" s="1"/>
  <c r="AA411" i="6" s="1"/>
  <c r="W412" i="6" s="1"/>
  <c r="Y412" i="6" l="1"/>
  <c r="Z412" i="6" s="1"/>
  <c r="AA412" i="6" s="1"/>
  <c r="W413" i="6" s="1"/>
  <c r="E443" i="6"/>
  <c r="F443" i="6" s="1"/>
  <c r="G443" i="6"/>
  <c r="C444" i="6" s="1"/>
  <c r="E444" i="6" l="1"/>
  <c r="F444" i="6" s="1"/>
  <c r="G444" i="6" s="1"/>
  <c r="C445" i="6" s="1"/>
  <c r="Y413" i="6"/>
  <c r="Z413" i="6" s="1"/>
  <c r="AA413" i="6" s="1"/>
  <c r="W414" i="6" s="1"/>
  <c r="Y414" i="6" l="1"/>
  <c r="Z414" i="6" s="1"/>
  <c r="AA414" i="6" s="1"/>
  <c r="W415" i="6" s="1"/>
  <c r="E445" i="6"/>
  <c r="F445" i="6" s="1"/>
  <c r="G445" i="6"/>
  <c r="C446" i="6" s="1"/>
  <c r="E446" i="6" l="1"/>
  <c r="F446" i="6" s="1"/>
  <c r="G446" i="6" s="1"/>
  <c r="C447" i="6" s="1"/>
  <c r="Y415" i="6"/>
  <c r="Z415" i="6" s="1"/>
  <c r="AA415" i="6" s="1"/>
  <c r="W416" i="6" s="1"/>
  <c r="Y416" i="6" l="1"/>
  <c r="Z416" i="6" s="1"/>
  <c r="AA416" i="6" s="1"/>
  <c r="W417" i="6" s="1"/>
  <c r="E447" i="6"/>
  <c r="F447" i="6" s="1"/>
  <c r="G447" i="6" s="1"/>
  <c r="C448" i="6" s="1"/>
  <c r="E448" i="6" l="1"/>
  <c r="F448" i="6" s="1"/>
  <c r="G448" i="6" s="1"/>
  <c r="C449" i="6" s="1"/>
  <c r="Y417" i="6"/>
  <c r="Z417" i="6" s="1"/>
  <c r="AA417" i="6" s="1"/>
  <c r="W418" i="6" s="1"/>
  <c r="Y418" i="6" l="1"/>
  <c r="Z418" i="6" s="1"/>
  <c r="AA418" i="6" s="1"/>
  <c r="W419" i="6" s="1"/>
  <c r="E449" i="6"/>
  <c r="F449" i="6" s="1"/>
  <c r="G449" i="6" s="1"/>
  <c r="C450" i="6" s="1"/>
  <c r="E450" i="6" l="1"/>
  <c r="F450" i="6" s="1"/>
  <c r="G450" i="6" s="1"/>
  <c r="C451" i="6" s="1"/>
  <c r="Y419" i="6"/>
  <c r="Z419" i="6" s="1"/>
  <c r="AA419" i="6" s="1"/>
  <c r="W420" i="6" s="1"/>
  <c r="Y420" i="6" l="1"/>
  <c r="Z420" i="6" s="1"/>
  <c r="AA420" i="6" s="1"/>
  <c r="W421" i="6" s="1"/>
  <c r="E451" i="6"/>
  <c r="F451" i="6" s="1"/>
  <c r="G451" i="6" s="1"/>
  <c r="C452" i="6" s="1"/>
  <c r="E452" i="6" l="1"/>
  <c r="F452" i="6" s="1"/>
  <c r="G452" i="6" s="1"/>
  <c r="C453" i="6" s="1"/>
  <c r="Y421" i="6"/>
  <c r="Z421" i="6" s="1"/>
  <c r="AA421" i="6" s="1"/>
  <c r="W422" i="6" s="1"/>
  <c r="Y422" i="6" l="1"/>
  <c r="Z422" i="6" s="1"/>
  <c r="AA422" i="6" s="1"/>
  <c r="W423" i="6" s="1"/>
  <c r="E453" i="6"/>
  <c r="F453" i="6" s="1"/>
  <c r="G453" i="6" s="1"/>
  <c r="C454" i="6" s="1"/>
  <c r="E454" i="6" l="1"/>
  <c r="F454" i="6" s="1"/>
  <c r="G454" i="6" s="1"/>
  <c r="C455" i="6" s="1"/>
  <c r="Y423" i="6"/>
  <c r="Z423" i="6" s="1"/>
  <c r="AA423" i="6" s="1"/>
  <c r="W424" i="6" s="1"/>
  <c r="Y424" i="6" l="1"/>
  <c r="Z424" i="6" s="1"/>
  <c r="AA424" i="6"/>
  <c r="W425" i="6" s="1"/>
  <c r="E455" i="6"/>
  <c r="F455" i="6" s="1"/>
  <c r="G455" i="6" s="1"/>
  <c r="C456" i="6" s="1"/>
  <c r="E456" i="6" l="1"/>
  <c r="F456" i="6" s="1"/>
  <c r="G456" i="6" s="1"/>
  <c r="C457" i="6" s="1"/>
  <c r="Y425" i="6"/>
  <c r="Z425" i="6" s="1"/>
  <c r="AA425" i="6" s="1"/>
  <c r="W426" i="6" s="1"/>
  <c r="Y426" i="6" l="1"/>
  <c r="Z426" i="6" s="1"/>
  <c r="AA426" i="6" s="1"/>
  <c r="W427" i="6" s="1"/>
  <c r="E457" i="6"/>
  <c r="F457" i="6" s="1"/>
  <c r="G457" i="6" s="1"/>
  <c r="C458" i="6" s="1"/>
  <c r="E458" i="6" l="1"/>
  <c r="F458" i="6" s="1"/>
  <c r="G458" i="6" s="1"/>
  <c r="C459" i="6" s="1"/>
  <c r="Y427" i="6"/>
  <c r="Z427" i="6" s="1"/>
  <c r="AA427" i="6" s="1"/>
  <c r="W428" i="6" s="1"/>
  <c r="Y428" i="6" l="1"/>
  <c r="Z428" i="6" s="1"/>
  <c r="AA428" i="6" s="1"/>
  <c r="W429" i="6" s="1"/>
  <c r="E459" i="6"/>
  <c r="F459" i="6" s="1"/>
  <c r="G459" i="6" s="1"/>
  <c r="C460" i="6" s="1"/>
  <c r="E460" i="6" l="1"/>
  <c r="F460" i="6" s="1"/>
  <c r="G460" i="6" s="1"/>
  <c r="C461" i="6" s="1"/>
  <c r="Y429" i="6"/>
  <c r="Z429" i="6" s="1"/>
  <c r="AA429" i="6" s="1"/>
  <c r="W430" i="6" s="1"/>
  <c r="Y430" i="6" l="1"/>
  <c r="Z430" i="6" s="1"/>
  <c r="AA430" i="6"/>
  <c r="W431" i="6" s="1"/>
  <c r="E461" i="6"/>
  <c r="F461" i="6" s="1"/>
  <c r="G461" i="6"/>
  <c r="C462" i="6" s="1"/>
  <c r="E462" i="6" l="1"/>
  <c r="F462" i="6" s="1"/>
  <c r="G462" i="6" s="1"/>
  <c r="C463" i="6" s="1"/>
  <c r="Y431" i="6"/>
  <c r="Z431" i="6" s="1"/>
  <c r="AA431" i="6" s="1"/>
  <c r="W432" i="6" s="1"/>
  <c r="Y432" i="6" l="1"/>
  <c r="Z432" i="6" s="1"/>
  <c r="AA432" i="6"/>
  <c r="W433" i="6" s="1"/>
  <c r="E463" i="6"/>
  <c r="F463" i="6" s="1"/>
  <c r="G463" i="6" s="1"/>
  <c r="C464" i="6" s="1"/>
  <c r="E464" i="6" l="1"/>
  <c r="F464" i="6" s="1"/>
  <c r="G464" i="6" s="1"/>
  <c r="C465" i="6" s="1"/>
  <c r="Y433" i="6"/>
  <c r="Z433" i="6" s="1"/>
  <c r="AA433" i="6" s="1"/>
  <c r="W434" i="6" s="1"/>
  <c r="E465" i="6" l="1"/>
  <c r="F465" i="6" s="1"/>
  <c r="G465" i="6" s="1"/>
  <c r="C466" i="6" s="1"/>
  <c r="Y434" i="6"/>
  <c r="Z434" i="6" s="1"/>
  <c r="AA434" i="6" s="1"/>
  <c r="W435" i="6" s="1"/>
  <c r="Y435" i="6" l="1"/>
  <c r="Z435" i="6" s="1"/>
  <c r="AA435" i="6" s="1"/>
  <c r="W436" i="6" s="1"/>
  <c r="E466" i="6"/>
  <c r="F466" i="6" s="1"/>
  <c r="G466" i="6" s="1"/>
  <c r="C467" i="6" s="1"/>
  <c r="E467" i="6" l="1"/>
  <c r="F467" i="6" s="1"/>
  <c r="G467" i="6"/>
  <c r="C468" i="6" s="1"/>
  <c r="Y436" i="6"/>
  <c r="Z436" i="6" s="1"/>
  <c r="AA436" i="6" s="1"/>
  <c r="W437" i="6" s="1"/>
  <c r="Y437" i="6" l="1"/>
  <c r="Z437" i="6" s="1"/>
  <c r="AA437" i="6" s="1"/>
  <c r="W438" i="6" s="1"/>
  <c r="E468" i="6"/>
  <c r="F468" i="6" s="1"/>
  <c r="G468" i="6" s="1"/>
  <c r="C469" i="6" s="1"/>
  <c r="E469" i="6" l="1"/>
  <c r="F469" i="6" s="1"/>
  <c r="G469" i="6" s="1"/>
  <c r="C470" i="6" s="1"/>
  <c r="Y438" i="6"/>
  <c r="Z438" i="6" s="1"/>
  <c r="AA438" i="6" s="1"/>
  <c r="W439" i="6" s="1"/>
  <c r="Y439" i="6" l="1"/>
  <c r="Z439" i="6" s="1"/>
  <c r="AA439" i="6" s="1"/>
  <c r="W440" i="6" s="1"/>
  <c r="E470" i="6"/>
  <c r="F470" i="6" s="1"/>
  <c r="G470" i="6" s="1"/>
  <c r="C471" i="6" s="1"/>
  <c r="E471" i="6" l="1"/>
  <c r="F471" i="6" s="1"/>
  <c r="G471" i="6"/>
  <c r="C472" i="6" s="1"/>
  <c r="Y440" i="6"/>
  <c r="Z440" i="6" s="1"/>
  <c r="AA440" i="6" s="1"/>
  <c r="W441" i="6" s="1"/>
  <c r="Y441" i="6" l="1"/>
  <c r="Z441" i="6" s="1"/>
  <c r="AA441" i="6" s="1"/>
  <c r="W442" i="6" s="1"/>
  <c r="E472" i="6"/>
  <c r="F472" i="6" s="1"/>
  <c r="G472" i="6" s="1"/>
  <c r="C473" i="6" s="1"/>
  <c r="E473" i="6" l="1"/>
  <c r="F473" i="6" s="1"/>
  <c r="G473" i="6"/>
  <c r="C474" i="6" s="1"/>
  <c r="Y442" i="6"/>
  <c r="Z442" i="6" s="1"/>
  <c r="AA442" i="6" s="1"/>
  <c r="W443" i="6" s="1"/>
  <c r="Y443" i="6" l="1"/>
  <c r="Z443" i="6" s="1"/>
  <c r="AA443" i="6" s="1"/>
  <c r="W444" i="6" s="1"/>
  <c r="E474" i="6"/>
  <c r="F474" i="6" s="1"/>
  <c r="G474" i="6" s="1"/>
  <c r="C475" i="6" s="1"/>
  <c r="Y444" i="6" l="1"/>
  <c r="Z444" i="6" s="1"/>
  <c r="AA444" i="6"/>
  <c r="W445" i="6" s="1"/>
  <c r="E475" i="6"/>
  <c r="F475" i="6" s="1"/>
  <c r="G475" i="6" s="1"/>
  <c r="C476" i="6" s="1"/>
  <c r="E476" i="6" l="1"/>
  <c r="F476" i="6" s="1"/>
  <c r="G476" i="6" s="1"/>
  <c r="C477" i="6" s="1"/>
  <c r="Y445" i="6"/>
  <c r="Z445" i="6" s="1"/>
  <c r="AA445" i="6" s="1"/>
  <c r="W446" i="6" s="1"/>
  <c r="Y446" i="6" l="1"/>
  <c r="Z446" i="6" s="1"/>
  <c r="AA446" i="6"/>
  <c r="W447" i="6" s="1"/>
  <c r="E477" i="6"/>
  <c r="F477" i="6" s="1"/>
  <c r="G477" i="6" s="1"/>
  <c r="C478" i="6" s="1"/>
  <c r="E478" i="6" l="1"/>
  <c r="F478" i="6" s="1"/>
  <c r="G478" i="6" s="1"/>
  <c r="C479" i="6" s="1"/>
  <c r="Y447" i="6"/>
  <c r="Z447" i="6" s="1"/>
  <c r="AA447" i="6" s="1"/>
  <c r="W448" i="6" s="1"/>
  <c r="Y448" i="6" l="1"/>
  <c r="Z448" i="6" s="1"/>
  <c r="AA448" i="6" s="1"/>
  <c r="W449" i="6" s="1"/>
  <c r="E479" i="6"/>
  <c r="F479" i="6" s="1"/>
  <c r="G479" i="6" s="1"/>
  <c r="C480" i="6" s="1"/>
  <c r="E480" i="6" l="1"/>
  <c r="F480" i="6" s="1"/>
  <c r="G480" i="6" s="1"/>
  <c r="C481" i="6" s="1"/>
  <c r="Y449" i="6"/>
  <c r="Z449" i="6" s="1"/>
  <c r="AA449" i="6" s="1"/>
  <c r="W450" i="6" s="1"/>
  <c r="Y450" i="6" l="1"/>
  <c r="Z450" i="6" s="1"/>
  <c r="AA450" i="6" s="1"/>
  <c r="W451" i="6" s="1"/>
  <c r="E481" i="6"/>
  <c r="F481" i="6" s="1"/>
  <c r="G481" i="6" s="1"/>
  <c r="C482" i="6" s="1"/>
  <c r="E482" i="6" l="1"/>
  <c r="F482" i="6" s="1"/>
  <c r="G482" i="6" s="1"/>
  <c r="C483" i="6" s="1"/>
  <c r="Y451" i="6"/>
  <c r="Z451" i="6" s="1"/>
  <c r="AA451" i="6" s="1"/>
  <c r="W452" i="6" s="1"/>
  <c r="Y452" i="6" l="1"/>
  <c r="Z452" i="6" s="1"/>
  <c r="AA452" i="6" s="1"/>
  <c r="W453" i="6" s="1"/>
  <c r="E483" i="6"/>
  <c r="F483" i="6" s="1"/>
  <c r="G483" i="6" s="1"/>
  <c r="C484" i="6" s="1"/>
  <c r="E484" i="6" l="1"/>
  <c r="F484" i="6" s="1"/>
  <c r="G484" i="6" s="1"/>
  <c r="C485" i="6" s="1"/>
  <c r="Y453" i="6"/>
  <c r="Z453" i="6" s="1"/>
  <c r="AA453" i="6" s="1"/>
  <c r="W454" i="6" s="1"/>
  <c r="Y454" i="6" l="1"/>
  <c r="Z454" i="6" s="1"/>
  <c r="AA454" i="6" s="1"/>
  <c r="W455" i="6" s="1"/>
  <c r="E485" i="6"/>
  <c r="F485" i="6" s="1"/>
  <c r="G485" i="6" s="1"/>
  <c r="C486" i="6" s="1"/>
  <c r="E486" i="6" l="1"/>
  <c r="F486" i="6" s="1"/>
  <c r="G486" i="6" s="1"/>
  <c r="C487" i="6" s="1"/>
  <c r="Y455" i="6"/>
  <c r="Z455" i="6" s="1"/>
  <c r="AA455" i="6" s="1"/>
  <c r="W456" i="6" s="1"/>
  <c r="Y456" i="6" l="1"/>
  <c r="Z456" i="6" s="1"/>
  <c r="AA456" i="6" s="1"/>
  <c r="W457" i="6" s="1"/>
  <c r="E487" i="6"/>
  <c r="F487" i="6" s="1"/>
  <c r="G487" i="6" s="1"/>
  <c r="C488" i="6" s="1"/>
  <c r="E488" i="6" l="1"/>
  <c r="F488" i="6" s="1"/>
  <c r="G488" i="6" s="1"/>
  <c r="C489" i="6" s="1"/>
  <c r="Y457" i="6"/>
  <c r="Z457" i="6" s="1"/>
  <c r="AA457" i="6" s="1"/>
  <c r="W458" i="6" s="1"/>
  <c r="Y458" i="6" l="1"/>
  <c r="Z458" i="6" s="1"/>
  <c r="AA458" i="6"/>
  <c r="W459" i="6" s="1"/>
  <c r="E489" i="6"/>
  <c r="F489" i="6" s="1"/>
  <c r="G489" i="6" s="1"/>
  <c r="C490" i="6" s="1"/>
  <c r="E490" i="6" l="1"/>
  <c r="F490" i="6" s="1"/>
  <c r="G490" i="6" s="1"/>
  <c r="C491" i="6" s="1"/>
  <c r="Y459" i="6"/>
  <c r="Z459" i="6" s="1"/>
  <c r="AA459" i="6" s="1"/>
  <c r="W460" i="6" s="1"/>
  <c r="Y460" i="6" l="1"/>
  <c r="Z460" i="6" s="1"/>
  <c r="AA460" i="6" s="1"/>
  <c r="W461" i="6" s="1"/>
  <c r="E491" i="6"/>
  <c r="F491" i="6" s="1"/>
  <c r="G491" i="6" s="1"/>
  <c r="C492" i="6" s="1"/>
  <c r="E492" i="6" l="1"/>
  <c r="F492" i="6" s="1"/>
  <c r="G492" i="6" s="1"/>
  <c r="C493" i="6" s="1"/>
  <c r="Y461" i="6"/>
  <c r="Z461" i="6" s="1"/>
  <c r="AA461" i="6" s="1"/>
  <c r="W462" i="6" s="1"/>
  <c r="Y462" i="6" l="1"/>
  <c r="Z462" i="6" s="1"/>
  <c r="AA462" i="6"/>
  <c r="W463" i="6" s="1"/>
  <c r="E493" i="6"/>
  <c r="F493" i="6" s="1"/>
  <c r="G493" i="6" s="1"/>
  <c r="C494" i="6" s="1"/>
  <c r="E494" i="6" l="1"/>
  <c r="F494" i="6" s="1"/>
  <c r="G494" i="6" s="1"/>
  <c r="C495" i="6" s="1"/>
  <c r="Y463" i="6"/>
  <c r="Z463" i="6" s="1"/>
  <c r="AA463" i="6" s="1"/>
  <c r="W464" i="6" s="1"/>
  <c r="Y464" i="6" l="1"/>
  <c r="Z464" i="6" s="1"/>
  <c r="AA464" i="6" s="1"/>
  <c r="W465" i="6" s="1"/>
  <c r="E495" i="6"/>
  <c r="F495" i="6" s="1"/>
  <c r="G495" i="6" s="1"/>
  <c r="C496" i="6" s="1"/>
  <c r="Y465" i="6" l="1"/>
  <c r="Z465" i="6" s="1"/>
  <c r="AA465" i="6" s="1"/>
  <c r="W466" i="6" s="1"/>
  <c r="E496" i="6"/>
  <c r="F496" i="6" s="1"/>
  <c r="G496" i="6" s="1"/>
  <c r="C497" i="6" s="1"/>
  <c r="E497" i="6" l="1"/>
  <c r="F497" i="6" s="1"/>
  <c r="G497" i="6"/>
  <c r="C498" i="6" s="1"/>
  <c r="Y466" i="6"/>
  <c r="Z466" i="6" s="1"/>
  <c r="AA466" i="6" s="1"/>
  <c r="W467" i="6" s="1"/>
  <c r="Y467" i="6" l="1"/>
  <c r="Z467" i="6" s="1"/>
  <c r="AA467" i="6" s="1"/>
  <c r="W468" i="6" s="1"/>
  <c r="E498" i="6"/>
  <c r="F498" i="6" s="1"/>
  <c r="G498" i="6" s="1"/>
  <c r="C499" i="6" s="1"/>
  <c r="E499" i="6" l="1"/>
  <c r="F499" i="6" s="1"/>
  <c r="G499" i="6"/>
  <c r="C500" i="6" s="1"/>
  <c r="Y468" i="6"/>
  <c r="Z468" i="6" s="1"/>
  <c r="AA468" i="6" s="1"/>
  <c r="W469" i="6" s="1"/>
  <c r="Y469" i="6" l="1"/>
  <c r="Z469" i="6" s="1"/>
  <c r="AA469" i="6" s="1"/>
  <c r="W470" i="6" s="1"/>
  <c r="E500" i="6"/>
  <c r="F500" i="6" s="1"/>
  <c r="G500" i="6" s="1"/>
  <c r="C501" i="6" s="1"/>
  <c r="E501" i="6" l="1"/>
  <c r="F501" i="6" s="1"/>
  <c r="G501" i="6" s="1"/>
  <c r="C502" i="6" s="1"/>
  <c r="Y470" i="6"/>
  <c r="Z470" i="6" s="1"/>
  <c r="AA470" i="6" s="1"/>
  <c r="W471" i="6" s="1"/>
  <c r="Y471" i="6" l="1"/>
  <c r="Z471" i="6" s="1"/>
  <c r="AA471" i="6" s="1"/>
  <c r="W472" i="6" s="1"/>
  <c r="E502" i="6"/>
  <c r="F502" i="6" s="1"/>
  <c r="G502" i="6" s="1"/>
  <c r="C503" i="6" s="1"/>
  <c r="E503" i="6" l="1"/>
  <c r="F503" i="6" s="1"/>
  <c r="G503" i="6" s="1"/>
  <c r="C504" i="6" s="1"/>
  <c r="Y472" i="6"/>
  <c r="Z472" i="6" s="1"/>
  <c r="AA472" i="6" s="1"/>
  <c r="W473" i="6" s="1"/>
  <c r="E504" i="6" l="1"/>
  <c r="F504" i="6" s="1"/>
  <c r="G504" i="6" s="1"/>
  <c r="C505" i="6" s="1"/>
  <c r="Y473" i="6"/>
  <c r="Z473" i="6" s="1"/>
  <c r="AA473" i="6" s="1"/>
  <c r="W474" i="6" s="1"/>
  <c r="Y474" i="6" l="1"/>
  <c r="Z474" i="6" s="1"/>
  <c r="AA474" i="6" s="1"/>
  <c r="W475" i="6" s="1"/>
  <c r="E505" i="6"/>
  <c r="F505" i="6" s="1"/>
  <c r="G505" i="6" s="1"/>
  <c r="C506" i="6" s="1"/>
  <c r="Y475" i="6" l="1"/>
  <c r="Z475" i="6" s="1"/>
  <c r="AA475" i="6" s="1"/>
  <c r="W476" i="6" s="1"/>
  <c r="E506" i="6"/>
  <c r="F506" i="6" s="1"/>
  <c r="G506" i="6" s="1"/>
  <c r="C507" i="6" s="1"/>
  <c r="Y476" i="6" l="1"/>
  <c r="Z476" i="6" s="1"/>
  <c r="AA476" i="6" s="1"/>
  <c r="W477" i="6" s="1"/>
  <c r="E507" i="6"/>
  <c r="F507" i="6" s="1"/>
  <c r="G507" i="6" s="1"/>
  <c r="C508" i="6" s="1"/>
  <c r="E508" i="6" l="1"/>
  <c r="F508" i="6" s="1"/>
  <c r="G508" i="6" s="1"/>
  <c r="C509" i="6" s="1"/>
  <c r="Y477" i="6"/>
  <c r="Z477" i="6" s="1"/>
  <c r="AA477" i="6" s="1"/>
  <c r="W478" i="6" s="1"/>
  <c r="Y478" i="6" l="1"/>
  <c r="Z478" i="6" s="1"/>
  <c r="AA478" i="6" s="1"/>
  <c r="W479" i="6" s="1"/>
  <c r="E509" i="6"/>
  <c r="F509" i="6" s="1"/>
  <c r="G509" i="6" s="1"/>
  <c r="C510" i="6" s="1"/>
  <c r="E510" i="6" l="1"/>
  <c r="F510" i="6" s="1"/>
  <c r="G510" i="6" s="1"/>
  <c r="C511" i="6" s="1"/>
  <c r="Y479" i="6"/>
  <c r="Z479" i="6" s="1"/>
  <c r="AA479" i="6" s="1"/>
  <c r="W480" i="6" s="1"/>
  <c r="Y480" i="6" l="1"/>
  <c r="Z480" i="6" s="1"/>
  <c r="AA480" i="6" s="1"/>
  <c r="W481" i="6" s="1"/>
  <c r="E511" i="6"/>
  <c r="F511" i="6" s="1"/>
  <c r="G511" i="6" s="1"/>
  <c r="C512" i="6" s="1"/>
  <c r="E512" i="6" l="1"/>
  <c r="F512" i="6" s="1"/>
  <c r="G512" i="6" s="1"/>
  <c r="C513" i="6" s="1"/>
  <c r="Y481" i="6"/>
  <c r="Z481" i="6" s="1"/>
  <c r="AA481" i="6" s="1"/>
  <c r="W482" i="6" s="1"/>
  <c r="Y482" i="6" l="1"/>
  <c r="Z482" i="6" s="1"/>
  <c r="AA482" i="6" s="1"/>
  <c r="W483" i="6" s="1"/>
  <c r="E513" i="6"/>
  <c r="F513" i="6" s="1"/>
  <c r="G513" i="6" s="1"/>
  <c r="C514" i="6" s="1"/>
  <c r="E514" i="6" l="1"/>
  <c r="F514" i="6" s="1"/>
  <c r="G514" i="6" s="1"/>
  <c r="C515" i="6" s="1"/>
  <c r="Y483" i="6"/>
  <c r="Z483" i="6" s="1"/>
  <c r="AA483" i="6" s="1"/>
  <c r="W484" i="6" s="1"/>
  <c r="E515" i="6" l="1"/>
  <c r="F515" i="6" s="1"/>
  <c r="G515" i="6" s="1"/>
  <c r="C516" i="6" s="1"/>
  <c r="Y484" i="6"/>
  <c r="Z484" i="6" s="1"/>
  <c r="AA484" i="6" s="1"/>
  <c r="W485" i="6" s="1"/>
  <c r="Y485" i="6" l="1"/>
  <c r="Z485" i="6" s="1"/>
  <c r="AA485" i="6" s="1"/>
  <c r="W486" i="6" s="1"/>
  <c r="E516" i="6"/>
  <c r="F516" i="6" s="1"/>
  <c r="G516" i="6" s="1"/>
  <c r="C517" i="6" s="1"/>
  <c r="E517" i="6" l="1"/>
  <c r="F517" i="6" s="1"/>
  <c r="G517" i="6"/>
  <c r="C518" i="6" s="1"/>
  <c r="Y486" i="6"/>
  <c r="Z486" i="6" s="1"/>
  <c r="AA486" i="6" s="1"/>
  <c r="W487" i="6" s="1"/>
  <c r="Y487" i="6" l="1"/>
  <c r="Z487" i="6" s="1"/>
  <c r="AA487" i="6" s="1"/>
  <c r="W488" i="6" s="1"/>
  <c r="E518" i="6"/>
  <c r="F518" i="6" s="1"/>
  <c r="G518" i="6" s="1"/>
  <c r="C519" i="6" s="1"/>
  <c r="E519" i="6" l="1"/>
  <c r="F519" i="6" s="1"/>
  <c r="G519" i="6"/>
  <c r="C520" i="6" s="1"/>
  <c r="Y488" i="6"/>
  <c r="Z488" i="6" s="1"/>
  <c r="AA488" i="6" s="1"/>
  <c r="W489" i="6" s="1"/>
  <c r="E520" i="6" l="1"/>
  <c r="F520" i="6" s="1"/>
  <c r="G520" i="6" s="1"/>
  <c r="C521" i="6" s="1"/>
  <c r="Y489" i="6"/>
  <c r="Z489" i="6" s="1"/>
  <c r="AA489" i="6" s="1"/>
  <c r="W490" i="6" s="1"/>
  <c r="Y490" i="6" l="1"/>
  <c r="Z490" i="6" s="1"/>
  <c r="AA490" i="6" s="1"/>
  <c r="W491" i="6" s="1"/>
  <c r="E521" i="6"/>
  <c r="F521" i="6" s="1"/>
  <c r="G521" i="6" s="1"/>
  <c r="C522" i="6" s="1"/>
  <c r="E522" i="6" l="1"/>
  <c r="F522" i="6" s="1"/>
  <c r="G522" i="6" s="1"/>
  <c r="C523" i="6" s="1"/>
  <c r="Y491" i="6"/>
  <c r="Z491" i="6" s="1"/>
  <c r="AA491" i="6" s="1"/>
  <c r="W492" i="6" s="1"/>
  <c r="Y492" i="6" l="1"/>
  <c r="Z492" i="6" s="1"/>
  <c r="AA492" i="6"/>
  <c r="W493" i="6" s="1"/>
  <c r="E523" i="6"/>
  <c r="F523" i="6" s="1"/>
  <c r="G523" i="6" s="1"/>
  <c r="C524" i="6" s="1"/>
  <c r="E524" i="6" l="1"/>
  <c r="F524" i="6" s="1"/>
  <c r="G524" i="6" s="1"/>
  <c r="C525" i="6" s="1"/>
  <c r="Y493" i="6"/>
  <c r="Z493" i="6" s="1"/>
  <c r="AA493" i="6" s="1"/>
  <c r="W494" i="6" s="1"/>
  <c r="Y494" i="6" l="1"/>
  <c r="Z494" i="6" s="1"/>
  <c r="AA494" i="6" s="1"/>
  <c r="W495" i="6" s="1"/>
  <c r="E525" i="6"/>
  <c r="F525" i="6" s="1"/>
  <c r="G525" i="6"/>
  <c r="C526" i="6" s="1"/>
  <c r="E526" i="6" l="1"/>
  <c r="F526" i="6" s="1"/>
  <c r="G526" i="6" s="1"/>
  <c r="C527" i="6" s="1"/>
  <c r="Y495" i="6"/>
  <c r="Z495" i="6" s="1"/>
  <c r="AA495" i="6" s="1"/>
  <c r="W496" i="6" s="1"/>
  <c r="Y496" i="6" l="1"/>
  <c r="Z496" i="6" s="1"/>
  <c r="AA496" i="6" s="1"/>
  <c r="W497" i="6" s="1"/>
  <c r="E527" i="6"/>
  <c r="F527" i="6" s="1"/>
  <c r="G527" i="6" s="1"/>
  <c r="C528" i="6" s="1"/>
  <c r="E528" i="6" l="1"/>
  <c r="F528" i="6" s="1"/>
  <c r="G528" i="6" s="1"/>
  <c r="C529" i="6" s="1"/>
  <c r="Y497" i="6"/>
  <c r="Z497" i="6" s="1"/>
  <c r="AA497" i="6" s="1"/>
  <c r="W498" i="6" s="1"/>
  <c r="Y498" i="6" l="1"/>
  <c r="Z498" i="6" s="1"/>
  <c r="AA498" i="6" s="1"/>
  <c r="W499" i="6" s="1"/>
  <c r="E529" i="6"/>
  <c r="F529" i="6" s="1"/>
  <c r="G529" i="6" s="1"/>
  <c r="C530" i="6" s="1"/>
  <c r="E530" i="6" l="1"/>
  <c r="F530" i="6" s="1"/>
  <c r="G530" i="6" s="1"/>
  <c r="C531" i="6" s="1"/>
  <c r="Y499" i="6"/>
  <c r="Z499" i="6" s="1"/>
  <c r="AA499" i="6" s="1"/>
  <c r="W500" i="6" s="1"/>
  <c r="Y500" i="6" l="1"/>
  <c r="Z500" i="6" s="1"/>
  <c r="AA500" i="6" s="1"/>
  <c r="W501" i="6" s="1"/>
  <c r="E531" i="6"/>
  <c r="F531" i="6" s="1"/>
  <c r="G531" i="6"/>
  <c r="C532" i="6" s="1"/>
  <c r="E532" i="6" l="1"/>
  <c r="F532" i="6" s="1"/>
  <c r="G532" i="6" s="1"/>
  <c r="C533" i="6" s="1"/>
  <c r="Y501" i="6"/>
  <c r="Z501" i="6" s="1"/>
  <c r="AA501" i="6" s="1"/>
  <c r="W502" i="6" s="1"/>
  <c r="Y502" i="6" l="1"/>
  <c r="Z502" i="6" s="1"/>
  <c r="AA502" i="6" s="1"/>
  <c r="W503" i="6" s="1"/>
  <c r="E533" i="6"/>
  <c r="F533" i="6" s="1"/>
  <c r="G533" i="6" s="1"/>
  <c r="C534" i="6" s="1"/>
  <c r="E534" i="6" l="1"/>
  <c r="F534" i="6" s="1"/>
  <c r="G534" i="6" s="1"/>
  <c r="C535" i="6" s="1"/>
  <c r="Y503" i="6"/>
  <c r="Z503" i="6" s="1"/>
  <c r="AA503" i="6" s="1"/>
  <c r="W504" i="6" s="1"/>
  <c r="E535" i="6" l="1"/>
  <c r="F535" i="6" s="1"/>
  <c r="G535" i="6" s="1"/>
  <c r="C536" i="6" s="1"/>
  <c r="Y504" i="6"/>
  <c r="Z504" i="6" s="1"/>
  <c r="AA504" i="6" s="1"/>
  <c r="W505" i="6" s="1"/>
  <c r="Y505" i="6" l="1"/>
  <c r="Z505" i="6" s="1"/>
  <c r="AA505" i="6" s="1"/>
  <c r="W506" i="6" s="1"/>
  <c r="E536" i="6"/>
  <c r="F536" i="6" s="1"/>
  <c r="G536" i="6" s="1"/>
  <c r="C537" i="6" s="1"/>
  <c r="E537" i="6" l="1"/>
  <c r="F537" i="6" s="1"/>
  <c r="G537" i="6"/>
  <c r="Y506" i="6"/>
  <c r="Z506" i="6" s="1"/>
  <c r="AA506" i="6" s="1"/>
  <c r="W507" i="6" s="1"/>
  <c r="Y507" i="6" l="1"/>
  <c r="Z507" i="6" s="1"/>
  <c r="AA507" i="6" s="1"/>
  <c r="W508" i="6" s="1"/>
  <c r="Y508" i="6" l="1"/>
  <c r="Z508" i="6" s="1"/>
  <c r="AA508" i="6" s="1"/>
  <c r="W509" i="6" s="1"/>
  <c r="Y509" i="6" l="1"/>
  <c r="Z509" i="6" s="1"/>
  <c r="AA509" i="6" s="1"/>
  <c r="W510" i="6" s="1"/>
  <c r="Y510" i="6" l="1"/>
  <c r="Z510" i="6" s="1"/>
  <c r="AA510" i="6" s="1"/>
  <c r="W511" i="6" s="1"/>
  <c r="Y511" i="6" l="1"/>
  <c r="Z511" i="6" s="1"/>
  <c r="AA511" i="6" s="1"/>
  <c r="W512" i="6" s="1"/>
  <c r="Y512" i="6" l="1"/>
  <c r="Z512" i="6" s="1"/>
  <c r="AA512" i="6" s="1"/>
  <c r="W513" i="6" s="1"/>
  <c r="Y513" i="6" l="1"/>
  <c r="Z513" i="6" s="1"/>
  <c r="AA513" i="6" s="1"/>
  <c r="W514" i="6" s="1"/>
  <c r="Y514" i="6" l="1"/>
  <c r="Z514" i="6" s="1"/>
  <c r="AA514" i="6" s="1"/>
  <c r="W515" i="6" s="1"/>
  <c r="Y515" i="6" l="1"/>
  <c r="Z515" i="6" s="1"/>
  <c r="AA515" i="6" s="1"/>
  <c r="W516" i="6" s="1"/>
  <c r="Y516" i="6" l="1"/>
  <c r="Z516" i="6" s="1"/>
  <c r="AA516" i="6" s="1"/>
  <c r="W517" i="6" s="1"/>
  <c r="Y517" i="6" l="1"/>
  <c r="Z517" i="6" s="1"/>
  <c r="AA517" i="6" s="1"/>
  <c r="W518" i="6" s="1"/>
  <c r="Y518" i="6" l="1"/>
  <c r="Z518" i="6" s="1"/>
  <c r="AA518" i="6" s="1"/>
  <c r="W519" i="6" s="1"/>
  <c r="Y519" i="6" l="1"/>
  <c r="Z519" i="6" s="1"/>
  <c r="AA519" i="6" s="1"/>
  <c r="W520" i="6" s="1"/>
  <c r="Y520" i="6" l="1"/>
  <c r="Z520" i="6" s="1"/>
  <c r="AA520" i="6" s="1"/>
  <c r="W521" i="6" s="1"/>
  <c r="Y521" i="6" l="1"/>
  <c r="Z521" i="6" s="1"/>
  <c r="AA521" i="6" s="1"/>
  <c r="W522" i="6" s="1"/>
  <c r="Y522" i="6" l="1"/>
  <c r="Z522" i="6" s="1"/>
  <c r="AA522" i="6" s="1"/>
  <c r="W523" i="6" s="1"/>
  <c r="Y523" i="6" l="1"/>
  <c r="Z523" i="6" s="1"/>
  <c r="AA523" i="6" s="1"/>
  <c r="W524" i="6" s="1"/>
  <c r="Y524" i="6" l="1"/>
  <c r="Z524" i="6" s="1"/>
  <c r="AA524" i="6"/>
  <c r="W525" i="6" s="1"/>
  <c r="Y525" i="6" l="1"/>
  <c r="Z525" i="6" s="1"/>
  <c r="AA525" i="6" s="1"/>
  <c r="W526" i="6" s="1"/>
  <c r="Y526" i="6" l="1"/>
  <c r="Z526" i="6" s="1"/>
  <c r="AA526" i="6" s="1"/>
  <c r="W527" i="6" s="1"/>
  <c r="Y527" i="6" l="1"/>
  <c r="Z527" i="6" s="1"/>
  <c r="AA527" i="6" s="1"/>
  <c r="W528" i="6" s="1"/>
  <c r="Y528" i="6" l="1"/>
  <c r="Z528" i="6" s="1"/>
  <c r="AA528" i="6" s="1"/>
  <c r="W529" i="6" s="1"/>
  <c r="Y529" i="6" l="1"/>
  <c r="Z529" i="6" s="1"/>
  <c r="AA529" i="6" s="1"/>
  <c r="W530" i="6" s="1"/>
  <c r="Y530" i="6" l="1"/>
  <c r="Z530" i="6" s="1"/>
  <c r="AA530" i="6" s="1"/>
  <c r="W531" i="6" s="1"/>
  <c r="Y531" i="6" l="1"/>
  <c r="Z531" i="6" s="1"/>
  <c r="AA531" i="6" s="1"/>
  <c r="W532" i="6" s="1"/>
  <c r="Y532" i="6" l="1"/>
  <c r="Z532" i="6" s="1"/>
  <c r="AA532" i="6" s="1"/>
  <c r="W533" i="6" s="1"/>
  <c r="Y533" i="6" l="1"/>
  <c r="Z533" i="6" s="1"/>
  <c r="AA533" i="6" s="1"/>
  <c r="W534" i="6" s="1"/>
  <c r="Y534" i="6" l="1"/>
  <c r="Z534" i="6" s="1"/>
  <c r="AA534" i="6" s="1"/>
  <c r="W535" i="6" s="1"/>
  <c r="Y535" i="6" l="1"/>
  <c r="Z535" i="6" s="1"/>
  <c r="AA535" i="6" s="1"/>
  <c r="W536" i="6" s="1"/>
  <c r="Y536" i="6" l="1"/>
  <c r="Z536" i="6" s="1"/>
  <c r="AA536" i="6"/>
  <c r="W537" i="6" s="1"/>
  <c r="Y537" i="6" l="1"/>
  <c r="Z537" i="6" s="1"/>
  <c r="AA537" i="6" s="1"/>
  <c r="AO18" i="2" l="1"/>
  <c r="AO27" i="2" s="1"/>
  <c r="AP18" i="2" l="1"/>
  <c r="AP27" i="2" s="1"/>
  <c r="AP32" i="2" s="1"/>
  <c r="H16" i="5"/>
  <c r="AO32" i="2"/>
  <c r="AA43" i="2"/>
  <c r="AQ18" i="2"/>
  <c r="AQ27" i="2" s="1"/>
  <c r="I16" i="5" l="1"/>
  <c r="AP47" i="2"/>
  <c r="I17" i="5" s="1"/>
  <c r="AO47" i="2"/>
  <c r="H17" i="5" s="1"/>
  <c r="AR18" i="2"/>
  <c r="AR27" i="2" s="1"/>
  <c r="AO49" i="2" l="1"/>
  <c r="AO53" i="2" s="1"/>
  <c r="H19" i="5" s="1"/>
  <c r="H71" i="5" s="1"/>
  <c r="AP49" i="2"/>
  <c r="AP53" i="2" s="1"/>
  <c r="I19" i="5" s="1"/>
  <c r="H37" i="5" s="1"/>
  <c r="AS18" i="2"/>
  <c r="AS27" i="2" s="1"/>
  <c r="AQ32" i="2"/>
  <c r="J16" i="5"/>
  <c r="G37" i="5" l="1"/>
  <c r="G38" i="5" s="1"/>
  <c r="G43" i="5" s="1"/>
  <c r="H23" i="5"/>
  <c r="M48" i="5" s="1"/>
  <c r="H31" i="5"/>
  <c r="I31" i="5"/>
  <c r="I23" i="5"/>
  <c r="M49" i="5" s="1"/>
  <c r="I71" i="5"/>
  <c r="AQ47" i="2"/>
  <c r="AQ49" i="2" s="1"/>
  <c r="AQ53" i="2" s="1"/>
  <c r="J19" i="5" s="1"/>
  <c r="J31" i="5" s="1"/>
  <c r="J48" i="5"/>
  <c r="I48" i="5"/>
  <c r="H30" i="5"/>
  <c r="L48" i="5"/>
  <c r="K48" i="5"/>
  <c r="AT18" i="2"/>
  <c r="AT27" i="2" s="1"/>
  <c r="K16" i="5"/>
  <c r="AR32" i="2"/>
  <c r="H38" i="5"/>
  <c r="H48" i="5" s="1"/>
  <c r="H45" i="5" s="1"/>
  <c r="N48" i="5" l="1"/>
  <c r="O48" i="5"/>
  <c r="P48" i="5"/>
  <c r="K49" i="5"/>
  <c r="P49" i="5"/>
  <c r="I30" i="5"/>
  <c r="I72" i="5" s="1"/>
  <c r="N49" i="5"/>
  <c r="O49" i="5"/>
  <c r="L49" i="5"/>
  <c r="J49" i="5"/>
  <c r="J71" i="5"/>
  <c r="J23" i="5"/>
  <c r="M50" i="5" s="1"/>
  <c r="AR47" i="2"/>
  <c r="K17" i="5" s="1"/>
  <c r="I37" i="5"/>
  <c r="I38" i="5" s="1"/>
  <c r="I49" i="5" s="1"/>
  <c r="I45" i="5" s="1"/>
  <c r="J17" i="5"/>
  <c r="G47" i="5"/>
  <c r="G45" i="5" s="1"/>
  <c r="H43" i="5"/>
  <c r="H69" i="5" s="1"/>
  <c r="M60" i="5"/>
  <c r="O60" i="5"/>
  <c r="J60" i="5"/>
  <c r="L60" i="5"/>
  <c r="H72" i="5"/>
  <c r="K60" i="5"/>
  <c r="P60" i="5"/>
  <c r="N60" i="5"/>
  <c r="I60" i="5"/>
  <c r="G69" i="5"/>
  <c r="G59" i="5"/>
  <c r="G57" i="5" s="1"/>
  <c r="AU18" i="2"/>
  <c r="AU27" i="2" s="1"/>
  <c r="L16" i="5"/>
  <c r="AS32" i="2"/>
  <c r="O61" i="5" l="1"/>
  <c r="N61" i="5"/>
  <c r="AR49" i="2"/>
  <c r="AR53" i="2" s="1"/>
  <c r="K19" i="5" s="1"/>
  <c r="K23" i="5" s="1"/>
  <c r="P61" i="5"/>
  <c r="K61" i="5"/>
  <c r="M61" i="5"/>
  <c r="J61" i="5"/>
  <c r="L61" i="5"/>
  <c r="N50" i="5"/>
  <c r="P50" i="5"/>
  <c r="L50" i="5"/>
  <c r="O50" i="5"/>
  <c r="K50" i="5"/>
  <c r="J30" i="5"/>
  <c r="M62" i="5" s="1"/>
  <c r="AS47" i="2"/>
  <c r="L17" i="5" s="1"/>
  <c r="H60" i="5"/>
  <c r="H57" i="5" s="1"/>
  <c r="I43" i="5"/>
  <c r="I61" i="5" s="1"/>
  <c r="I57" i="5" s="1"/>
  <c r="F22" i="10"/>
  <c r="K71" i="5"/>
  <c r="K31" i="5"/>
  <c r="AV18" i="2"/>
  <c r="AV27" i="2" s="1"/>
  <c r="AT32" i="2"/>
  <c r="M16" i="5"/>
  <c r="AS49" i="2" l="1"/>
  <c r="AS53" i="2" s="1"/>
  <c r="L19" i="5" s="1"/>
  <c r="L23" i="5" s="1"/>
  <c r="J37" i="5"/>
  <c r="O62" i="5"/>
  <c r="K62" i="5"/>
  <c r="N62" i="5"/>
  <c r="L62" i="5"/>
  <c r="J72" i="5"/>
  <c r="P62" i="5"/>
  <c r="AT47" i="2"/>
  <c r="AT49" i="2" s="1"/>
  <c r="AT53" i="2" s="1"/>
  <c r="M19" i="5" s="1"/>
  <c r="L37" i="5" s="1"/>
  <c r="I69" i="5"/>
  <c r="AU32" i="2"/>
  <c r="N16" i="5"/>
  <c r="J38" i="5"/>
  <c r="J43" i="5" s="1"/>
  <c r="N51" i="5"/>
  <c r="O51" i="5"/>
  <c r="L51" i="5"/>
  <c r="P51" i="5"/>
  <c r="K30" i="5"/>
  <c r="M51" i="5"/>
  <c r="AW18" i="2"/>
  <c r="AW27" i="2" s="1"/>
  <c r="L31" i="5" l="1"/>
  <c r="L71" i="5"/>
  <c r="K37" i="5"/>
  <c r="AU47" i="2"/>
  <c r="N17" i="5" s="1"/>
  <c r="M17" i="5"/>
  <c r="M31" i="5"/>
  <c r="M71" i="5"/>
  <c r="M23" i="5"/>
  <c r="N53" i="5" s="1"/>
  <c r="J62" i="5"/>
  <c r="J57" i="5" s="1"/>
  <c r="J69" i="5"/>
  <c r="F24" i="10"/>
  <c r="K38" i="5"/>
  <c r="K43" i="5" s="1"/>
  <c r="K63" i="5" s="1"/>
  <c r="K57" i="5" s="1"/>
  <c r="C14" i="10" s="1"/>
  <c r="AX18" i="2"/>
  <c r="AX27" i="2" s="1"/>
  <c r="M63" i="5"/>
  <c r="K72" i="5"/>
  <c r="P63" i="5"/>
  <c r="O63" i="5"/>
  <c r="N63" i="5"/>
  <c r="L63" i="5"/>
  <c r="AV32" i="2"/>
  <c r="O16" i="5"/>
  <c r="L38" i="5"/>
  <c r="L52" i="5" s="1"/>
  <c r="L45" i="5" s="1"/>
  <c r="J50" i="5"/>
  <c r="J45" i="5" s="1"/>
  <c r="N52" i="5"/>
  <c r="P52" i="5"/>
  <c r="O52" i="5"/>
  <c r="M52" i="5"/>
  <c r="L30" i="5"/>
  <c r="AU49" i="2" l="1"/>
  <c r="AU53" i="2" s="1"/>
  <c r="N19" i="5" s="1"/>
  <c r="P53" i="5"/>
  <c r="M30" i="5"/>
  <c r="M72" i="5" s="1"/>
  <c r="AV47" i="2"/>
  <c r="O17" i="5" s="1"/>
  <c r="O53" i="5"/>
  <c r="L43" i="5"/>
  <c r="L69" i="5" s="1"/>
  <c r="K69" i="5"/>
  <c r="C15" i="10" s="1"/>
  <c r="Q16" i="5"/>
  <c r="AX32" i="2"/>
  <c r="F26" i="10"/>
  <c r="F27" i="10"/>
  <c r="F25" i="10"/>
  <c r="F28" i="10"/>
  <c r="F31" i="10"/>
  <c r="F32" i="10" s="1"/>
  <c r="K51" i="5"/>
  <c r="K45" i="5" s="1"/>
  <c r="L72" i="5"/>
  <c r="P64" i="5"/>
  <c r="N64" i="5"/>
  <c r="M64" i="5"/>
  <c r="O64" i="5"/>
  <c r="AW32" i="2"/>
  <c r="P16" i="5"/>
  <c r="N71" i="5" l="1"/>
  <c r="M37" i="5"/>
  <c r="M38" i="5" s="1"/>
  <c r="M43" i="5" s="1"/>
  <c r="M65" i="5" s="1"/>
  <c r="M57" i="5" s="1"/>
  <c r="N31" i="5"/>
  <c r="N23" i="5"/>
  <c r="N65" i="5"/>
  <c r="O65" i="5"/>
  <c r="P65" i="5"/>
  <c r="AX47" i="2"/>
  <c r="Q17" i="5" s="1"/>
  <c r="AW47" i="2"/>
  <c r="P17" i="5" s="1"/>
  <c r="AV49" i="2"/>
  <c r="AV53" i="2" s="1"/>
  <c r="O19" i="5" s="1"/>
  <c r="N37" i="5" s="1"/>
  <c r="N38" i="5" s="1"/>
  <c r="N43" i="5" s="1"/>
  <c r="L64" i="5"/>
  <c r="L57" i="5" s="1"/>
  <c r="M69" i="5"/>
  <c r="M53" i="5" l="1"/>
  <c r="M45" i="5" s="1"/>
  <c r="P54" i="5"/>
  <c r="O54" i="5"/>
  <c r="N30" i="5"/>
  <c r="N66" i="5" s="1"/>
  <c r="N57" i="5" s="1"/>
  <c r="AW49" i="2"/>
  <c r="AW53" i="2" s="1"/>
  <c r="P19" i="5" s="1"/>
  <c r="P23" i="5" s="1"/>
  <c r="AX49" i="2"/>
  <c r="AX53" i="2" s="1"/>
  <c r="Q19" i="5" s="1"/>
  <c r="P37" i="5" s="1"/>
  <c r="P38" i="5" s="1"/>
  <c r="P43" i="5" s="1"/>
  <c r="O23" i="5"/>
  <c r="P55" i="5" s="1"/>
  <c r="O71" i="5"/>
  <c r="O31" i="5"/>
  <c r="N54" i="5"/>
  <c r="N45" i="5" s="1"/>
  <c r="N72" i="5" l="1"/>
  <c r="O66" i="5"/>
  <c r="P66" i="5"/>
  <c r="O37" i="5"/>
  <c r="O38" i="5" s="1"/>
  <c r="O55" i="5" s="1"/>
  <c r="O45" i="5" s="1"/>
  <c r="N69" i="5"/>
  <c r="P71" i="5"/>
  <c r="P31" i="5"/>
  <c r="O30" i="5"/>
  <c r="P67" i="5" s="1"/>
  <c r="P30" i="5"/>
  <c r="P56" i="5"/>
  <c r="P45" i="5" s="1"/>
  <c r="O72" i="5" l="1"/>
  <c r="O43" i="5"/>
  <c r="P68" i="5"/>
  <c r="P57" i="5" s="1"/>
  <c r="P72" i="5"/>
  <c r="P69" i="5"/>
  <c r="O69" i="5" l="1"/>
  <c r="O67" i="5"/>
  <c r="O57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3F35E1-49B3-4BB7-87A0-495F3BCC5C91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40833BD-A946-40ED-93C2-B5EED1A84E51}" name="WorksheetConnection_Sheet1!$B$2:$J$29" type="102" refreshedVersion="6" minRefreshableVersion="5">
    <extLst>
      <ext xmlns:x15="http://schemas.microsoft.com/office/spreadsheetml/2010/11/main" uri="{DE250136-89BD-433C-8126-D09CA5730AF9}">
        <x15:connection id="Range">
          <x15:rangePr sourceName="_xlcn.WorksheetConnection_Sheet1B2J29"/>
        </x15:connection>
      </ext>
    </extLst>
  </connection>
</connections>
</file>

<file path=xl/sharedStrings.xml><?xml version="1.0" encoding="utf-8"?>
<sst xmlns="http://schemas.openxmlformats.org/spreadsheetml/2006/main" count="347" uniqueCount="214">
  <si>
    <t>Two BR/One BA</t>
  </si>
  <si>
    <t>Total/Avg:</t>
  </si>
  <si>
    <t>Gross Potential Rent</t>
  </si>
  <si>
    <t>T12</t>
  </si>
  <si>
    <t>T3/T12</t>
  </si>
  <si>
    <t>Per Unit</t>
  </si>
  <si>
    <t>Units:</t>
  </si>
  <si>
    <t>Income</t>
  </si>
  <si>
    <t>Gain (Loss) to Lease</t>
  </si>
  <si>
    <t>Total GPR</t>
  </si>
  <si>
    <t>Concession</t>
  </si>
  <si>
    <t>Vacancy Loss</t>
  </si>
  <si>
    <t>Bad Debt</t>
  </si>
  <si>
    <t>Net Effective</t>
  </si>
  <si>
    <t>Employee Discounts</t>
  </si>
  <si>
    <t>Model Unit Loss</t>
  </si>
  <si>
    <t>Garage/Parking</t>
  </si>
  <si>
    <t>Laundry</t>
  </si>
  <si>
    <t>Utility Reimbursement</t>
  </si>
  <si>
    <t>Water/Sewer</t>
  </si>
  <si>
    <t>Trash</t>
  </si>
  <si>
    <t>Gas</t>
  </si>
  <si>
    <t>Electricity</t>
  </si>
  <si>
    <t>Other</t>
  </si>
  <si>
    <t xml:space="preserve">Other </t>
  </si>
  <si>
    <t>Effective Gross Income</t>
  </si>
  <si>
    <t>Expenses</t>
  </si>
  <si>
    <t>Administrative</t>
  </si>
  <si>
    <t>Marketing</t>
  </si>
  <si>
    <t>Management Fee</t>
  </si>
  <si>
    <t>Payroll</t>
  </si>
  <si>
    <t>Utilities</t>
  </si>
  <si>
    <t>R&amp;M</t>
  </si>
  <si>
    <t>Turnover</t>
  </si>
  <si>
    <t>Contract Services</t>
  </si>
  <si>
    <t>Insurance</t>
  </si>
  <si>
    <t>Total Expenses</t>
  </si>
  <si>
    <t>T3</t>
  </si>
  <si>
    <t>Net Operating Income</t>
  </si>
  <si>
    <t>Historical Financials</t>
  </si>
  <si>
    <t>FY1</t>
  </si>
  <si>
    <t>Rev/Exp Trends</t>
  </si>
  <si>
    <t>% GPR or EGI</t>
  </si>
  <si>
    <t>FY1 Metrics</t>
  </si>
  <si>
    <t>Reserves</t>
  </si>
  <si>
    <t>NOI After Reserves</t>
  </si>
  <si>
    <t>FY3</t>
  </si>
  <si>
    <t>FY4</t>
  </si>
  <si>
    <t>FY5</t>
  </si>
  <si>
    <t>FY6</t>
  </si>
  <si>
    <t>FY7</t>
  </si>
  <si>
    <t>FY8</t>
  </si>
  <si>
    <t>FY9</t>
  </si>
  <si>
    <t>FY10</t>
  </si>
  <si>
    <t>FY11</t>
  </si>
  <si>
    <t>FY2</t>
  </si>
  <si>
    <t>Assumptions FY1-FY11</t>
  </si>
  <si>
    <t>*Starting FY3 Vacancy and Bad Debt assumptions are by % of GPR</t>
  </si>
  <si>
    <t>10-Year Cashflow</t>
  </si>
  <si>
    <t>Assumption made above</t>
  </si>
  <si>
    <t>Assumption made elsewhere and summarized above</t>
  </si>
  <si>
    <t>Key:</t>
  </si>
  <si>
    <t>Capital</t>
  </si>
  <si>
    <t>Operating Cash Flow</t>
  </si>
  <si>
    <t>Purchase/Disposition</t>
  </si>
  <si>
    <t>Acquisition</t>
  </si>
  <si>
    <t>Residual Value</t>
  </si>
  <si>
    <t>Cost of Sale</t>
  </si>
  <si>
    <t>Purchase</t>
  </si>
  <si>
    <t>Financing</t>
  </si>
  <si>
    <t>Loan 1 Payoff</t>
  </si>
  <si>
    <t>Loan 1 Principal</t>
  </si>
  <si>
    <t>Loan 1 Interest</t>
  </si>
  <si>
    <t>Cash Flow After Debt</t>
  </si>
  <si>
    <t>Beg. Balance</t>
  </si>
  <si>
    <t>PMT</t>
  </si>
  <si>
    <t>Interest</t>
  </si>
  <si>
    <t>Principal</t>
  </si>
  <si>
    <t>End Balance</t>
  </si>
  <si>
    <t>Month</t>
  </si>
  <si>
    <t>No</t>
  </si>
  <si>
    <t>Residual Cap Rate</t>
  </si>
  <si>
    <t>Net Sale Proceeds</t>
  </si>
  <si>
    <t>Yr</t>
  </si>
  <si>
    <t>Loan 1</t>
  </si>
  <si>
    <t>Loan 2</t>
  </si>
  <si>
    <t>PMT Left</t>
  </si>
  <si>
    <t>Yes</t>
  </si>
  <si>
    <t>Primary Financing</t>
  </si>
  <si>
    <t>Secondary Financing</t>
  </si>
  <si>
    <t>Number of Years</t>
  </si>
  <si>
    <t>Total LTV</t>
  </si>
  <si>
    <t>DSCR</t>
  </si>
  <si>
    <t>Three BR/Two BA</t>
  </si>
  <si>
    <t>*Always % of EGI</t>
  </si>
  <si>
    <t>All-Cash Basis</t>
  </si>
  <si>
    <t>Leveraged Basis</t>
  </si>
  <si>
    <t>Price:</t>
  </si>
  <si>
    <t>Price Per Unit:</t>
  </si>
  <si>
    <t>Cap Rates</t>
  </si>
  <si>
    <t>FY1:</t>
  </si>
  <si>
    <t>FY1 Adjusted: Post-Sale RE Tax:</t>
  </si>
  <si>
    <t>Special Assessment</t>
  </si>
  <si>
    <t>Payable</t>
  </si>
  <si>
    <t>Assessment Year</t>
  </si>
  <si>
    <t>Payable Year</t>
  </si>
  <si>
    <t>Tax Rate</t>
  </si>
  <si>
    <t>Apt. RE Taxes</t>
  </si>
  <si>
    <t>Assessment</t>
  </si>
  <si>
    <t>Price</t>
  </si>
  <si>
    <t>Capital Assumptions</t>
  </si>
  <si>
    <t>Working Capital Amount:</t>
  </si>
  <si>
    <t>Number of Years:</t>
  </si>
  <si>
    <t>Source 1</t>
  </si>
  <si>
    <t>Stabilized Cap Rate Today:</t>
  </si>
  <si>
    <t>Brokerage Commission:</t>
  </si>
  <si>
    <t>Occupancy:</t>
  </si>
  <si>
    <t>Other Closing Costs:</t>
  </si>
  <si>
    <t>Additional Working Capital</t>
  </si>
  <si>
    <t xml:space="preserve"> Capital Contingencies</t>
  </si>
  <si>
    <t>Working Capital Amount</t>
  </si>
  <si>
    <t>Type</t>
  </si>
  <si>
    <t>Unit Count</t>
  </si>
  <si>
    <t>Monthly Rent</t>
  </si>
  <si>
    <t>Studio</t>
  </si>
  <si>
    <t>One BR</t>
  </si>
  <si>
    <t>Two BR/Two BA</t>
  </si>
  <si>
    <t>Occupied Units:</t>
  </si>
  <si>
    <t>Vacant Units:</t>
  </si>
  <si>
    <t>One BR + Den</t>
  </si>
  <si>
    <t>Assessment Amount</t>
  </si>
  <si>
    <t>Discount</t>
  </si>
  <si>
    <t>Net Payable</t>
  </si>
  <si>
    <t>Reassessment Post Sale:</t>
  </si>
  <si>
    <t>Reassessment Year:</t>
  </si>
  <si>
    <t>RE Tax Increase Non-Reassessment Years:</t>
  </si>
  <si>
    <t>Proforma Year</t>
  </si>
  <si>
    <t>Assessment Increase</t>
  </si>
  <si>
    <t>Assessment/Payable Year</t>
  </si>
  <si>
    <t>Escrow/Closing</t>
  </si>
  <si>
    <t>Equity Multiple:</t>
  </si>
  <si>
    <t>Name:</t>
  </si>
  <si>
    <t>Address:</t>
  </si>
  <si>
    <t>City/State:</t>
  </si>
  <si>
    <t>Parking Spaces:</t>
  </si>
  <si>
    <t>Parking Ratio:</t>
  </si>
  <si>
    <t>General Property Information</t>
  </si>
  <si>
    <t>Pricing</t>
  </si>
  <si>
    <t>Leveraged IRR:</t>
  </si>
  <si>
    <t>Hold Period (Years):</t>
  </si>
  <si>
    <t>T3/T12:</t>
  </si>
  <si>
    <t>Debt Name:</t>
  </si>
  <si>
    <t>LTV:</t>
  </si>
  <si>
    <t>Loan Amount:</t>
  </si>
  <si>
    <t>Int. Rate:</t>
  </si>
  <si>
    <t>Term:</t>
  </si>
  <si>
    <t>Amortization:</t>
  </si>
  <si>
    <t>Loan Cost:</t>
  </si>
  <si>
    <t>Financing Loan 1</t>
  </si>
  <si>
    <t>Assumption?</t>
  </si>
  <si>
    <t>Interest Only Months:</t>
  </si>
  <si>
    <t>Assumption Month:</t>
  </si>
  <si>
    <t>Financing Loan 2</t>
  </si>
  <si>
    <t>Stabilized Cap Today:</t>
  </si>
  <si>
    <t>Increment/Yr:</t>
  </si>
  <si>
    <t>Closing/Residual Assumptions</t>
  </si>
  <si>
    <t>Other Closing Costs Upon Sale:</t>
  </si>
  <si>
    <t>Total Residual Sale Cost:</t>
  </si>
  <si>
    <t>Source 2</t>
  </si>
  <si>
    <t>Assumption:</t>
  </si>
  <si>
    <t>Ass. Month:</t>
  </si>
  <si>
    <t>I/O (Months):</t>
  </si>
  <si>
    <t>I/O Mon.PMT:</t>
  </si>
  <si>
    <t>Cap Rate Increment/Year:</t>
  </si>
  <si>
    <t>Escrow Costs (Year 0):</t>
  </si>
  <si>
    <t>All Cash IRR:</t>
  </si>
  <si>
    <t>Levered IRR:</t>
  </si>
  <si>
    <t>All Cash Return:</t>
  </si>
  <si>
    <t>Cash on Cash Return:</t>
  </si>
  <si>
    <t>Brokerage Commission @ Sale:</t>
  </si>
  <si>
    <t>&lt;&lt;&lt; Click Logo to visit the Tactica website</t>
  </si>
  <si>
    <t>Average Rent</t>
  </si>
  <si>
    <t>Escrow/Closing Costs (Year 0)</t>
  </si>
  <si>
    <t>over rent roll</t>
  </si>
  <si>
    <t>Measurement:</t>
  </si>
  <si>
    <t>U.S.</t>
  </si>
  <si>
    <t>Parcel(s):</t>
  </si>
  <si>
    <t>12-234-567-8910</t>
  </si>
  <si>
    <t>Known Tax Info</t>
  </si>
  <si>
    <t>I/O Months Left:</t>
  </si>
  <si>
    <t>*Scenario:</t>
  </si>
  <si>
    <t>*Scenario that flows into proforma</t>
  </si>
  <si>
    <t>(3) Assumption During IO Period</t>
  </si>
  <si>
    <t>(1) Free &amp; Clear</t>
  </si>
  <si>
    <t>(2) Assumption</t>
  </si>
  <si>
    <t>Residual Assumptions</t>
  </si>
  <si>
    <t>Residual NOI:</t>
  </si>
  <si>
    <t>Residual Cap Rate:</t>
  </si>
  <si>
    <t>Residual Sales Price:</t>
  </si>
  <si>
    <t>Residual Sales Price Per Unit:</t>
  </si>
  <si>
    <t>Residual Sales Price Per SF:</t>
  </si>
  <si>
    <t>Projected Aggregate Appreciation:</t>
  </si>
  <si>
    <t>Projected Appreciation Annualized:</t>
  </si>
  <si>
    <t>Loan Paydown:</t>
  </si>
  <si>
    <t>Sale Cost:</t>
  </si>
  <si>
    <t>Total Sales Proceeds:</t>
  </si>
  <si>
    <r>
      <rPr>
        <b/>
        <sz val="14"/>
        <color rgb="FFFF0000"/>
        <rFont val="Segoe UI Black"/>
        <family val="2"/>
      </rPr>
      <t>Disclaimer:</t>
    </r>
    <r>
      <rPr>
        <sz val="14"/>
        <color rgb="FF404040"/>
        <rFont val="Segoe UI Black"/>
        <family val="2"/>
      </rPr>
      <t xml:space="preserve"> Workbook may contain errors and inaccuracies. Please verify formulas, calculations and logic for yourself. The workbook is meant to be utilized as a learning tool and should not be depended on when making financial decisions and assessing the feasibility of an investment. </t>
    </r>
  </si>
  <si>
    <t>This template contains affiliate links and we may earn a commission if you transact with our affiliate patners.</t>
  </si>
  <si>
    <t>Please pay attention to your emails from Tactica RES as there will be updates on bug fixes, improved functionality, and new proforma models.</t>
  </si>
  <si>
    <t>2022/2023</t>
  </si>
  <si>
    <t>Copyright © 2023 Tactica RES LLC. All Rights Reserved.</t>
  </si>
  <si>
    <t>-</t>
  </si>
  <si>
    <t>Learn How To Use This Spreadsheet:</t>
  </si>
  <si>
    <t>https://www.tacticares.com/blog-feed/multifamily-apartment-proforma-excel-template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</si>
</sst>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&quot;$&quot;#,##0"/>
    <numFmt numFmtId="165" formatCode="&quot;$&quot;#,##0.00"/>
    <numFmt numFmtId="166" formatCode="0.00%;\(0.00%\)"/>
    <numFmt numFmtId="167" formatCode="_(* #,##0.00_);_(* \(#,##0.00\);_(* &quot;-&quot;_);_(@_)"/>
    <numFmt numFmtId="168" formatCode="0.0%;\(0.0%\)"/>
    <numFmt numFmtId="169" formatCode="0.000%"/>
    <numFmt numFmtId="170" formatCode="&quot;$&quot;#,##0.0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 Black"/>
      <family val="2"/>
    </font>
    <font>
      <sz val="11"/>
      <color theme="0"/>
      <name val="Segoe UI Black"/>
      <family val="2"/>
    </font>
    <font>
      <sz val="11"/>
      <name val="Segoe UI Black"/>
      <family val="2"/>
    </font>
    <font>
      <sz val="8"/>
      <color theme="1"/>
      <name val="Segoe UI Black"/>
      <family val="2"/>
    </font>
    <font>
      <sz val="12"/>
      <color theme="1"/>
      <name val="Segoe UI Black"/>
      <family val="2"/>
    </font>
    <font>
      <sz val="10"/>
      <color theme="1"/>
      <name val="Segoe UI Black"/>
      <family val="2"/>
    </font>
    <font>
      <sz val="9"/>
      <color theme="1"/>
      <name val="Segoe UI Black"/>
      <family val="2"/>
    </font>
    <font>
      <sz val="9"/>
      <color theme="0"/>
      <name val="Segoe UI Black"/>
      <family val="2"/>
    </font>
    <font>
      <sz val="10"/>
      <color theme="0"/>
      <name val="Segoe UI Black"/>
      <family val="2"/>
    </font>
    <font>
      <i/>
      <sz val="9"/>
      <color theme="1"/>
      <name val="Segoe UI Black"/>
      <family val="2"/>
    </font>
    <font>
      <sz val="10"/>
      <color theme="1" tint="0.34998626667073579"/>
      <name val="Segoe UI Black"/>
      <family val="2"/>
    </font>
    <font>
      <i/>
      <sz val="10"/>
      <color theme="1"/>
      <name val="Segoe UI Black"/>
      <family val="2"/>
    </font>
    <font>
      <sz val="10"/>
      <name val="Segoe UI Black"/>
      <family val="2"/>
    </font>
    <font>
      <sz val="11"/>
      <color theme="4" tint="-0.499984740745262"/>
      <name val="Segoe UI Black"/>
      <family val="2"/>
    </font>
    <font>
      <sz val="10"/>
      <color theme="4" tint="-0.499984740745262"/>
      <name val="Segoe UI Black"/>
      <family val="2"/>
    </font>
    <font>
      <sz val="9"/>
      <color theme="4" tint="-0.499984740745262"/>
      <name val="Segoe UI Black"/>
      <family val="2"/>
    </font>
    <font>
      <sz val="8"/>
      <name val="Calibri"/>
      <family val="2"/>
      <scheme val="minor"/>
    </font>
    <font>
      <i/>
      <sz val="10"/>
      <color theme="4" tint="-0.499984740745262"/>
      <name val="Segoe UI Black"/>
      <family val="2"/>
    </font>
    <font>
      <sz val="11"/>
      <color rgb="FFC00000"/>
      <name val="Segoe UI Black"/>
      <family val="2"/>
    </font>
    <font>
      <sz val="12"/>
      <name val="Segoe UI Black"/>
      <family val="2"/>
    </font>
    <font>
      <b/>
      <sz val="14"/>
      <color rgb="FF404040"/>
      <name val="Segoe UI Black"/>
      <family val="2"/>
    </font>
    <font>
      <b/>
      <sz val="14"/>
      <color rgb="FFFF0000"/>
      <name val="Segoe UI Black"/>
      <family val="2"/>
    </font>
    <font>
      <sz val="14"/>
      <color rgb="FF404040"/>
      <name val="Segoe UI Black"/>
      <family val="2"/>
    </font>
    <font>
      <b/>
      <sz val="11"/>
      <color theme="1"/>
      <name val="Segoe UI Black"/>
      <family val="2"/>
    </font>
    <font>
      <b/>
      <sz val="10"/>
      <color theme="1"/>
      <name val="Segoe UI Black"/>
      <family val="2"/>
    </font>
    <font>
      <sz val="9"/>
      <name val="Segoe UI Black"/>
      <family val="2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6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164" fontId="5" fillId="0" borderId="0" xfId="0" applyNumberFormat="1" applyFont="1"/>
    <xf numFmtId="0" fontId="2" fillId="5" borderId="0" xfId="0" applyFont="1" applyFill="1"/>
    <xf numFmtId="0" fontId="2" fillId="0" borderId="0" xfId="0" applyFont="1" applyAlignment="1">
      <alignment horizontal="right"/>
    </xf>
    <xf numFmtId="164" fontId="2" fillId="0" borderId="0" xfId="0" applyNumberFormat="1" applyFont="1"/>
    <xf numFmtId="164" fontId="2" fillId="0" borderId="5" xfId="0" applyNumberFormat="1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Alignment="1">
      <alignment horizontal="left" vertical="top"/>
    </xf>
    <xf numFmtId="37" fontId="2" fillId="0" borderId="0" xfId="2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3" borderId="0" xfId="0" applyFont="1" applyFill="1"/>
    <xf numFmtId="0" fontId="2" fillId="0" borderId="0" xfId="0" applyFont="1" applyAlignment="1">
      <alignment horizontal="center" vertical="center"/>
    </xf>
    <xf numFmtId="164" fontId="3" fillId="0" borderId="0" xfId="0" applyNumberFormat="1" applyFont="1"/>
    <xf numFmtId="164" fontId="7" fillId="3" borderId="0" xfId="0" applyNumberFormat="1" applyFont="1" applyFill="1" applyAlignment="1">
      <alignment horizontal="right"/>
    </xf>
    <xf numFmtId="166" fontId="7" fillId="3" borderId="0" xfId="1" applyNumberFormat="1" applyFont="1" applyFill="1" applyAlignment="1">
      <alignment horizontal="right"/>
    </xf>
    <xf numFmtId="165" fontId="7" fillId="3" borderId="5" xfId="0" applyNumberFormat="1" applyFont="1" applyFill="1" applyBorder="1" applyAlignment="1">
      <alignment horizontal="right"/>
    </xf>
    <xf numFmtId="41" fontId="7" fillId="3" borderId="0" xfId="0" applyNumberFormat="1" applyFont="1" applyFill="1" applyAlignment="1">
      <alignment horizontal="right"/>
    </xf>
    <xf numFmtId="167" fontId="7" fillId="3" borderId="5" xfId="0" applyNumberFormat="1" applyFont="1" applyFill="1" applyBorder="1" applyAlignment="1">
      <alignment horizontal="right"/>
    </xf>
    <xf numFmtId="41" fontId="2" fillId="3" borderId="0" xfId="0" applyNumberFormat="1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165" fontId="2" fillId="3" borderId="5" xfId="0" applyNumberFormat="1" applyFont="1" applyFill="1" applyBorder="1" applyAlignment="1">
      <alignment horizontal="right"/>
    </xf>
    <xf numFmtId="167" fontId="2" fillId="3" borderId="5" xfId="0" applyNumberFormat="1" applyFont="1" applyFill="1" applyBorder="1" applyAlignment="1">
      <alignment horizontal="right"/>
    </xf>
    <xf numFmtId="41" fontId="7" fillId="3" borderId="5" xfId="0" applyNumberFormat="1" applyFont="1" applyFill="1" applyBorder="1" applyAlignment="1">
      <alignment horizontal="right"/>
    </xf>
    <xf numFmtId="164" fontId="2" fillId="0" borderId="0" xfId="0" applyNumberFormat="1" applyFont="1" applyAlignment="1">
      <alignment horizontal="center" vertical="center"/>
    </xf>
    <xf numFmtId="10" fontId="7" fillId="0" borderId="0" xfId="1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7" fillId="0" borderId="0" xfId="0" applyFont="1"/>
    <xf numFmtId="164" fontId="7" fillId="0" borderId="0" xfId="0" applyNumberFormat="1" applyFont="1" applyAlignment="1">
      <alignment horizontal="right"/>
    </xf>
    <xf numFmtId="0" fontId="2" fillId="3" borderId="11" xfId="0" applyFont="1" applyFill="1" applyBorder="1"/>
    <xf numFmtId="168" fontId="2" fillId="0" borderId="0" xfId="0" applyNumberFormat="1" applyFont="1"/>
    <xf numFmtId="0" fontId="11" fillId="0" borderId="0" xfId="0" applyFont="1"/>
    <xf numFmtId="0" fontId="2" fillId="3" borderId="5" xfId="0" applyFont="1" applyFill="1" applyBorder="1"/>
    <xf numFmtId="0" fontId="7" fillId="3" borderId="0" xfId="0" applyFont="1" applyFill="1" applyAlignment="1">
      <alignment horizontal="left" indent="1"/>
    </xf>
    <xf numFmtId="0" fontId="7" fillId="0" borderId="0" xfId="0" applyFont="1" applyAlignment="1">
      <alignment horizontal="left" indent="1"/>
    </xf>
    <xf numFmtId="0" fontId="10" fillId="0" borderId="0" xfId="0" applyFont="1"/>
    <xf numFmtId="0" fontId="2" fillId="0" borderId="0" xfId="0" applyFont="1" applyAlignment="1">
      <alignment horizontal="right" indent="1"/>
    </xf>
    <xf numFmtId="164" fontId="7" fillId="3" borderId="5" xfId="0" applyNumberFormat="1" applyFont="1" applyFill="1" applyBorder="1" applyAlignment="1">
      <alignment horizontal="right"/>
    </xf>
    <xf numFmtId="41" fontId="2" fillId="3" borderId="5" xfId="0" applyNumberFormat="1" applyFont="1" applyFill="1" applyBorder="1" applyAlignment="1">
      <alignment horizontal="right"/>
    </xf>
    <xf numFmtId="164" fontId="2" fillId="3" borderId="5" xfId="0" applyNumberFormat="1" applyFont="1" applyFill="1" applyBorder="1" applyAlignment="1">
      <alignment horizontal="right"/>
    </xf>
    <xf numFmtId="164" fontId="2" fillId="3" borderId="5" xfId="0" applyNumberFormat="1" applyFont="1" applyFill="1" applyBorder="1"/>
    <xf numFmtId="0" fontId="2" fillId="3" borderId="12" xfId="0" applyFont="1" applyFill="1" applyBorder="1"/>
    <xf numFmtId="164" fontId="7" fillId="3" borderId="7" xfId="0" applyNumberFormat="1" applyFont="1" applyFill="1" applyBorder="1" applyAlignment="1">
      <alignment horizontal="right"/>
    </xf>
    <xf numFmtId="41" fontId="7" fillId="3" borderId="7" xfId="0" applyNumberFormat="1" applyFont="1" applyFill="1" applyBorder="1" applyAlignment="1">
      <alignment horizontal="right"/>
    </xf>
    <xf numFmtId="41" fontId="2" fillId="3" borderId="7" xfId="0" applyNumberFormat="1" applyFont="1" applyFill="1" applyBorder="1" applyAlignment="1">
      <alignment horizontal="right"/>
    </xf>
    <xf numFmtId="164" fontId="2" fillId="3" borderId="7" xfId="0" applyNumberFormat="1" applyFont="1" applyFill="1" applyBorder="1" applyAlignment="1">
      <alignment horizontal="right"/>
    </xf>
    <xf numFmtId="0" fontId="2" fillId="3" borderId="7" xfId="0" applyFont="1" applyFill="1" applyBorder="1"/>
    <xf numFmtId="10" fontId="7" fillId="0" borderId="0" xfId="1" applyNumberFormat="1" applyFont="1" applyBorder="1" applyAlignment="1">
      <alignment horizontal="right"/>
    </xf>
    <xf numFmtId="0" fontId="2" fillId="3" borderId="0" xfId="0" applyFont="1" applyFill="1" applyAlignment="1">
      <alignment horizontal="left" indent="1"/>
    </xf>
    <xf numFmtId="6" fontId="2" fillId="0" borderId="0" xfId="0" applyNumberFormat="1" applyFont="1"/>
    <xf numFmtId="8" fontId="2" fillId="0" borderId="0" xfId="0" applyNumberFormat="1" applyFont="1"/>
    <xf numFmtId="0" fontId="5" fillId="3" borderId="0" xfId="0" applyFont="1" applyFill="1"/>
    <xf numFmtId="164" fontId="5" fillId="3" borderId="0" xfId="0" applyNumberFormat="1" applyFont="1" applyFill="1"/>
    <xf numFmtId="0" fontId="5" fillId="0" borderId="0" xfId="0" applyFont="1"/>
    <xf numFmtId="0" fontId="2" fillId="0" borderId="5" xfId="0" applyFont="1" applyBorder="1" applyAlignment="1">
      <alignment horizontal="right"/>
    </xf>
    <xf numFmtId="164" fontId="7" fillId="0" borderId="0" xfId="0" applyNumberFormat="1" applyFont="1"/>
    <xf numFmtId="0" fontId="2" fillId="3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horizontal="center"/>
    </xf>
    <xf numFmtId="0" fontId="5" fillId="7" borderId="0" xfId="0" applyFont="1" applyFill="1"/>
    <xf numFmtId="0" fontId="2" fillId="7" borderId="0" xfId="0" applyFont="1" applyFill="1" applyAlignment="1">
      <alignment horizontal="left" indent="1"/>
    </xf>
    <xf numFmtId="164" fontId="5" fillId="7" borderId="0" xfId="0" applyNumberFormat="1" applyFont="1" applyFill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5" borderId="0" xfId="0" applyFont="1" applyFill="1" applyAlignment="1">
      <alignment horizontal="center"/>
    </xf>
    <xf numFmtId="8" fontId="5" fillId="0" borderId="0" xfId="0" applyNumberFormat="1" applyFont="1" applyAlignment="1">
      <alignment horizontal="center"/>
    </xf>
    <xf numFmtId="0" fontId="13" fillId="0" borderId="0" xfId="0" applyFont="1"/>
    <xf numFmtId="0" fontId="7" fillId="0" borderId="0" xfId="0" applyFont="1" applyAlignment="1">
      <alignment horizontal="center"/>
    </xf>
    <xf numFmtId="10" fontId="7" fillId="0" borderId="0" xfId="1" applyNumberFormat="1" applyFont="1" applyFill="1" applyAlignment="1">
      <alignment horizontal="center"/>
    </xf>
    <xf numFmtId="10" fontId="7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7" fillId="3" borderId="0" xfId="0" applyFont="1" applyFill="1" applyAlignment="1">
      <alignment horizontal="left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15" fillId="3" borderId="0" xfId="0" applyFont="1" applyFill="1"/>
    <xf numFmtId="0" fontId="15" fillId="3" borderId="0" xfId="0" applyFont="1" applyFill="1" applyAlignment="1">
      <alignment horizontal="center"/>
    </xf>
    <xf numFmtId="3" fontId="15" fillId="3" borderId="0" xfId="0" applyNumberFormat="1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164" fontId="15" fillId="3" borderId="0" xfId="0" applyNumberFormat="1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" fontId="3" fillId="4" borderId="0" xfId="0" applyNumberFormat="1" applyFont="1" applyFill="1" applyAlignment="1">
      <alignment horizontal="center"/>
    </xf>
    <xf numFmtId="3" fontId="3" fillId="4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  <xf numFmtId="0" fontId="6" fillId="3" borderId="0" xfId="0" applyFont="1" applyFill="1"/>
    <xf numFmtId="0" fontId="2" fillId="3" borderId="5" xfId="0" applyFont="1" applyFill="1" applyBorder="1" applyAlignment="1">
      <alignment horizontal="right"/>
    </xf>
    <xf numFmtId="0" fontId="2" fillId="3" borderId="7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164" fontId="16" fillId="3" borderId="5" xfId="0" applyNumberFormat="1" applyFont="1" applyFill="1" applyBorder="1" applyAlignment="1">
      <alignment horizontal="right"/>
    </xf>
    <xf numFmtId="164" fontId="16" fillId="3" borderId="7" xfId="0" applyNumberFormat="1" applyFont="1" applyFill="1" applyBorder="1" applyAlignment="1">
      <alignment horizontal="right"/>
    </xf>
    <xf numFmtId="41" fontId="16" fillId="3" borderId="5" xfId="0" applyNumberFormat="1" applyFont="1" applyFill="1" applyBorder="1" applyAlignment="1">
      <alignment horizontal="right"/>
    </xf>
    <xf numFmtId="41" fontId="16" fillId="3" borderId="7" xfId="0" applyNumberFormat="1" applyFont="1" applyFill="1" applyBorder="1" applyAlignment="1">
      <alignment horizontal="right"/>
    </xf>
    <xf numFmtId="41" fontId="15" fillId="3" borderId="5" xfId="0" applyNumberFormat="1" applyFont="1" applyFill="1" applyBorder="1" applyAlignment="1">
      <alignment horizontal="right"/>
    </xf>
    <xf numFmtId="41" fontId="15" fillId="3" borderId="7" xfId="0" applyNumberFormat="1" applyFont="1" applyFill="1" applyBorder="1" applyAlignment="1">
      <alignment horizontal="right"/>
    </xf>
    <xf numFmtId="0" fontId="15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16" fillId="3" borderId="0" xfId="0" applyFont="1" applyFill="1" applyAlignment="1">
      <alignment horizontal="left"/>
    </xf>
    <xf numFmtId="10" fontId="2" fillId="0" borderId="0" xfId="1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9" fontId="15" fillId="0" borderId="0" xfId="0" applyNumberFormat="1" applyFont="1" applyAlignment="1">
      <alignment horizontal="center"/>
    </xf>
    <xf numFmtId="10" fontId="17" fillId="3" borderId="10" xfId="1" applyNumberFormat="1" applyFont="1" applyFill="1" applyBorder="1" applyAlignment="1">
      <alignment horizontal="right"/>
    </xf>
    <xf numFmtId="164" fontId="2" fillId="3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8" fillId="5" borderId="10" xfId="0" applyNumberFormat="1" applyFont="1" applyFill="1" applyBorder="1" applyAlignment="1">
      <alignment horizontal="right" vertical="center"/>
    </xf>
    <xf numFmtId="10" fontId="15" fillId="0" borderId="0" xfId="0" applyNumberFormat="1" applyFont="1" applyAlignment="1">
      <alignment horizontal="center"/>
    </xf>
    <xf numFmtId="0" fontId="3" fillId="8" borderId="6" xfId="0" applyFont="1" applyFill="1" applyBorder="1" applyAlignment="1">
      <alignment horizontal="right"/>
    </xf>
    <xf numFmtId="0" fontId="2" fillId="6" borderId="9" xfId="0" applyFont="1" applyFill="1" applyBorder="1"/>
    <xf numFmtId="0" fontId="3" fillId="4" borderId="6" xfId="0" applyFont="1" applyFill="1" applyBorder="1" applyAlignment="1">
      <alignment horizontal="right"/>
    </xf>
    <xf numFmtId="0" fontId="3" fillId="4" borderId="6" xfId="0" applyFont="1" applyFill="1" applyBorder="1" applyAlignment="1">
      <alignment horizontal="right" wrapText="1"/>
    </xf>
    <xf numFmtId="0" fontId="3" fillId="4" borderId="8" xfId="0" applyFont="1" applyFill="1" applyBorder="1" applyAlignment="1">
      <alignment horizontal="right"/>
    </xf>
    <xf numFmtId="0" fontId="3" fillId="4" borderId="6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right" wrapText="1"/>
    </xf>
    <xf numFmtId="0" fontId="2" fillId="4" borderId="9" xfId="0" applyFont="1" applyFill="1" applyBorder="1"/>
    <xf numFmtId="0" fontId="2" fillId="9" borderId="5" xfId="0" applyFont="1" applyFill="1" applyBorder="1"/>
    <xf numFmtId="0" fontId="2" fillId="9" borderId="12" xfId="0" applyFont="1" applyFill="1" applyBorder="1"/>
    <xf numFmtId="10" fontId="7" fillId="9" borderId="5" xfId="1" applyNumberFormat="1" applyFont="1" applyFill="1" applyBorder="1" applyAlignment="1">
      <alignment horizontal="center"/>
    </xf>
    <xf numFmtId="10" fontId="7" fillId="9" borderId="7" xfId="1" applyNumberFormat="1" applyFont="1" applyFill="1" applyBorder="1" applyAlignment="1">
      <alignment horizontal="center"/>
    </xf>
    <xf numFmtId="10" fontId="2" fillId="9" borderId="5" xfId="1" applyNumberFormat="1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10" fontId="2" fillId="9" borderId="7" xfId="1" applyNumberFormat="1" applyFont="1" applyFill="1" applyBorder="1" applyAlignment="1">
      <alignment horizontal="right"/>
    </xf>
    <xf numFmtId="9" fontId="7" fillId="9" borderId="7" xfId="1" applyFont="1" applyFill="1" applyBorder="1" applyAlignment="1">
      <alignment horizontal="left" indent="1"/>
    </xf>
    <xf numFmtId="9" fontId="12" fillId="9" borderId="7" xfId="1" applyFont="1" applyFill="1" applyBorder="1" applyAlignment="1">
      <alignment horizontal="left" indent="1"/>
    </xf>
    <xf numFmtId="0" fontId="2" fillId="9" borderId="13" xfId="0" applyFont="1" applyFill="1" applyBorder="1"/>
    <xf numFmtId="0" fontId="2" fillId="3" borderId="11" xfId="0" applyFont="1" applyFill="1" applyBorder="1" applyAlignment="1">
      <alignment horizontal="right"/>
    </xf>
    <xf numFmtId="166" fontId="2" fillId="3" borderId="0" xfId="1" applyNumberFormat="1" applyFont="1" applyFill="1" applyAlignment="1">
      <alignment horizontal="right"/>
    </xf>
    <xf numFmtId="10" fontId="3" fillId="4" borderId="5" xfId="1" applyNumberFormat="1" applyFont="1" applyFill="1" applyBorder="1" applyAlignment="1">
      <alignment horizontal="center"/>
    </xf>
    <xf numFmtId="10" fontId="3" fillId="4" borderId="7" xfId="1" applyNumberFormat="1" applyFont="1" applyFill="1" applyBorder="1" applyAlignment="1">
      <alignment horizontal="center"/>
    </xf>
    <xf numFmtId="164" fontId="3" fillId="4" borderId="0" xfId="0" applyNumberFormat="1" applyFont="1" applyFill="1" applyAlignment="1">
      <alignment horizontal="right"/>
    </xf>
    <xf numFmtId="168" fontId="3" fillId="4" borderId="0" xfId="1" applyNumberFormat="1" applyFont="1" applyFill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0" fontId="13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0" fontId="16" fillId="0" borderId="0" xfId="1" applyNumberFormat="1" applyFont="1" applyFill="1" applyAlignment="1">
      <alignment horizontal="center"/>
    </xf>
    <xf numFmtId="10" fontId="16" fillId="0" borderId="0" xfId="0" applyNumberFormat="1" applyFont="1" applyAlignment="1">
      <alignment horizontal="center"/>
    </xf>
    <xf numFmtId="0" fontId="13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2" fillId="5" borderId="0" xfId="0" applyFont="1" applyFill="1" applyAlignment="1">
      <alignment vertical="center"/>
    </xf>
    <xf numFmtId="2" fontId="2" fillId="0" borderId="0" xfId="1" applyNumberFormat="1" applyFont="1" applyAlignment="1">
      <alignment horizontal="center"/>
    </xf>
    <xf numFmtId="0" fontId="15" fillId="0" borderId="0" xfId="0" applyFont="1" applyAlignment="1">
      <alignment horizontal="left" indent="1"/>
    </xf>
    <xf numFmtId="0" fontId="4" fillId="0" borderId="0" xfId="0" applyFont="1" applyAlignment="1">
      <alignment horizontal="center"/>
    </xf>
    <xf numFmtId="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10" fontId="14" fillId="0" borderId="0" xfId="1" applyNumberFormat="1" applyFont="1" applyFill="1" applyAlignment="1">
      <alignment horizontal="center"/>
    </xf>
    <xf numFmtId="164" fontId="7" fillId="0" borderId="5" xfId="0" applyNumberFormat="1" applyFont="1" applyBorder="1" applyAlignment="1">
      <alignment horizontal="right"/>
    </xf>
    <xf numFmtId="0" fontId="4" fillId="9" borderId="0" xfId="0" applyFont="1" applyFill="1" applyAlignment="1">
      <alignment horizontal="left"/>
    </xf>
    <xf numFmtId="164" fontId="2" fillId="9" borderId="0" xfId="0" applyNumberFormat="1" applyFont="1" applyFill="1" applyAlignment="1">
      <alignment horizontal="right"/>
    </xf>
    <xf numFmtId="0" fontId="3" fillId="8" borderId="0" xfId="0" applyFont="1" applyFill="1" applyAlignment="1">
      <alignment horizontal="left"/>
    </xf>
    <xf numFmtId="0" fontId="3" fillId="8" borderId="0" xfId="0" applyFont="1" applyFill="1" applyAlignment="1">
      <alignment horizontal="right"/>
    </xf>
    <xf numFmtId="0" fontId="2" fillId="0" borderId="0" xfId="0" applyFont="1" applyAlignment="1">
      <alignment horizontal="left" indent="1"/>
    </xf>
    <xf numFmtId="9" fontId="2" fillId="0" borderId="0" xfId="0" applyNumberFormat="1" applyFont="1" applyAlignment="1">
      <alignment horizontal="right"/>
    </xf>
    <xf numFmtId="0" fontId="2" fillId="8" borderId="0" xfId="0" applyFont="1" applyFill="1" applyAlignment="1">
      <alignment horizontal="right"/>
    </xf>
    <xf numFmtId="10" fontId="2" fillId="0" borderId="0" xfId="0" applyNumberFormat="1" applyFont="1" applyAlignment="1">
      <alignment horizontal="right"/>
    </xf>
    <xf numFmtId="10" fontId="2" fillId="0" borderId="0" xfId="1" applyNumberFormat="1" applyFont="1" applyFill="1" applyAlignment="1">
      <alignment horizontal="right"/>
    </xf>
    <xf numFmtId="1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0" fontId="2" fillId="0" borderId="0" xfId="1" applyNumberFormat="1" applyFont="1" applyFill="1" applyBorder="1" applyAlignment="1">
      <alignment horizontal="right"/>
    </xf>
    <xf numFmtId="6" fontId="2" fillId="0" borderId="0" xfId="0" applyNumberFormat="1" applyFont="1" applyAlignment="1">
      <alignment horizontal="right"/>
    </xf>
    <xf numFmtId="0" fontId="4" fillId="3" borderId="0" xfId="0" applyFont="1" applyFill="1"/>
    <xf numFmtId="164" fontId="4" fillId="3" borderId="5" xfId="0" applyNumberFormat="1" applyFont="1" applyFill="1" applyBorder="1" applyAlignment="1">
      <alignment horizontal="right"/>
    </xf>
    <xf numFmtId="164" fontId="4" fillId="3" borderId="7" xfId="0" applyNumberFormat="1" applyFont="1" applyFill="1" applyBorder="1" applyAlignment="1">
      <alignment horizontal="right"/>
    </xf>
    <xf numFmtId="0" fontId="4" fillId="3" borderId="0" xfId="0" applyFont="1" applyFill="1" applyAlignment="1">
      <alignment horizontal="left" indent="1"/>
    </xf>
    <xf numFmtId="164" fontId="4" fillId="3" borderId="0" xfId="0" applyNumberFormat="1" applyFont="1" applyFill="1" applyAlignment="1">
      <alignment horizontal="right"/>
    </xf>
    <xf numFmtId="164" fontId="3" fillId="8" borderId="5" xfId="0" applyNumberFormat="1" applyFont="1" applyFill="1" applyBorder="1" applyAlignment="1">
      <alignment horizontal="right"/>
    </xf>
    <xf numFmtId="164" fontId="3" fillId="8" borderId="7" xfId="0" applyNumberFormat="1" applyFont="1" applyFill="1" applyBorder="1" applyAlignment="1">
      <alignment horizontal="right"/>
    </xf>
    <xf numFmtId="41" fontId="20" fillId="3" borderId="0" xfId="0" applyNumberFormat="1" applyFont="1" applyFill="1" applyAlignment="1">
      <alignment horizontal="right"/>
    </xf>
    <xf numFmtId="2" fontId="2" fillId="0" borderId="0" xfId="0" applyNumberFormat="1" applyFont="1" applyAlignment="1">
      <alignment horizontal="right"/>
    </xf>
    <xf numFmtId="10" fontId="2" fillId="3" borderId="0" xfId="0" applyNumberFormat="1" applyFont="1" applyFill="1"/>
    <xf numFmtId="10" fontId="2" fillId="3" borderId="0" xfId="0" applyNumberFormat="1" applyFont="1" applyFill="1" applyAlignment="1">
      <alignment horizontal="right"/>
    </xf>
    <xf numFmtId="0" fontId="3" fillId="0" borderId="0" xfId="0" applyFont="1" applyAlignment="1">
      <alignment horizontal="right"/>
    </xf>
    <xf numFmtId="41" fontId="20" fillId="3" borderId="5" xfId="0" applyNumberFormat="1" applyFont="1" applyFill="1" applyBorder="1" applyAlignment="1">
      <alignment horizontal="right"/>
    </xf>
    <xf numFmtId="2" fontId="2" fillId="0" borderId="5" xfId="0" applyNumberFormat="1" applyFont="1" applyBorder="1" applyAlignment="1">
      <alignment horizontal="right"/>
    </xf>
    <xf numFmtId="10" fontId="2" fillId="3" borderId="5" xfId="0" applyNumberFormat="1" applyFont="1" applyFill="1" applyBorder="1" applyAlignment="1">
      <alignment horizontal="right"/>
    </xf>
    <xf numFmtId="0" fontId="3" fillId="0" borderId="5" xfId="0" applyFont="1" applyBorder="1" applyAlignment="1">
      <alignment horizontal="right"/>
    </xf>
    <xf numFmtId="164" fontId="2" fillId="0" borderId="5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41" fontId="20" fillId="3" borderId="7" xfId="0" applyNumberFormat="1" applyFont="1" applyFill="1" applyBorder="1" applyAlignment="1">
      <alignment horizontal="right"/>
    </xf>
    <xf numFmtId="2" fontId="2" fillId="0" borderId="7" xfId="0" applyNumberFormat="1" applyFont="1" applyBorder="1" applyAlignment="1">
      <alignment horizontal="right"/>
    </xf>
    <xf numFmtId="10" fontId="2" fillId="3" borderId="7" xfId="0" applyNumberFormat="1" applyFont="1" applyFill="1" applyBorder="1" applyAlignment="1">
      <alignment horizontal="right"/>
    </xf>
    <xf numFmtId="0" fontId="3" fillId="0" borderId="7" xfId="0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164" fontId="4" fillId="3" borderId="12" xfId="0" applyNumberFormat="1" applyFont="1" applyFill="1" applyBorder="1" applyAlignment="1">
      <alignment horizontal="right"/>
    </xf>
    <xf numFmtId="164" fontId="4" fillId="3" borderId="11" xfId="0" applyNumberFormat="1" applyFont="1" applyFill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21" fillId="0" borderId="0" xfId="0" applyFont="1"/>
    <xf numFmtId="164" fontId="15" fillId="0" borderId="0" xfId="0" applyNumberFormat="1" applyFont="1" applyAlignment="1">
      <alignment horizontal="center"/>
    </xf>
    <xf numFmtId="0" fontId="3" fillId="4" borderId="15" xfId="0" applyFont="1" applyFill="1" applyBorder="1" applyAlignment="1">
      <alignment horizontal="right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0" fontId="17" fillId="0" borderId="0" xfId="0" applyNumberFormat="1" applyFont="1" applyAlignment="1">
      <alignment horizontal="right" vertical="center"/>
    </xf>
    <xf numFmtId="0" fontId="3" fillId="10" borderId="6" xfId="0" applyFont="1" applyFill="1" applyBorder="1" applyAlignment="1">
      <alignment horizontal="right" wrapText="1"/>
    </xf>
    <xf numFmtId="0" fontId="3" fillId="10" borderId="15" xfId="0" applyFont="1" applyFill="1" applyBorder="1" applyAlignment="1">
      <alignment horizontal="right" wrapText="1"/>
    </xf>
    <xf numFmtId="164" fontId="4" fillId="0" borderId="0" xfId="0" applyNumberFormat="1" applyFont="1" applyAlignment="1">
      <alignment horizontal="center"/>
    </xf>
    <xf numFmtId="10" fontId="17" fillId="3" borderId="3" xfId="1" applyNumberFormat="1" applyFont="1" applyFill="1" applyBorder="1" applyAlignment="1"/>
    <xf numFmtId="10" fontId="8" fillId="0" borderId="0" xfId="0" applyNumberFormat="1" applyFont="1"/>
    <xf numFmtId="10" fontId="8" fillId="0" borderId="1" xfId="0" applyNumberFormat="1" applyFont="1" applyBorder="1"/>
    <xf numFmtId="10" fontId="17" fillId="3" borderId="3" xfId="0" applyNumberFormat="1" applyFont="1" applyFill="1" applyBorder="1" applyAlignment="1">
      <alignment vertical="center"/>
    </xf>
    <xf numFmtId="10" fontId="9" fillId="0" borderId="0" xfId="0" applyNumberFormat="1" applyFont="1" applyAlignment="1">
      <alignment vertical="center"/>
    </xf>
    <xf numFmtId="10" fontId="9" fillId="0" borderId="0" xfId="0" applyNumberFormat="1" applyFont="1"/>
    <xf numFmtId="10" fontId="17" fillId="3" borderId="10" xfId="1" applyNumberFormat="1" applyFont="1" applyFill="1" applyBorder="1" applyAlignment="1"/>
    <xf numFmtId="164" fontId="17" fillId="3" borderId="10" xfId="1" applyNumberFormat="1" applyFont="1" applyFill="1" applyBorder="1" applyAlignment="1"/>
    <xf numFmtId="10" fontId="8" fillId="0" borderId="0" xfId="0" applyNumberFormat="1" applyFont="1" applyAlignment="1">
      <alignment vertical="center"/>
    </xf>
    <xf numFmtId="10" fontId="8" fillId="5" borderId="3" xfId="0" applyNumberFormat="1" applyFont="1" applyFill="1" applyBorder="1" applyAlignment="1">
      <alignment vertical="center"/>
    </xf>
    <xf numFmtId="164" fontId="8" fillId="5" borderId="3" xfId="0" applyNumberFormat="1" applyFont="1" applyFill="1" applyBorder="1"/>
    <xf numFmtId="10" fontId="8" fillId="5" borderId="2" xfId="0" applyNumberFormat="1" applyFont="1" applyFill="1" applyBorder="1" applyAlignment="1">
      <alignment vertical="center"/>
    </xf>
    <xf numFmtId="10" fontId="17" fillId="3" borderId="14" xfId="0" applyNumberFormat="1" applyFont="1" applyFill="1" applyBorder="1" applyAlignment="1">
      <alignment vertical="center"/>
    </xf>
    <xf numFmtId="164" fontId="8" fillId="0" borderId="1" xfId="0" applyNumberFormat="1" applyFont="1" applyBorder="1"/>
    <xf numFmtId="10" fontId="8" fillId="5" borderId="4" xfId="1" applyNumberFormat="1" applyFont="1" applyFill="1" applyBorder="1" applyAlignment="1"/>
    <xf numFmtId="10" fontId="17" fillId="0" borderId="0" xfId="1" applyNumberFormat="1" applyFont="1" applyFill="1" applyBorder="1" applyAlignment="1"/>
    <xf numFmtId="164" fontId="17" fillId="0" borderId="0" xfId="0" applyNumberFormat="1" applyFont="1"/>
    <xf numFmtId="10" fontId="17" fillId="0" borderId="0" xfId="0" applyNumberFormat="1" applyFont="1" applyAlignment="1">
      <alignment vertical="center"/>
    </xf>
    <xf numFmtId="0" fontId="2" fillId="11" borderId="0" xfId="0" applyFont="1" applyFill="1" applyAlignment="1">
      <alignment horizontal="center"/>
    </xf>
    <xf numFmtId="10" fontId="17" fillId="11" borderId="3" xfId="1" applyNumberFormat="1" applyFont="1" applyFill="1" applyBorder="1" applyAlignment="1"/>
    <xf numFmtId="10" fontId="17" fillId="11" borderId="10" xfId="1" applyNumberFormat="1" applyFont="1" applyFill="1" applyBorder="1" applyAlignment="1"/>
    <xf numFmtId="164" fontId="17" fillId="11" borderId="10" xfId="1" applyNumberFormat="1" applyFont="1" applyFill="1" applyBorder="1" applyAlignment="1"/>
    <xf numFmtId="10" fontId="17" fillId="11" borderId="10" xfId="1" applyNumberFormat="1" applyFont="1" applyFill="1" applyBorder="1" applyAlignment="1">
      <alignment horizontal="right"/>
    </xf>
    <xf numFmtId="10" fontId="8" fillId="12" borderId="2" xfId="0" applyNumberFormat="1" applyFont="1" applyFill="1" applyBorder="1" applyAlignment="1">
      <alignment vertical="center"/>
    </xf>
    <xf numFmtId="10" fontId="8" fillId="12" borderId="10" xfId="1" applyNumberFormat="1" applyFont="1" applyFill="1" applyBorder="1" applyAlignment="1"/>
    <xf numFmtId="164" fontId="8" fillId="12" borderId="3" xfId="0" applyNumberFormat="1" applyFont="1" applyFill="1" applyBorder="1"/>
    <xf numFmtId="10" fontId="8" fillId="12" borderId="10" xfId="0" applyNumberFormat="1" applyFont="1" applyFill="1" applyBorder="1" applyAlignment="1">
      <alignment horizontal="right" vertical="center"/>
    </xf>
    <xf numFmtId="41" fontId="7" fillId="0" borderId="0" xfId="0" applyNumberFormat="1" applyFont="1"/>
    <xf numFmtId="10" fontId="7" fillId="0" borderId="0" xfId="1" applyNumberFormat="1" applyFont="1"/>
    <xf numFmtId="170" fontId="2" fillId="0" borderId="0" xfId="0" applyNumberFormat="1" applyFont="1"/>
    <xf numFmtId="10" fontId="2" fillId="0" borderId="0" xfId="1" applyNumberFormat="1" applyFont="1" applyAlignment="1">
      <alignment horizontal="right"/>
    </xf>
    <xf numFmtId="10" fontId="2" fillId="0" borderId="0" xfId="1" applyNumberFormat="1" applyFont="1"/>
    <xf numFmtId="0" fontId="15" fillId="0" borderId="0" xfId="0" applyFont="1"/>
    <xf numFmtId="10" fontId="2" fillId="3" borderId="0" xfId="1" applyNumberFormat="1" applyFont="1" applyFill="1" applyAlignment="1">
      <alignment horizontal="center"/>
    </xf>
    <xf numFmtId="9" fontId="15" fillId="3" borderId="0" xfId="0" applyNumberFormat="1" applyFont="1" applyFill="1" applyAlignment="1">
      <alignment horizontal="center"/>
    </xf>
    <xf numFmtId="0" fontId="3" fillId="0" borderId="0" xfId="0" applyFont="1" applyAlignment="1">
      <alignment horizontal="center" wrapText="1"/>
    </xf>
    <xf numFmtId="0" fontId="11" fillId="0" borderId="0" xfId="0" applyFont="1" applyAlignment="1">
      <alignment horizontal="left"/>
    </xf>
    <xf numFmtId="2" fontId="25" fillId="0" borderId="0" xfId="0" applyNumberFormat="1" applyFont="1" applyAlignment="1">
      <alignment horizontal="center"/>
    </xf>
    <xf numFmtId="0" fontId="26" fillId="0" borderId="0" xfId="0" applyFont="1"/>
    <xf numFmtId="164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left"/>
    </xf>
    <xf numFmtId="166" fontId="3" fillId="4" borderId="0" xfId="1" applyNumberFormat="1" applyFont="1" applyFill="1" applyAlignment="1">
      <alignment horizontal="right"/>
    </xf>
    <xf numFmtId="9" fontId="27" fillId="3" borderId="10" xfId="1" applyFont="1" applyFill="1" applyBorder="1" applyAlignment="1"/>
    <xf numFmtId="0" fontId="22" fillId="0" borderId="0" xfId="0" applyFont="1" applyAlignment="1">
      <alignment vertical="top"/>
    </xf>
    <xf numFmtId="0" fontId="3" fillId="10" borderId="6" xfId="0" applyFont="1" applyFill="1" applyBorder="1"/>
    <xf numFmtId="0" fontId="3" fillId="10" borderId="6" xfId="0" applyFont="1" applyFill="1" applyBorder="1" applyAlignment="1">
      <alignment horizontal="right"/>
    </xf>
    <xf numFmtId="0" fontId="3" fillId="13" borderId="6" xfId="0" applyFont="1" applyFill="1" applyBorder="1" applyAlignment="1">
      <alignment horizontal="right"/>
    </xf>
    <xf numFmtId="0" fontId="3" fillId="10" borderId="8" xfId="0" applyFont="1" applyFill="1" applyBorder="1" applyAlignment="1">
      <alignment horizontal="right"/>
    </xf>
    <xf numFmtId="0" fontId="3" fillId="10" borderId="8" xfId="0" applyFont="1" applyFill="1" applyBorder="1" applyAlignment="1">
      <alignment horizontal="right" wrapText="1"/>
    </xf>
    <xf numFmtId="0" fontId="3" fillId="10" borderId="6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20" fillId="3" borderId="0" xfId="0" applyFont="1" applyFill="1" applyAlignment="1">
      <alignment horizontal="left" indent="1"/>
    </xf>
    <xf numFmtId="0" fontId="22" fillId="0" borderId="0" xfId="0" applyFont="1" applyAlignment="1">
      <alignment horizontal="left" wrapText="1"/>
    </xf>
    <xf numFmtId="0" fontId="22" fillId="0" borderId="0" xfId="0" applyFont="1" applyAlignment="1">
      <alignment horizontal="center" vertical="top" wrapText="1"/>
    </xf>
    <xf numFmtId="0" fontId="29" fillId="0" borderId="0" xfId="0" applyFont="1"/>
    <xf numFmtId="0" fontId="30" fillId="0" borderId="0" xfId="3" applyFont="1"/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71">
    <dxf>
      <font>
        <color theme="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35" formatCode="_(* #,##0.00_);_(* \(#,##0.00\);_(* &quot;-&quot;??_);_(@_)"/>
    </dxf>
    <dxf>
      <font>
        <color theme="4"/>
      </font>
    </dxf>
    <dxf>
      <numFmt numFmtId="35" formatCode="_(* #,##0.00_);_(* \(#,##0.00\);_(* &quot;-&quot;??_);_(@_)"/>
    </dxf>
    <dxf>
      <font>
        <color theme="4"/>
      </font>
    </dxf>
    <dxf>
      <font>
        <color theme="4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rgb="FFC00000"/>
      </font>
    </dxf>
    <dxf>
      <font>
        <color theme="4"/>
      </font>
    </dxf>
    <dxf>
      <font>
        <color rgb="FFC00000"/>
      </font>
    </dxf>
    <dxf>
      <numFmt numFmtId="35" formatCode="_(* #,##0.00_);_(* \(#,##0.00\);_(* &quot;-&quot;??_);_(@_)"/>
    </dxf>
    <dxf>
      <font>
        <color theme="4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rgb="FFC00000"/>
      </font>
    </dxf>
    <dxf>
      <font>
        <color theme="4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theme="4"/>
      </font>
    </dxf>
    <dxf>
      <font>
        <color theme="4"/>
      </font>
    </dxf>
    <dxf>
      <numFmt numFmtId="35" formatCode="_(* #,##0.00_);_(* \(#,##0.00\);_(* &quot;-&quot;??_);_(@_)"/>
    </dxf>
    <dxf>
      <font>
        <color theme="4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theme="4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35" formatCode="_(* #,##0.00_);_(* \(#,##0.00\);_(* &quot;-&quot;??_);_(@_)"/>
    </dxf>
    <dxf>
      <font>
        <color rgb="FFC00000"/>
      </font>
    </dxf>
    <dxf>
      <font>
        <color rgb="FFC00000"/>
      </font>
    </dxf>
    <dxf>
      <numFmt numFmtId="35" formatCode="_(* #,##0.00_);_(* \(#,##0.00\);_(* &quot;-&quot;??_);_(@_)"/>
    </dxf>
    <dxf>
      <font>
        <color rgb="FFC00000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numFmt numFmtId="35" formatCode="_(* #,##0.00_);_(* \(#,##0.00\);_(* &quot;-&quot;??_);_(@_)"/>
    </dxf>
    <dxf>
      <font>
        <color rgb="FFC00000"/>
      </font>
    </dxf>
    <dxf>
      <numFmt numFmtId="35" formatCode="_(* #,##0.00_);_(* \(#,##0.00\);_(* &quot;-&quot;??_);_(@_)"/>
    </dxf>
    <dxf>
      <font>
        <color rgb="FFC00000"/>
      </font>
    </dxf>
    <dxf>
      <font>
        <color rgb="FFC00000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rgb="FFC00000"/>
      </font>
    </dxf>
    <dxf>
      <font>
        <color rgb="FFC0000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8B-4C89-BE5B-0FDE1DDE4640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99-4435-8C14-D00F76EB8B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'Unit Mix'!$K$2:$K$3</c:f>
              <c:strCache>
                <c:ptCount val="2"/>
                <c:pt idx="0">
                  <c:v>Occupied Units:</c:v>
                </c:pt>
                <c:pt idx="1">
                  <c:v>Vacant Units:</c:v>
                </c:pt>
              </c:strCache>
            </c:strRef>
          </c:cat>
          <c:val>
            <c:numRef>
              <c:f>'Unit Mix'!$L$2:$L$3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9-4435-8C14-D00F76EB8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9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 Black" panose="020B0A02040204020203" pitchFamily="34" charset="0"/>
          <a:ea typeface="Segoe UI Black" panose="020B0A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08-49CB-BC80-DF386C531A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08-49CB-BC80-DF386C531A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3E-4DDE-80D6-E3A883D2FD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3E-4DDE-80D6-E3A883D2FD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3E-4DDE-80D6-E3A883D2FD8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23E-4DDE-80D6-E3A883D2FD80}"/>
              </c:ext>
            </c:extLst>
          </c:dPt>
          <c:dLbls>
            <c:dLbl>
              <c:idx val="4"/>
              <c:layout>
                <c:manualLayout>
                  <c:x val="7.2837618852210906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3E-4DDE-80D6-E3A883D2FD80}"/>
                </c:ext>
              </c:extLst>
            </c:dLbl>
            <c:spPr>
              <a:noFill/>
              <a:ln w="6350"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'Unit Mix'!$B$4:$B$9</c:f>
              <c:strCache>
                <c:ptCount val="6"/>
                <c:pt idx="0">
                  <c:v>Studio</c:v>
                </c:pt>
                <c:pt idx="1">
                  <c:v>One BR</c:v>
                </c:pt>
                <c:pt idx="2">
                  <c:v>One BR + Den</c:v>
                </c:pt>
                <c:pt idx="3">
                  <c:v>Two BR/One BA</c:v>
                </c:pt>
                <c:pt idx="4">
                  <c:v>Two BR/Two BA</c:v>
                </c:pt>
                <c:pt idx="5">
                  <c:v>Three BR/Two BA</c:v>
                </c:pt>
              </c:strCache>
            </c:strRef>
          </c:cat>
          <c:val>
            <c:numRef>
              <c:f>'Unit Mix'!$C$4:$C$9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08-49CB-BC80-DF386C531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62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 Black" panose="020B0A02040204020203" pitchFamily="34" charset="0"/>
          <a:ea typeface="Segoe UI Black" panose="020B0A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tacticares.co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acksource.com/partner-landing-pages/tactica" TargetMode="External"/><Relationship Id="rId2" Type="http://schemas.openxmlformats.org/officeDocument/2006/relationships/image" Target="../media/image2.png"/><Relationship Id="rId1" Type="http://schemas.openxmlformats.org/officeDocument/2006/relationships/hyperlink" Target="https://www.tacticares.com/multifamily-valueadd-model?utm_medium=excel&amp;utm_source=free-model&amp;utm_campaign=value-add" TargetMode="Externa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cticares.com/multifamily-valueadd-model?utm_medium=excel&amp;utm_source=free-model&amp;utm_campaign=value-add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tacticares.com/multifamily-valueadd-model?utm_medium=excel&amp;utm_source=free-model&amp;utm_campaign=value-add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tacticares.com/multifamily-valueadd-model?utm_medium=excel&amp;utm_source=free-model&amp;utm_campaign=value-add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tacticares.com/multifamily-valueadd-model?utm_medium=excel&amp;utm_source=free-model&amp;utm_campaign=value-add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www.stacksource.com/partner-landing-pages/tactic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38100</xdr:rowOff>
    </xdr:from>
    <xdr:to>
      <xdr:col>14</xdr:col>
      <xdr:colOff>96278</xdr:colOff>
      <xdr:row>14</xdr:row>
      <xdr:rowOff>161925</xdr:rowOff>
    </xdr:to>
    <xdr:pic>
      <xdr:nvPicPr>
        <xdr:cNvPr id="2" name="Picture 1" descr="Tactic RES logo and link to homepage.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88246E-CE70-4362-B23E-EB580F9C4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38100"/>
          <a:ext cx="9011678" cy="2781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17</xdr:col>
      <xdr:colOff>113102</xdr:colOff>
      <xdr:row>12</xdr:row>
      <xdr:rowOff>152619</xdr:rowOff>
    </xdr:to>
    <xdr:pic>
      <xdr:nvPicPr>
        <xdr:cNvPr id="2" name="Picture 1" descr="Check out the Tactica Value-Add Model. A link to Tactica Malue-Add Model sales page.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CEE6E8-3724-455D-B327-ADE94A7F4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56333" y="211667"/>
          <a:ext cx="5352381" cy="2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100542</xdr:colOff>
      <xdr:row>44</xdr:row>
      <xdr:rowOff>21165</xdr:rowOff>
    </xdr:from>
    <xdr:to>
      <xdr:col>4</xdr:col>
      <xdr:colOff>2342304</xdr:colOff>
      <xdr:row>56</xdr:row>
      <xdr:rowOff>169032</xdr:rowOff>
    </xdr:to>
    <xdr:pic>
      <xdr:nvPicPr>
        <xdr:cNvPr id="3" name="Picture 2" descr="Do you need a debt quote? Link to StackSource lending platform.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401459D-913B-47D2-9E04-98BE21FD6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9875" y="6736291"/>
          <a:ext cx="7016750" cy="26954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10</xdr:row>
      <xdr:rowOff>57150</xdr:rowOff>
    </xdr:from>
    <xdr:to>
      <xdr:col>8</xdr:col>
      <xdr:colOff>619124</xdr:colOff>
      <xdr:row>23</xdr:row>
      <xdr:rowOff>171450</xdr:rowOff>
    </xdr:to>
    <xdr:graphicFrame macro="">
      <xdr:nvGraphicFramePr>
        <xdr:cNvPr id="2" name="Chart 1" descr="Pie chart showing occupied vs. vacant units.">
          <a:extLst>
            <a:ext uri="{FF2B5EF4-FFF2-40B4-BE49-F238E27FC236}">
              <a16:creationId xmlns:a16="http://schemas.microsoft.com/office/drawing/2014/main" id="{D041A6B5-CFF5-492C-AC75-24F5CAF82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600074</xdr:colOff>
      <xdr:row>10</xdr:row>
      <xdr:rowOff>190501</xdr:rowOff>
    </xdr:from>
    <xdr:to>
      <xdr:col>3</xdr:col>
      <xdr:colOff>742950</xdr:colOff>
      <xdr:row>24</xdr:row>
      <xdr:rowOff>57151</xdr:rowOff>
    </xdr:to>
    <xdr:graphicFrame macro="">
      <xdr:nvGraphicFramePr>
        <xdr:cNvPr id="3" name="Chart 2" descr="Pie chart showing the breakdown in floorplans.&#10;">
          <a:extLst>
            <a:ext uri="{FF2B5EF4-FFF2-40B4-BE49-F238E27FC236}">
              <a16:creationId xmlns:a16="http://schemas.microsoft.com/office/drawing/2014/main" id="{FD4A9595-C1CB-40D6-B4AB-3B96E9E55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619126</xdr:colOff>
      <xdr:row>3</xdr:row>
      <xdr:rowOff>174625</xdr:rowOff>
    </xdr:from>
    <xdr:to>
      <xdr:col>17</xdr:col>
      <xdr:colOff>321488</xdr:colOff>
      <xdr:row>15</xdr:row>
      <xdr:rowOff>115577</xdr:rowOff>
    </xdr:to>
    <xdr:pic>
      <xdr:nvPicPr>
        <xdr:cNvPr id="4" name="Picture 3" descr="Pie chart showing the breakdown in floorplans.&#10;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5EAC877-BDEB-404E-97CD-39EE56BB5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32459" y="809625"/>
          <a:ext cx="5352381" cy="24761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55</xdr:row>
      <xdr:rowOff>0</xdr:rowOff>
    </xdr:from>
    <xdr:to>
      <xdr:col>8</xdr:col>
      <xdr:colOff>22191</xdr:colOff>
      <xdr:row>66</xdr:row>
      <xdr:rowOff>54406</xdr:rowOff>
    </xdr:to>
    <xdr:pic>
      <xdr:nvPicPr>
        <xdr:cNvPr id="2" name="Picture 1" descr="Check out the Tactica Value-Add Model. A link to Tactica Malue-Add Model sales page.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AC5E15-2B4B-452C-BBD8-145A1CEDC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11165417"/>
          <a:ext cx="5352381" cy="24761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</xdr:row>
      <xdr:rowOff>0</xdr:rowOff>
    </xdr:from>
    <xdr:to>
      <xdr:col>21</xdr:col>
      <xdr:colOff>801548</xdr:colOff>
      <xdr:row>11</xdr:row>
      <xdr:rowOff>135262</xdr:rowOff>
    </xdr:to>
    <xdr:pic>
      <xdr:nvPicPr>
        <xdr:cNvPr id="2" name="Picture 1" descr="Check out the Tactica Value-Add Model. A link to Tactica Malue-Add Model sales page.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2AFFFE-2DB6-4C34-B4F8-40D911251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00167" y="190500"/>
          <a:ext cx="5352381" cy="24761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25</xdr:col>
      <xdr:colOff>168876</xdr:colOff>
      <xdr:row>13</xdr:row>
      <xdr:rowOff>54935</xdr:rowOff>
    </xdr:to>
    <xdr:pic>
      <xdr:nvPicPr>
        <xdr:cNvPr id="2" name="Picture 1" descr="Check out the Tactica Value-Add Model. A link to Tactica Malue-Add Model sales page.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12DB3F-F2ED-4EDD-9826-4C7684BA1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73750" y="202406"/>
          <a:ext cx="5352381" cy="24761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1</xdr:row>
      <xdr:rowOff>0</xdr:rowOff>
    </xdr:from>
    <xdr:to>
      <xdr:col>51</xdr:col>
      <xdr:colOff>531643</xdr:colOff>
      <xdr:row>13</xdr:row>
      <xdr:rowOff>206585</xdr:rowOff>
    </xdr:to>
    <xdr:pic>
      <xdr:nvPicPr>
        <xdr:cNvPr id="3" name="Picture 2" descr="Do you need a debt quote? Link to StackSource lending platform.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8FD765-8515-4C01-8E10-73028F3CC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89149" y="207727"/>
          <a:ext cx="7016750" cy="26954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novation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ovation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tacticares.com/blog-feed/multifamily-apartment-proforma-excel-templat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0294-ED64-4658-A3C4-9A0B329A86D9}">
  <sheetPr codeName="Sheet7"/>
  <dimension ref="C2:P28"/>
  <sheetViews>
    <sheetView tabSelected="1" zoomScale="80" zoomScaleNormal="80" workbookViewId="0">
      <selection activeCell="P5" sqref="P5:P6"/>
    </sheetView>
  </sheetViews>
  <sheetFormatPr defaultRowHeight="14.4" x14ac:dyDescent="0.3"/>
  <sheetData>
    <row r="2" spans="15:16" ht="16.8" x14ac:dyDescent="0.4">
      <c r="O2" s="1" t="s">
        <v>180</v>
      </c>
    </row>
    <row r="5" spans="15:16" ht="18" x14ac:dyDescent="0.35">
      <c r="P5" s="267" t="s">
        <v>212</v>
      </c>
    </row>
    <row r="6" spans="15:16" ht="18" x14ac:dyDescent="0.35">
      <c r="P6" s="268" t="s">
        <v>213</v>
      </c>
    </row>
    <row r="18" spans="3:15" ht="87" customHeight="1" x14ac:dyDescent="0.3">
      <c r="C18" s="266" t="s">
        <v>206</v>
      </c>
      <c r="D18" s="266"/>
      <c r="E18" s="266"/>
      <c r="F18" s="266"/>
      <c r="G18" s="266"/>
      <c r="H18" s="266"/>
      <c r="I18" s="266"/>
      <c r="J18" s="266"/>
      <c r="K18" s="266"/>
      <c r="L18" s="266"/>
      <c r="M18" s="266"/>
      <c r="N18" s="266"/>
      <c r="O18" s="266"/>
    </row>
    <row r="19" spans="3:15" ht="14.25" customHeight="1" x14ac:dyDescent="0.3">
      <c r="C19" s="256"/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</row>
    <row r="20" spans="3:15" ht="20.25" customHeight="1" x14ac:dyDescent="0.3">
      <c r="C20" s="266" t="s">
        <v>207</v>
      </c>
      <c r="D20" s="266"/>
      <c r="E20" s="266"/>
      <c r="F20" s="266"/>
      <c r="G20" s="266"/>
      <c r="H20" s="266"/>
      <c r="I20" s="266"/>
      <c r="J20" s="266"/>
      <c r="K20" s="266"/>
      <c r="L20" s="266"/>
      <c r="M20" s="266"/>
      <c r="N20" s="266"/>
      <c r="O20" s="266"/>
    </row>
    <row r="21" spans="3:15" ht="21" customHeight="1" x14ac:dyDescent="0.3">
      <c r="C21" s="266"/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6"/>
      <c r="O21" s="266"/>
    </row>
    <row r="23" spans="3:15" x14ac:dyDescent="0.3">
      <c r="C23" s="265" t="s">
        <v>208</v>
      </c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</row>
    <row r="24" spans="3:15" x14ac:dyDescent="0.3">
      <c r="C24" s="265"/>
      <c r="D24" s="2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</row>
    <row r="25" spans="3:15" x14ac:dyDescent="0.3">
      <c r="C25" s="265"/>
      <c r="D25" s="265"/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O25" s="265"/>
    </row>
    <row r="26" spans="3:15" x14ac:dyDescent="0.3">
      <c r="C26" s="265"/>
      <c r="D26" s="2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</row>
    <row r="28" spans="3:15" ht="19.2" x14ac:dyDescent="0.45">
      <c r="C28" s="204" t="s">
        <v>210</v>
      </c>
    </row>
  </sheetData>
  <mergeCells count="3">
    <mergeCell ref="C23:O26"/>
    <mergeCell ref="C18:O18"/>
    <mergeCell ref="C20:O21"/>
  </mergeCells>
  <hyperlinks>
    <hyperlink ref="P6" r:id="rId1" xr:uid="{77A10489-7FFA-4B7C-AC0B-DDB9CFFFB2D1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5F00-C91A-4F5E-B27C-E2479DCD6A60}">
  <sheetPr codeName="Sheet1">
    <pageSetUpPr fitToPage="1"/>
  </sheetPr>
  <dimension ref="B1:K44"/>
  <sheetViews>
    <sheetView zoomScale="90" zoomScaleNormal="90" workbookViewId="0"/>
  </sheetViews>
  <sheetFormatPr defaultColWidth="9.109375" defaultRowHeight="16.8" outlineLevelRow="1" x14ac:dyDescent="0.4"/>
  <cols>
    <col min="1" max="1" width="2.44140625" style="1" customWidth="1"/>
    <col min="2" max="2" width="39.21875" style="1" bestFit="1" customWidth="1"/>
    <col min="3" max="3" width="17" style="2" bestFit="1" customWidth="1"/>
    <col min="4" max="4" width="9.109375" style="1"/>
    <col min="5" max="5" width="37.109375" style="1" bestFit="1" customWidth="1"/>
    <col min="6" max="6" width="21.109375" style="1" customWidth="1"/>
    <col min="7" max="7" width="1.88671875" style="1" customWidth="1"/>
    <col min="8" max="8" width="1.109375" style="1" customWidth="1"/>
    <col min="9" max="9" width="1.109375" style="2" customWidth="1"/>
    <col min="10" max="16384" width="9.109375" style="1"/>
  </cols>
  <sheetData>
    <row r="1" spans="2:11" ht="7.5" customHeight="1" x14ac:dyDescent="0.4"/>
    <row r="2" spans="2:11" x14ac:dyDescent="0.4">
      <c r="B2" s="156" t="s">
        <v>146</v>
      </c>
      <c r="C2" s="156"/>
      <c r="D2" s="156"/>
      <c r="E2" s="156"/>
      <c r="F2" s="156"/>
      <c r="I2" s="7"/>
    </row>
    <row r="3" spans="2:11" x14ac:dyDescent="0.4">
      <c r="B3" s="1" t="s">
        <v>141</v>
      </c>
      <c r="C3" s="107" t="s">
        <v>211</v>
      </c>
      <c r="E3" s="155" t="s">
        <v>142</v>
      </c>
      <c r="F3" s="107" t="s">
        <v>211</v>
      </c>
    </row>
    <row r="4" spans="2:11" x14ac:dyDescent="0.4">
      <c r="B4" s="1" t="s">
        <v>6</v>
      </c>
      <c r="C4" s="2">
        <f>'Unit Mix'!C10</f>
        <v>0</v>
      </c>
      <c r="E4" s="155" t="s">
        <v>143</v>
      </c>
      <c r="F4" s="107" t="s">
        <v>211</v>
      </c>
      <c r="I4" s="1"/>
    </row>
    <row r="5" spans="2:11" x14ac:dyDescent="0.4">
      <c r="B5" s="1" t="str">
        <f>"Total Rentable " &amp;IF($F$7="U.S.","SF","SM")&amp;":"</f>
        <v>Total Rentable SF:</v>
      </c>
      <c r="C5" s="109" t="e">
        <f>C6*C4</f>
        <v>#DIV/0!</v>
      </c>
      <c r="E5" s="155" t="s">
        <v>144</v>
      </c>
      <c r="F5" s="107">
        <v>0</v>
      </c>
      <c r="I5" s="1"/>
    </row>
    <row r="6" spans="2:11" x14ac:dyDescent="0.4">
      <c r="B6" s="1" t="str">
        <f>"Avg. " &amp;IF($F$7="U.S.","SF ","SM ")&amp;"Per Unit:"</f>
        <v>Avg. SF Per Unit:</v>
      </c>
      <c r="C6" s="109" t="e">
        <f>'Unit Mix'!D10</f>
        <v>#DIV/0!</v>
      </c>
      <c r="E6" s="155" t="s">
        <v>145</v>
      </c>
      <c r="F6" s="3" t="e">
        <f>F5/C4</f>
        <v>#DIV/0!</v>
      </c>
      <c r="I6" s="1"/>
      <c r="K6" s="2"/>
    </row>
    <row r="7" spans="2:11" x14ac:dyDescent="0.4">
      <c r="B7" s="1" t="s">
        <v>116</v>
      </c>
      <c r="C7" s="110" t="e">
        <f>'Unit Mix'!L2/Summary!C4</f>
        <v>#DIV/0!</v>
      </c>
      <c r="E7" s="7" t="s">
        <v>184</v>
      </c>
      <c r="F7" s="107" t="s">
        <v>185</v>
      </c>
      <c r="I7" s="1"/>
    </row>
    <row r="8" spans="2:11" x14ac:dyDescent="0.4">
      <c r="E8" s="155"/>
    </row>
    <row r="9" spans="2:11" x14ac:dyDescent="0.4">
      <c r="B9" s="156" t="s">
        <v>147</v>
      </c>
      <c r="C9" s="75"/>
      <c r="E9" s="156" t="s">
        <v>165</v>
      </c>
      <c r="F9" s="156"/>
    </row>
    <row r="10" spans="2:11" x14ac:dyDescent="0.4">
      <c r="B10" s="1" t="s">
        <v>97</v>
      </c>
      <c r="C10" s="205">
        <v>0</v>
      </c>
    </row>
    <row r="11" spans="2:11" x14ac:dyDescent="0.4">
      <c r="B11" s="1" t="s">
        <v>98</v>
      </c>
      <c r="C11" s="4" t="e">
        <f>C10/C4</f>
        <v>#DIV/0!</v>
      </c>
      <c r="E11" s="1" t="s">
        <v>182</v>
      </c>
      <c r="F11" s="205">
        <v>0</v>
      </c>
    </row>
    <row r="12" spans="2:11" x14ac:dyDescent="0.4">
      <c r="B12" s="1" t="str">
        <f>"Price Per " &amp;IF($F$7="U.S.","SF","SM")&amp;":"</f>
        <v>Price Per SF:</v>
      </c>
      <c r="C12" s="108" t="e">
        <f>C10/C5</f>
        <v>#DIV/0!</v>
      </c>
    </row>
    <row r="13" spans="2:11" x14ac:dyDescent="0.4">
      <c r="B13" s="1" t="s">
        <v>149</v>
      </c>
      <c r="C13" s="107">
        <v>5</v>
      </c>
      <c r="E13" s="155" t="s">
        <v>163</v>
      </c>
      <c r="F13" s="119">
        <v>0</v>
      </c>
    </row>
    <row r="14" spans="2:11" x14ac:dyDescent="0.4">
      <c r="B14" s="1" t="s">
        <v>148</v>
      </c>
      <c r="C14" s="112" t="e">
        <f ca="1">SUMIF(Valuation!$G$1:$P$1,Summary!$C$13,Valuation!$G$57:$P$57)</f>
        <v>#VALUE!</v>
      </c>
      <c r="E14" s="155" t="s">
        <v>164</v>
      </c>
      <c r="F14" s="119">
        <v>0</v>
      </c>
    </row>
    <row r="15" spans="2:11" x14ac:dyDescent="0.4">
      <c r="B15" s="1" t="s">
        <v>140</v>
      </c>
      <c r="C15" s="157" t="e">
        <f ca="1">SUMIF(Valuation!$G$1:$P$1,Summary!$C$13,Valuation!$G$69:$P$69)</f>
        <v>#NUM!</v>
      </c>
      <c r="I15" s="7"/>
    </row>
    <row r="16" spans="2:11" x14ac:dyDescent="0.4">
      <c r="B16" s="1" t="s">
        <v>99</v>
      </c>
      <c r="E16" s="155" t="s">
        <v>115</v>
      </c>
      <c r="F16" s="119">
        <v>0</v>
      </c>
    </row>
    <row r="17" spans="2:6" x14ac:dyDescent="0.4">
      <c r="B17" s="158" t="s">
        <v>150</v>
      </c>
      <c r="C17" s="112" t="e">
        <f>VLOOKUP(B17,Valuation!$E$8:$F$13,2,FALSE)</f>
        <v>#DIV/0!</v>
      </c>
      <c r="E17" s="1" t="s">
        <v>166</v>
      </c>
      <c r="F17" s="119">
        <v>0</v>
      </c>
    </row>
    <row r="18" spans="2:6" x14ac:dyDescent="0.4">
      <c r="B18" s="158" t="s">
        <v>100</v>
      </c>
      <c r="C18" s="112" t="e">
        <f>VLOOKUP(B18,Valuation!$E$8:$F$13,2,FALSE)</f>
        <v>#VALUE!</v>
      </c>
      <c r="E18" s="1" t="s">
        <v>167</v>
      </c>
      <c r="F18" s="110">
        <f>F17+F16</f>
        <v>0</v>
      </c>
    </row>
    <row r="19" spans="2:6" x14ac:dyDescent="0.4">
      <c r="B19" s="158" t="s">
        <v>101</v>
      </c>
      <c r="C19" s="112" t="e">
        <f>VLOOKUP(B19,Valuation!$E$8:$F$13,2,FALSE)</f>
        <v>#VALUE!</v>
      </c>
    </row>
    <row r="20" spans="2:6" ht="4.5" customHeight="1" x14ac:dyDescent="0.4">
      <c r="C20" s="112"/>
    </row>
    <row r="21" spans="2:6" x14ac:dyDescent="0.4">
      <c r="B21" s="156" t="s">
        <v>158</v>
      </c>
      <c r="C21" s="10"/>
      <c r="E21" s="156" t="s">
        <v>195</v>
      </c>
      <c r="F21" s="10"/>
    </row>
    <row r="22" spans="2:6" x14ac:dyDescent="0.4">
      <c r="B22" s="1" t="s">
        <v>151</v>
      </c>
      <c r="C22" s="107" t="s">
        <v>211</v>
      </c>
      <c r="E22" s="1" t="s">
        <v>196</v>
      </c>
      <c r="F22" s="4" t="e">
        <f>SUMIF(Valuation!$G$1:$P$1,Summary!$C$13,Valuation!$G$19:$P$19)</f>
        <v>#VALUE!</v>
      </c>
    </row>
    <row r="23" spans="2:6" x14ac:dyDescent="0.4">
      <c r="B23" s="1" t="s">
        <v>152</v>
      </c>
      <c r="C23" s="114">
        <v>0</v>
      </c>
      <c r="E23" s="1" t="s">
        <v>197</v>
      </c>
      <c r="F23" s="112">
        <f>SUMIF(Valuation!$G$1:$P$1,Summary!$C$13,Valuation!$G$36:$P$36)</f>
        <v>0</v>
      </c>
    </row>
    <row r="24" spans="2:6" x14ac:dyDescent="0.4">
      <c r="B24" s="1" t="s">
        <v>153</v>
      </c>
      <c r="C24" s="4">
        <f>C23*C10</f>
        <v>0</v>
      </c>
      <c r="E24" s="1" t="s">
        <v>198</v>
      </c>
      <c r="F24" s="4" t="e">
        <f>SUMIF(Valuation!$G$1:$P$1,Summary!$C$13,Valuation!$G$37:$P$37)</f>
        <v>#VALUE!</v>
      </c>
    </row>
    <row r="25" spans="2:6" x14ac:dyDescent="0.4">
      <c r="B25" s="1" t="s">
        <v>154</v>
      </c>
      <c r="C25" s="119">
        <v>0</v>
      </c>
      <c r="E25" s="1" t="s">
        <v>199</v>
      </c>
      <c r="F25" s="4" t="e">
        <f>F24/$C$4</f>
        <v>#VALUE!</v>
      </c>
    </row>
    <row r="26" spans="2:6" x14ac:dyDescent="0.4">
      <c r="B26" s="1" t="s">
        <v>155</v>
      </c>
      <c r="C26" s="107">
        <v>0</v>
      </c>
      <c r="E26" s="1" t="s">
        <v>200</v>
      </c>
      <c r="F26" s="108" t="e">
        <f>F24/$C$5</f>
        <v>#VALUE!</v>
      </c>
    </row>
    <row r="27" spans="2:6" x14ac:dyDescent="0.4">
      <c r="B27" s="1" t="s">
        <v>156</v>
      </c>
      <c r="C27" s="107">
        <v>0</v>
      </c>
      <c r="E27" s="1" t="s">
        <v>201</v>
      </c>
      <c r="F27" s="112" t="e">
        <f>F24/C10-1</f>
        <v>#VALUE!</v>
      </c>
    </row>
    <row r="28" spans="2:6" x14ac:dyDescent="0.4">
      <c r="B28" s="1" t="s">
        <v>157</v>
      </c>
      <c r="C28" s="119">
        <v>0</v>
      </c>
      <c r="E28" s="1" t="s">
        <v>202</v>
      </c>
      <c r="F28" s="110" t="e">
        <f>RATE(C13,,-C10,F24,,)</f>
        <v>#VALUE!</v>
      </c>
    </row>
    <row r="29" spans="2:6" x14ac:dyDescent="0.4">
      <c r="B29" s="1" t="s">
        <v>160</v>
      </c>
      <c r="C29" s="107">
        <v>0</v>
      </c>
    </row>
    <row r="30" spans="2:6" x14ac:dyDescent="0.4">
      <c r="B30" s="1" t="s">
        <v>159</v>
      </c>
      <c r="C30" s="107" t="s">
        <v>87</v>
      </c>
      <c r="E30" s="1" t="s">
        <v>203</v>
      </c>
      <c r="F30" s="4" t="e">
        <f ca="1">SUMIF(Valuation!$G$1:$P$1,Summary!$C$13,Valuation!$G$40:$P$40)+SUMIF(Valuation!$G$1:$P$1,Summary!$C$13,Valuation!$G$42:$P$42)</f>
        <v>#NUM!</v>
      </c>
    </row>
    <row r="31" spans="2:6" x14ac:dyDescent="0.4">
      <c r="B31" s="1" t="s">
        <v>161</v>
      </c>
      <c r="C31" s="107">
        <v>0</v>
      </c>
      <c r="E31" s="1" t="s">
        <v>204</v>
      </c>
      <c r="F31" s="4" t="e">
        <f>SUMIF(Valuation!$G$1:$P$1,Summary!$C$13,Valuation!$G$38:$P$38)</f>
        <v>#VALUE!</v>
      </c>
    </row>
    <row r="32" spans="2:6" x14ac:dyDescent="0.4">
      <c r="C32" s="1"/>
      <c r="E32" s="84" t="s">
        <v>205</v>
      </c>
      <c r="F32" s="95" t="e">
        <f ca="1">F31+F30+F24</f>
        <v>#VALUE!</v>
      </c>
    </row>
    <row r="33" spans="2:3" hidden="1" outlineLevel="1" x14ac:dyDescent="0.4">
      <c r="B33" s="156" t="s">
        <v>162</v>
      </c>
      <c r="C33" s="10"/>
    </row>
    <row r="34" spans="2:3" hidden="1" outlineLevel="1" x14ac:dyDescent="0.4">
      <c r="B34" s="1" t="s">
        <v>151</v>
      </c>
      <c r="C34" s="107">
        <v>0</v>
      </c>
    </row>
    <row r="35" spans="2:3" hidden="1" outlineLevel="1" x14ac:dyDescent="0.4">
      <c r="B35" s="1" t="s">
        <v>152</v>
      </c>
      <c r="C35" s="114">
        <v>0</v>
      </c>
    </row>
    <row r="36" spans="2:3" hidden="1" outlineLevel="1" x14ac:dyDescent="0.4">
      <c r="B36" s="1" t="s">
        <v>153</v>
      </c>
      <c r="C36" s="4">
        <f>C35*C10</f>
        <v>0</v>
      </c>
    </row>
    <row r="37" spans="2:3" hidden="1" outlineLevel="1" x14ac:dyDescent="0.4">
      <c r="B37" s="1" t="s">
        <v>154</v>
      </c>
      <c r="C37" s="119">
        <v>0</v>
      </c>
    </row>
    <row r="38" spans="2:3" hidden="1" outlineLevel="1" x14ac:dyDescent="0.4">
      <c r="B38" s="1" t="s">
        <v>155</v>
      </c>
      <c r="C38" s="107">
        <v>0</v>
      </c>
    </row>
    <row r="39" spans="2:3" hidden="1" outlineLevel="1" x14ac:dyDescent="0.4">
      <c r="B39" s="1" t="s">
        <v>156</v>
      </c>
      <c r="C39" s="107">
        <v>0</v>
      </c>
    </row>
    <row r="40" spans="2:3" hidden="1" outlineLevel="1" x14ac:dyDescent="0.4">
      <c r="B40" s="1" t="s">
        <v>157</v>
      </c>
      <c r="C40" s="119">
        <v>0</v>
      </c>
    </row>
    <row r="41" spans="2:3" hidden="1" outlineLevel="1" x14ac:dyDescent="0.4">
      <c r="B41" s="1" t="s">
        <v>160</v>
      </c>
      <c r="C41" s="107">
        <v>0</v>
      </c>
    </row>
    <row r="42" spans="2:3" hidden="1" outlineLevel="1" x14ac:dyDescent="0.4">
      <c r="B42" s="1" t="s">
        <v>159</v>
      </c>
      <c r="C42" s="107" t="s">
        <v>87</v>
      </c>
    </row>
    <row r="43" spans="2:3" hidden="1" outlineLevel="1" x14ac:dyDescent="0.4">
      <c r="B43" s="1" t="s">
        <v>161</v>
      </c>
      <c r="C43" s="107">
        <v>0</v>
      </c>
    </row>
    <row r="44" spans="2:3" collapsed="1" x14ac:dyDescent="0.4"/>
  </sheetData>
  <conditionalFormatting sqref="B31:C31">
    <cfRule type="expression" dxfId="70" priority="3">
      <formula>$C$30="No"</formula>
    </cfRule>
  </conditionalFormatting>
  <conditionalFormatting sqref="B43:C43">
    <cfRule type="expression" dxfId="69" priority="356">
      <formula>$C$42="No"</formula>
    </cfRule>
  </conditionalFormatting>
  <dataValidations count="3">
    <dataValidation type="list" allowBlank="1" showInputMessage="1" showErrorMessage="1" sqref="C30 C42" xr:uid="{BA8AFD95-ACB7-4745-9BB5-F43DE7936AE1}">
      <formula1>"No, Yes"</formula1>
    </dataValidation>
    <dataValidation type="list" allowBlank="1" showInputMessage="1" showErrorMessage="1" sqref="C13" xr:uid="{3784AE31-20AE-46D2-B0B7-C819313DA02E}">
      <formula1>"1,2,3,4,5,6,7,8,9,10"</formula1>
    </dataValidation>
    <dataValidation type="list" allowBlank="1" showInputMessage="1" showErrorMessage="1" sqref="F7" xr:uid="{4B962A3A-F1BA-49A7-9EE2-7753B4043F3C}">
      <formula1>"U.S.,World"</formula1>
    </dataValidation>
  </dataValidations>
  <pageMargins left="0.7" right="0.7" top="0.75" bottom="0.75" header="0.3" footer="0.3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4BEF24-4635-47FC-B296-583647388F1E}">
          <x14:formula1>
            <xm:f>Valuation!$E$8:$E$13</xm:f>
          </x14:formula1>
          <xm:sqref>B17:B19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3FFF-EFD0-4809-BCC3-92E4DB0E48DF}">
  <sheetPr codeName="Sheet3">
    <pageSetUpPr fitToPage="1"/>
  </sheetPr>
  <dimension ref="B2:L10"/>
  <sheetViews>
    <sheetView zoomScale="90" zoomScaleNormal="90" workbookViewId="0"/>
  </sheetViews>
  <sheetFormatPr defaultColWidth="9.109375" defaultRowHeight="16.8" x14ac:dyDescent="0.4"/>
  <cols>
    <col min="1" max="1" width="2.77734375" style="1" customWidth="1"/>
    <col min="2" max="2" width="18.44140625" style="1" customWidth="1"/>
    <col min="3" max="3" width="11.44140625" style="1" customWidth="1"/>
    <col min="4" max="4" width="10.88671875" style="1" customWidth="1"/>
    <col min="5" max="7" width="18.44140625" style="1" customWidth="1"/>
    <col min="8" max="8" width="16.21875" style="1" customWidth="1"/>
    <col min="9" max="10" width="9.109375" style="1"/>
    <col min="11" max="11" width="15.77734375" style="1" bestFit="1" customWidth="1"/>
    <col min="12" max="12" width="9.109375" style="2"/>
    <col min="13" max="16384" width="9.109375" style="1"/>
  </cols>
  <sheetData>
    <row r="2" spans="2:12" x14ac:dyDescent="0.4">
      <c r="K2" s="1" t="s">
        <v>127</v>
      </c>
      <c r="L2" s="107">
        <v>0</v>
      </c>
    </row>
    <row r="3" spans="2:12" x14ac:dyDescent="0.4">
      <c r="B3" s="84" t="s">
        <v>121</v>
      </c>
      <c r="C3" s="85" t="s">
        <v>122</v>
      </c>
      <c r="D3" s="85" t="str">
        <f>IF(Summary!$F$7="U.S.","SF","SM")</f>
        <v>SF</v>
      </c>
      <c r="E3" s="85" t="str">
        <f>IF(Summary!$F$7="U.S.","Total SF","Total SM")</f>
        <v>Total SF</v>
      </c>
      <c r="F3" s="85" t="s">
        <v>181</v>
      </c>
      <c r="G3" s="85" t="str">
        <f>IF(Summary!$F$7="U.S.","Avg. Rent PSF","Avg. Rent PSM")</f>
        <v>Avg. Rent PSF</v>
      </c>
      <c r="H3" s="85" t="s">
        <v>123</v>
      </c>
      <c r="K3" s="1" t="s">
        <v>128</v>
      </c>
      <c r="L3" s="2">
        <f>C10-L2</f>
        <v>0</v>
      </c>
    </row>
    <row r="4" spans="2:12" x14ac:dyDescent="0.4">
      <c r="B4" s="86" t="s">
        <v>124</v>
      </c>
      <c r="C4" s="87">
        <v>0</v>
      </c>
      <c r="D4" s="88">
        <v>0</v>
      </c>
      <c r="E4" s="89">
        <f t="shared" ref="E4:E9" si="0">D4*C4</f>
        <v>0</v>
      </c>
      <c r="F4" s="90">
        <v>0</v>
      </c>
      <c r="G4" s="91" t="e">
        <f>F4/D4</f>
        <v>#DIV/0!</v>
      </c>
      <c r="H4" s="92">
        <f>F4*C4</f>
        <v>0</v>
      </c>
    </row>
    <row r="5" spans="2:12" x14ac:dyDescent="0.4">
      <c r="B5" s="86" t="s">
        <v>125</v>
      </c>
      <c r="C5" s="87">
        <v>0</v>
      </c>
      <c r="D5" s="88">
        <v>0</v>
      </c>
      <c r="E5" s="89">
        <f t="shared" si="0"/>
        <v>0</v>
      </c>
      <c r="F5" s="90">
        <v>0</v>
      </c>
      <c r="G5" s="91" t="e">
        <f>F5/D5</f>
        <v>#DIV/0!</v>
      </c>
      <c r="H5" s="92">
        <f>F5*C5</f>
        <v>0</v>
      </c>
    </row>
    <row r="6" spans="2:12" x14ac:dyDescent="0.4">
      <c r="B6" s="86" t="s">
        <v>129</v>
      </c>
      <c r="C6" s="87">
        <v>0</v>
      </c>
      <c r="D6" s="88">
        <v>0</v>
      </c>
      <c r="E6" s="89">
        <f t="shared" si="0"/>
        <v>0</v>
      </c>
      <c r="F6" s="90">
        <v>0</v>
      </c>
      <c r="G6" s="91" t="e">
        <f t="shared" ref="G6:G7" si="1">F6/D6</f>
        <v>#DIV/0!</v>
      </c>
      <c r="H6" s="92">
        <f t="shared" ref="H6:H7" si="2">F6*C6</f>
        <v>0</v>
      </c>
    </row>
    <row r="7" spans="2:12" x14ac:dyDescent="0.4">
      <c r="B7" s="86" t="s">
        <v>0</v>
      </c>
      <c r="C7" s="87">
        <v>0</v>
      </c>
      <c r="D7" s="88">
        <v>0</v>
      </c>
      <c r="E7" s="89">
        <f t="shared" si="0"/>
        <v>0</v>
      </c>
      <c r="F7" s="90">
        <v>0</v>
      </c>
      <c r="G7" s="91" t="e">
        <f t="shared" si="1"/>
        <v>#DIV/0!</v>
      </c>
      <c r="H7" s="92">
        <f t="shared" si="2"/>
        <v>0</v>
      </c>
    </row>
    <row r="8" spans="2:12" x14ac:dyDescent="0.4">
      <c r="B8" s="86" t="s">
        <v>126</v>
      </c>
      <c r="C8" s="87">
        <v>0</v>
      </c>
      <c r="D8" s="88">
        <v>0</v>
      </c>
      <c r="E8" s="89">
        <f t="shared" si="0"/>
        <v>0</v>
      </c>
      <c r="F8" s="90">
        <v>0</v>
      </c>
      <c r="G8" s="91" t="e">
        <f>F8/D8</f>
        <v>#DIV/0!</v>
      </c>
      <c r="H8" s="92">
        <f>F8*C8</f>
        <v>0</v>
      </c>
    </row>
    <row r="9" spans="2:12" x14ac:dyDescent="0.4">
      <c r="B9" s="86" t="s">
        <v>93</v>
      </c>
      <c r="C9" s="87">
        <v>0</v>
      </c>
      <c r="D9" s="88">
        <v>0</v>
      </c>
      <c r="E9" s="89">
        <f t="shared" si="0"/>
        <v>0</v>
      </c>
      <c r="F9" s="90">
        <v>0</v>
      </c>
      <c r="G9" s="91" t="e">
        <f>F9/D9</f>
        <v>#DIV/0!</v>
      </c>
      <c r="H9" s="92">
        <f>F9*C9</f>
        <v>0</v>
      </c>
    </row>
    <row r="10" spans="2:12" x14ac:dyDescent="0.4">
      <c r="B10" s="84" t="s">
        <v>1</v>
      </c>
      <c r="C10" s="85">
        <f>SUM(C4:C9)</f>
        <v>0</v>
      </c>
      <c r="D10" s="93" t="e">
        <f>SUMPRODUCT(D4:D9,C4:C9)/C10</f>
        <v>#DIV/0!</v>
      </c>
      <c r="E10" s="94">
        <f>SUM(E4:E9)</f>
        <v>0</v>
      </c>
      <c r="F10" s="95" t="e">
        <f>H10/C10</f>
        <v>#DIV/0!</v>
      </c>
      <c r="G10" s="96" t="e">
        <f>F10/D10</f>
        <v>#DIV/0!</v>
      </c>
      <c r="H10" s="95">
        <f>SUM(H4:H9)</f>
        <v>0</v>
      </c>
      <c r="K10" s="12"/>
    </row>
  </sheetData>
  <pageMargins left="0.7" right="0.7" top="0.75" bottom="0.75" header="0.3" footer="0.3"/>
  <pageSetup scale="86" fitToHeight="0" orientation="landscape" r:id="rId1"/>
  <ignoredErrors>
    <ignoredError sqref="D10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87CC0-955A-4287-976B-972D05F1453B}">
  <sheetPr codeName="Sheet2">
    <pageSetUpPr fitToPage="1"/>
  </sheetPr>
  <dimension ref="C1:AX135"/>
  <sheetViews>
    <sheetView zoomScale="70" zoomScaleNormal="70" workbookViewId="0">
      <pane xSplit="4" topLeftCell="E1" activePane="topRight" state="frozen"/>
      <selection activeCell="A2" sqref="A2"/>
      <selection pane="topRight"/>
    </sheetView>
  </sheetViews>
  <sheetFormatPr defaultColWidth="9.33203125" defaultRowHeight="18" customHeight="1" outlineLevelCol="1" x14ac:dyDescent="0.4"/>
  <cols>
    <col min="1" max="1" width="1.5546875" style="1" customWidth="1"/>
    <col min="2" max="2" width="1.109375" style="1" customWidth="1"/>
    <col min="3" max="3" width="1.33203125" style="2" customWidth="1"/>
    <col min="4" max="4" width="25.6640625" style="2" customWidth="1"/>
    <col min="5" max="5" width="11.88671875" style="2" customWidth="1"/>
    <col min="6" max="7" width="11.88671875" style="1" customWidth="1"/>
    <col min="8" max="8" width="13.33203125" style="1" customWidth="1" outlineLevel="1"/>
    <col min="9" max="9" width="11.88671875" style="11" customWidth="1"/>
    <col min="10" max="10" width="9.88671875" style="11" customWidth="1"/>
    <col min="11" max="11" width="9.33203125" style="11" customWidth="1"/>
    <col min="12" max="12" width="7.5546875" style="11" customWidth="1"/>
    <col min="13" max="13" width="9.44140625" style="1" customWidth="1"/>
    <col min="14" max="14" width="9.77734375" style="1" customWidth="1"/>
    <col min="15" max="15" width="9.109375" style="1" customWidth="1"/>
    <col min="16" max="16" width="12.109375" style="1" customWidth="1"/>
    <col min="17" max="17" width="9.88671875" style="1" customWidth="1"/>
    <col min="18" max="18" width="8.44140625" style="1" customWidth="1"/>
    <col min="19" max="19" width="7.5546875" style="1" customWidth="1"/>
    <col min="20" max="20" width="9.44140625" style="1" customWidth="1"/>
    <col min="21" max="21" width="1.109375" style="1" customWidth="1"/>
    <col min="22" max="22" width="30.77734375" style="1" bestFit="1" customWidth="1"/>
    <col min="23" max="23" width="9.33203125" style="22" customWidth="1"/>
    <col min="24" max="25" width="9.33203125" style="2" customWidth="1"/>
    <col min="26" max="28" width="9.33203125" style="1" customWidth="1"/>
    <col min="29" max="37" width="7.77734375" style="1" customWidth="1"/>
    <col min="38" max="38" width="1.109375" style="1" customWidth="1"/>
    <col min="39" max="39" width="23.88671875" style="1" customWidth="1"/>
    <col min="40" max="50" width="13.33203125" style="1" customWidth="1"/>
    <col min="51" max="16384" width="9.33203125" style="1"/>
  </cols>
  <sheetData>
    <row r="1" spans="3:50" ht="13.5" customHeight="1" x14ac:dyDescent="0.4">
      <c r="P1" s="15" t="s">
        <v>6</v>
      </c>
      <c r="Q1" s="15">
        <f>'Unit Mix'!C10</f>
        <v>0</v>
      </c>
    </row>
    <row r="2" spans="3:50" ht="13.5" customHeight="1" x14ac:dyDescent="0.4">
      <c r="P2" s="15" t="str">
        <f>IF(Summary!$F$7="U.S.","Rentable SF","Rentable SM")</f>
        <v>Rentable SF</v>
      </c>
      <c r="Q2" s="16">
        <f>'Unit Mix'!E10</f>
        <v>0</v>
      </c>
    </row>
    <row r="3" spans="3:50" ht="13.5" customHeight="1" x14ac:dyDescent="0.4">
      <c r="P3" s="15"/>
      <c r="Q3" s="16"/>
    </row>
    <row r="4" spans="3:50" ht="18" customHeight="1" x14ac:dyDescent="0.45">
      <c r="C4" s="17" t="s">
        <v>39</v>
      </c>
      <c r="D4" s="17"/>
      <c r="E4" s="17"/>
      <c r="F4" s="17"/>
      <c r="G4" s="17"/>
      <c r="H4" s="17"/>
      <c r="I4" s="17" t="str">
        <f>I5&amp;" Metrics"</f>
        <v>T3/T12 Metrics</v>
      </c>
      <c r="J4" s="17"/>
      <c r="K4" s="17"/>
      <c r="L4" s="17"/>
      <c r="M4" s="17" t="s">
        <v>41</v>
      </c>
      <c r="N4" s="17"/>
      <c r="O4" s="17"/>
      <c r="P4" s="1" t="s">
        <v>43</v>
      </c>
      <c r="T4" s="17"/>
      <c r="V4" s="18" t="s">
        <v>56</v>
      </c>
      <c r="AM4" s="18" t="s">
        <v>58</v>
      </c>
    </row>
    <row r="5" spans="3:50" ht="40.5" customHeight="1" thickBot="1" x14ac:dyDescent="0.45">
      <c r="C5" s="121"/>
      <c r="D5" s="257"/>
      <c r="E5" s="258">
        <v>2021</v>
      </c>
      <c r="F5" s="258">
        <v>2022</v>
      </c>
      <c r="G5" s="258" t="s">
        <v>3</v>
      </c>
      <c r="H5" s="259" t="s">
        <v>37</v>
      </c>
      <c r="I5" s="258" t="s">
        <v>4</v>
      </c>
      <c r="J5" s="258" t="s">
        <v>5</v>
      </c>
      <c r="K5" s="210" t="s">
        <v>42</v>
      </c>
      <c r="L5" s="260" t="str">
        <f>IF(Summary!$F$7="U.S.","Per SF","Per SM")</f>
        <v>Per SF</v>
      </c>
      <c r="M5" s="210" t="str">
        <f>E5&amp;" to "&amp;F5</f>
        <v>2021 to 2022</v>
      </c>
      <c r="N5" s="210" t="str">
        <f>F5&amp;" to "&amp;G5</f>
        <v>2022 to T12</v>
      </c>
      <c r="O5" s="261" t="str">
        <f>G5&amp;" to "&amp;H5</f>
        <v>T12 to T3</v>
      </c>
      <c r="P5" s="122" t="s">
        <v>40</v>
      </c>
      <c r="Q5" s="122" t="s">
        <v>5</v>
      </c>
      <c r="R5" s="123" t="s">
        <v>42</v>
      </c>
      <c r="S5" s="124" t="str">
        <f>IF(Summary!$F$7="U.S.","Per SF","Per SM")</f>
        <v>Per SF</v>
      </c>
      <c r="T5" s="125" t="str">
        <f>I5&amp; " to FY1"</f>
        <v>T3/T12 to FY1</v>
      </c>
      <c r="V5" s="126"/>
      <c r="W5" s="210" t="str">
        <f>"FY1 %Δ "&amp;I5</f>
        <v>FY1 %Δ T3/T12</v>
      </c>
      <c r="X5" s="210" t="s">
        <v>42</v>
      </c>
      <c r="Y5" s="211" t="s">
        <v>5</v>
      </c>
      <c r="Z5" s="123" t="str">
        <f>"FY2 %Δ "&amp;P5</f>
        <v>FY2 %Δ FY1</v>
      </c>
      <c r="AA5" s="123" t="s">
        <v>42</v>
      </c>
      <c r="AB5" s="206" t="s">
        <v>5</v>
      </c>
      <c r="AC5" s="210" t="s">
        <v>46</v>
      </c>
      <c r="AD5" s="123" t="s">
        <v>47</v>
      </c>
      <c r="AE5" s="210" t="s">
        <v>48</v>
      </c>
      <c r="AF5" s="123" t="s">
        <v>49</v>
      </c>
      <c r="AG5" s="210" t="s">
        <v>50</v>
      </c>
      <c r="AH5" s="123" t="s">
        <v>51</v>
      </c>
      <c r="AI5" s="210" t="s">
        <v>52</v>
      </c>
      <c r="AJ5" s="123" t="s">
        <v>53</v>
      </c>
      <c r="AK5" s="210" t="s">
        <v>54</v>
      </c>
      <c r="AM5" s="127"/>
      <c r="AN5" s="122" t="s">
        <v>40</v>
      </c>
      <c r="AO5" s="122" t="s">
        <v>55</v>
      </c>
      <c r="AP5" s="122" t="s">
        <v>46</v>
      </c>
      <c r="AQ5" s="122" t="s">
        <v>47</v>
      </c>
      <c r="AR5" s="122" t="s">
        <v>48</v>
      </c>
      <c r="AS5" s="122" t="s">
        <v>49</v>
      </c>
      <c r="AT5" s="122" t="s">
        <v>50</v>
      </c>
      <c r="AU5" s="122" t="s">
        <v>51</v>
      </c>
      <c r="AV5" s="122" t="s">
        <v>52</v>
      </c>
      <c r="AW5" s="122" t="s">
        <v>53</v>
      </c>
      <c r="AX5" s="124" t="s">
        <v>54</v>
      </c>
    </row>
    <row r="6" spans="3:50" ht="15" customHeight="1" thickTop="1" x14ac:dyDescent="0.45">
      <c r="C6" s="97" t="s">
        <v>7</v>
      </c>
      <c r="D6" s="21"/>
      <c r="E6" s="42"/>
      <c r="F6" s="56"/>
      <c r="G6" s="42"/>
      <c r="H6" s="42"/>
      <c r="I6" s="100"/>
      <c r="J6" s="100"/>
      <c r="K6" s="100"/>
      <c r="L6" s="138"/>
      <c r="M6" s="128"/>
      <c r="N6" s="129"/>
      <c r="O6" s="129"/>
      <c r="P6" s="21"/>
      <c r="Q6" s="21"/>
      <c r="R6" s="21"/>
      <c r="S6" s="39"/>
      <c r="T6" s="137"/>
      <c r="U6" s="12"/>
      <c r="Y6" s="208"/>
      <c r="AB6" s="207"/>
      <c r="AM6" s="21" t="str">
        <f>IF(C6&lt;&gt;"",C6,D6)</f>
        <v>Income</v>
      </c>
      <c r="AN6" s="39"/>
      <c r="AO6" s="51"/>
      <c r="AP6" s="51"/>
      <c r="AQ6" s="51"/>
      <c r="AR6" s="51"/>
      <c r="AS6" s="51"/>
      <c r="AT6" s="51"/>
      <c r="AU6" s="51"/>
      <c r="AV6" s="51"/>
      <c r="AW6" s="51"/>
      <c r="AX6" s="51"/>
    </row>
    <row r="7" spans="3:50" ht="15" customHeight="1" x14ac:dyDescent="0.4">
      <c r="C7" s="21"/>
      <c r="D7" s="83" t="s">
        <v>2</v>
      </c>
      <c r="E7" s="101"/>
      <c r="F7" s="102"/>
      <c r="G7" s="101"/>
      <c r="H7" s="101"/>
      <c r="I7" s="24">
        <f>H7*4</f>
        <v>0</v>
      </c>
      <c r="J7" s="24" t="e">
        <f>I7/$Q$1</f>
        <v>#DIV/0!</v>
      </c>
      <c r="K7" s="25" t="e">
        <f>I7/$I$7</f>
        <v>#DIV/0!</v>
      </c>
      <c r="L7" s="26" t="e">
        <f>I7/$Q$2</f>
        <v>#DIV/0!</v>
      </c>
      <c r="M7" s="130" t="str">
        <f t="shared" ref="M7:M27" si="0">IFERROR(F7/E7-1,"")</f>
        <v/>
      </c>
      <c r="N7" s="130" t="str">
        <f t="shared" ref="N7:N27" si="1">IFERROR(G7/F7-1,"")</f>
        <v/>
      </c>
      <c r="O7" s="130" t="str">
        <f t="shared" ref="O7:O27" si="2">IFERROR(I7/G7-1,"")</f>
        <v/>
      </c>
      <c r="P7" s="24">
        <f>'Unit Mix'!H10*12*(1+W7)</f>
        <v>0</v>
      </c>
      <c r="Q7" s="24" t="e">
        <f>P7/$Q$1</f>
        <v>#DIV/0!</v>
      </c>
      <c r="R7" s="25" t="e">
        <f>P7/$P$7</f>
        <v>#DIV/0!</v>
      </c>
      <c r="S7" s="26" t="e">
        <f>P7/$Q$2</f>
        <v>#DIV/0!</v>
      </c>
      <c r="T7" s="130" t="str">
        <f>IFERROR(P7/I7-1,"")</f>
        <v/>
      </c>
      <c r="U7" s="12"/>
      <c r="V7" s="44" t="str">
        <f>IF(C7&lt;&gt;"",C7,D7)</f>
        <v>Gross Potential Rent</v>
      </c>
      <c r="W7" s="213"/>
      <c r="X7" s="214" t="s">
        <v>183</v>
      </c>
      <c r="Y7" s="215"/>
      <c r="Z7" s="232"/>
      <c r="AB7" s="207"/>
      <c r="AC7" s="213"/>
      <c r="AD7" s="235">
        <f>AC7</f>
        <v>0</v>
      </c>
      <c r="AE7" s="115">
        <f t="shared" ref="AE7:AK7" si="3">AD7</f>
        <v>0</v>
      </c>
      <c r="AF7" s="235">
        <f t="shared" si="3"/>
        <v>0</v>
      </c>
      <c r="AG7" s="115">
        <f t="shared" si="3"/>
        <v>0</v>
      </c>
      <c r="AH7" s="235">
        <f t="shared" si="3"/>
        <v>0</v>
      </c>
      <c r="AI7" s="115">
        <f t="shared" si="3"/>
        <v>0</v>
      </c>
      <c r="AJ7" s="235">
        <f t="shared" si="3"/>
        <v>0</v>
      </c>
      <c r="AK7" s="115">
        <f t="shared" si="3"/>
        <v>0</v>
      </c>
      <c r="AM7" s="43" t="str">
        <f t="shared" ref="AM7:AM53" si="4">IF(C7&lt;&gt;"",C7,D7)</f>
        <v>Gross Potential Rent</v>
      </c>
      <c r="AN7" s="47">
        <f>P7</f>
        <v>0</v>
      </c>
      <c r="AO7" s="52">
        <f>AN7*(1+Z7)</f>
        <v>0</v>
      </c>
      <c r="AP7" s="52">
        <f>AO7*(1+AC7)</f>
        <v>0</v>
      </c>
      <c r="AQ7" s="52">
        <f t="shared" ref="AQ7:AX7" si="5">AP7*(1+AD7)</f>
        <v>0</v>
      </c>
      <c r="AR7" s="52">
        <f t="shared" si="5"/>
        <v>0</v>
      </c>
      <c r="AS7" s="52">
        <f t="shared" si="5"/>
        <v>0</v>
      </c>
      <c r="AT7" s="52">
        <f t="shared" si="5"/>
        <v>0</v>
      </c>
      <c r="AU7" s="52">
        <f t="shared" si="5"/>
        <v>0</v>
      </c>
      <c r="AV7" s="52">
        <f t="shared" si="5"/>
        <v>0</v>
      </c>
      <c r="AW7" s="52">
        <f t="shared" si="5"/>
        <v>0</v>
      </c>
      <c r="AX7" s="52">
        <f t="shared" si="5"/>
        <v>0</v>
      </c>
    </row>
    <row r="8" spans="3:50" ht="15" customHeight="1" x14ac:dyDescent="0.4">
      <c r="C8" s="21"/>
      <c r="D8" s="83" t="s">
        <v>8</v>
      </c>
      <c r="E8" s="103"/>
      <c r="F8" s="103"/>
      <c r="G8" s="103"/>
      <c r="H8" s="103"/>
      <c r="I8" s="27">
        <f>H8*4</f>
        <v>0</v>
      </c>
      <c r="J8" s="27" t="e">
        <f>I8/$Q$1</f>
        <v>#DIV/0!</v>
      </c>
      <c r="K8" s="25" t="e">
        <f t="shared" ref="K8" si="6">I8/$I$7</f>
        <v>#DIV/0!</v>
      </c>
      <c r="L8" s="28" t="e">
        <f>I8/$Q$2</f>
        <v>#DIV/0!</v>
      </c>
      <c r="M8" s="130" t="str">
        <f t="shared" si="0"/>
        <v/>
      </c>
      <c r="N8" s="130" t="str">
        <f t="shared" si="1"/>
        <v/>
      </c>
      <c r="O8" s="130" t="str">
        <f t="shared" si="2"/>
        <v/>
      </c>
      <c r="P8" s="29">
        <v>0</v>
      </c>
      <c r="Q8" s="29" t="e">
        <f t="shared" ref="Q8:Q10" si="7">P8/$Q$1</f>
        <v>#DIV/0!</v>
      </c>
      <c r="R8" s="25" t="e">
        <f t="shared" ref="R8:R26" si="8">P8/$P$7</f>
        <v>#DIV/0!</v>
      </c>
      <c r="S8" s="28" t="e">
        <f>P8/$Q$2</f>
        <v>#DIV/0!</v>
      </c>
      <c r="T8" s="130" t="str">
        <f>IFERROR(P8/I8-1,"")</f>
        <v/>
      </c>
      <c r="U8" s="12"/>
      <c r="V8" s="44" t="str">
        <f>IF(C8&lt;&gt;"",C8,D8)</f>
        <v>Gain (Loss) to Lease</v>
      </c>
      <c r="W8" s="255"/>
      <c r="X8" s="214"/>
      <c r="Y8" s="215"/>
      <c r="Z8" s="232"/>
      <c r="AB8" s="207"/>
      <c r="AC8" s="213"/>
      <c r="AD8" s="235">
        <f>AC8</f>
        <v>0</v>
      </c>
      <c r="AE8" s="115">
        <f t="shared" ref="AE8:AK8" si="9">AD8</f>
        <v>0</v>
      </c>
      <c r="AF8" s="235">
        <f t="shared" si="9"/>
        <v>0</v>
      </c>
      <c r="AG8" s="115">
        <f t="shared" si="9"/>
        <v>0</v>
      </c>
      <c r="AH8" s="235">
        <f t="shared" si="9"/>
        <v>0</v>
      </c>
      <c r="AI8" s="115">
        <f t="shared" si="9"/>
        <v>0</v>
      </c>
      <c r="AJ8" s="235">
        <f t="shared" si="9"/>
        <v>0</v>
      </c>
      <c r="AK8" s="115">
        <f t="shared" si="9"/>
        <v>0</v>
      </c>
      <c r="AM8" s="43" t="str">
        <f t="shared" si="4"/>
        <v>Gain (Loss) to Lease</v>
      </c>
      <c r="AN8" s="48">
        <f t="shared" ref="AN8:AN46" si="10">P8</f>
        <v>0</v>
      </c>
      <c r="AO8" s="54">
        <f>AN8*(1+Z8)</f>
        <v>0</v>
      </c>
      <c r="AP8" s="54">
        <f>AO8*(1+AC8)</f>
        <v>0</v>
      </c>
      <c r="AQ8" s="54">
        <f t="shared" ref="AQ8:AX8" si="11">AP8*(1+AD8)</f>
        <v>0</v>
      </c>
      <c r="AR8" s="54">
        <f t="shared" si="11"/>
        <v>0</v>
      </c>
      <c r="AS8" s="54">
        <f t="shared" si="11"/>
        <v>0</v>
      </c>
      <c r="AT8" s="54">
        <f t="shared" si="11"/>
        <v>0</v>
      </c>
      <c r="AU8" s="54">
        <f t="shared" si="11"/>
        <v>0</v>
      </c>
      <c r="AV8" s="54">
        <f t="shared" si="11"/>
        <v>0</v>
      </c>
      <c r="AW8" s="54">
        <f t="shared" si="11"/>
        <v>0</v>
      </c>
      <c r="AX8" s="54">
        <f t="shared" si="11"/>
        <v>0</v>
      </c>
    </row>
    <row r="9" spans="3:50" ht="15" customHeight="1" x14ac:dyDescent="0.4">
      <c r="C9" s="21" t="s">
        <v>9</v>
      </c>
      <c r="D9" s="21"/>
      <c r="E9" s="49">
        <f t="shared" ref="E9:L9" si="12">SUM(E7:E8)</f>
        <v>0</v>
      </c>
      <c r="F9" s="55">
        <f t="shared" si="12"/>
        <v>0</v>
      </c>
      <c r="G9" s="49">
        <f t="shared" si="12"/>
        <v>0</v>
      </c>
      <c r="H9" s="49">
        <f t="shared" si="12"/>
        <v>0</v>
      </c>
      <c r="I9" s="30">
        <f t="shared" si="12"/>
        <v>0</v>
      </c>
      <c r="J9" s="30" t="e">
        <f t="shared" si="12"/>
        <v>#DIV/0!</v>
      </c>
      <c r="K9" s="139" t="e">
        <f t="shared" si="12"/>
        <v>#DIV/0!</v>
      </c>
      <c r="L9" s="31" t="e">
        <f t="shared" si="12"/>
        <v>#DIV/0!</v>
      </c>
      <c r="M9" s="132" t="str">
        <f t="shared" si="0"/>
        <v/>
      </c>
      <c r="N9" s="132" t="str">
        <f t="shared" si="1"/>
        <v/>
      </c>
      <c r="O9" s="132" t="str">
        <f t="shared" si="2"/>
        <v/>
      </c>
      <c r="P9" s="30">
        <f>SUM(P7:P8)</f>
        <v>0</v>
      </c>
      <c r="Q9" s="30" t="e">
        <f t="shared" si="7"/>
        <v>#DIV/0!</v>
      </c>
      <c r="R9" s="25" t="e">
        <f t="shared" si="8"/>
        <v>#DIV/0!</v>
      </c>
      <c r="S9" s="31" t="e">
        <f>SUM(S7:S8)</f>
        <v>#DIV/0!</v>
      </c>
      <c r="T9" s="132" t="e">
        <f>P9/I9-1</f>
        <v>#DIV/0!</v>
      </c>
      <c r="U9" s="23"/>
      <c r="V9" s="45"/>
      <c r="W9" s="217"/>
      <c r="X9" s="218"/>
      <c r="Y9" s="215"/>
      <c r="AB9" s="207"/>
      <c r="AD9" s="11"/>
      <c r="AE9" s="11"/>
      <c r="AF9" s="11"/>
      <c r="AG9" s="11"/>
      <c r="AH9" s="11"/>
      <c r="AI9" s="11"/>
      <c r="AJ9" s="11"/>
      <c r="AK9" s="11"/>
      <c r="AM9" s="21" t="str">
        <f t="shared" si="4"/>
        <v>Total GPR</v>
      </c>
      <c r="AN9" s="49">
        <f t="shared" ref="AN9:AX9" si="13">SUM(AN7:AN8)</f>
        <v>0</v>
      </c>
      <c r="AO9" s="55">
        <f t="shared" si="13"/>
        <v>0</v>
      </c>
      <c r="AP9" s="55">
        <f t="shared" si="13"/>
        <v>0</v>
      </c>
      <c r="AQ9" s="55">
        <f t="shared" si="13"/>
        <v>0</v>
      </c>
      <c r="AR9" s="55">
        <f t="shared" si="13"/>
        <v>0</v>
      </c>
      <c r="AS9" s="55">
        <f t="shared" si="13"/>
        <v>0</v>
      </c>
      <c r="AT9" s="55">
        <f t="shared" si="13"/>
        <v>0</v>
      </c>
      <c r="AU9" s="55">
        <f t="shared" si="13"/>
        <v>0</v>
      </c>
      <c r="AV9" s="55">
        <f t="shared" si="13"/>
        <v>0</v>
      </c>
      <c r="AW9" s="55">
        <f t="shared" si="13"/>
        <v>0</v>
      </c>
      <c r="AX9" s="55">
        <f t="shared" si="13"/>
        <v>0</v>
      </c>
    </row>
    <row r="10" spans="3:50" ht="15" customHeight="1" x14ac:dyDescent="0.4">
      <c r="C10" s="21"/>
      <c r="D10" s="83" t="s">
        <v>10</v>
      </c>
      <c r="E10" s="103"/>
      <c r="F10" s="103"/>
      <c r="G10" s="103"/>
      <c r="H10" s="103"/>
      <c r="I10" s="27">
        <f t="shared" ref="I10:I12" si="14">H10*4</f>
        <v>0</v>
      </c>
      <c r="J10" s="27" t="e">
        <f>I10/$Q$1</f>
        <v>#DIV/0!</v>
      </c>
      <c r="K10" s="25" t="e">
        <f t="shared" ref="K10:K12" si="15">I10/$I$7</f>
        <v>#DIV/0!</v>
      </c>
      <c r="L10" s="28" t="e">
        <f>I10/$Q$2</f>
        <v>#DIV/0!</v>
      </c>
      <c r="M10" s="130" t="str">
        <f t="shared" si="0"/>
        <v/>
      </c>
      <c r="N10" s="130" t="str">
        <f t="shared" si="1"/>
        <v/>
      </c>
      <c r="O10" s="130" t="str">
        <f t="shared" si="2"/>
        <v/>
      </c>
      <c r="P10" s="27">
        <f>IF(W10&lt;&gt;"",I10*(1+W10),IF(X10&lt;&gt;"",X10*$P$9,Y10*$Q$1))</f>
        <v>0</v>
      </c>
      <c r="Q10" s="27" t="e">
        <f t="shared" si="7"/>
        <v>#DIV/0!</v>
      </c>
      <c r="R10" s="25" t="e">
        <f t="shared" si="8"/>
        <v>#DIV/0!</v>
      </c>
      <c r="S10" s="28" t="e">
        <f>P10/$Q$2</f>
        <v>#DIV/0!</v>
      </c>
      <c r="T10" s="130" t="str">
        <f>IFERROR(P10/I10-1,"")</f>
        <v/>
      </c>
      <c r="U10" s="12"/>
      <c r="V10" s="44" t="str">
        <f>IF(C10&lt;&gt;"",C10,D10)</f>
        <v>Concession</v>
      </c>
      <c r="W10" s="213"/>
      <c r="X10" s="219"/>
      <c r="Y10" s="220"/>
      <c r="Z10" s="232"/>
      <c r="AA10" s="233"/>
      <c r="AB10" s="234"/>
      <c r="AC10" s="213"/>
      <c r="AD10" s="235">
        <f>AC10</f>
        <v>0</v>
      </c>
      <c r="AE10" s="115">
        <f t="shared" ref="AE10:AK10" si="16">AD10</f>
        <v>0</v>
      </c>
      <c r="AF10" s="235">
        <f t="shared" si="16"/>
        <v>0</v>
      </c>
      <c r="AG10" s="115">
        <f t="shared" si="16"/>
        <v>0</v>
      </c>
      <c r="AH10" s="235">
        <f t="shared" si="16"/>
        <v>0</v>
      </c>
      <c r="AI10" s="115">
        <f t="shared" si="16"/>
        <v>0</v>
      </c>
      <c r="AJ10" s="235">
        <f t="shared" si="16"/>
        <v>0</v>
      </c>
      <c r="AK10" s="115">
        <f t="shared" si="16"/>
        <v>0</v>
      </c>
      <c r="AM10" s="43" t="str">
        <f t="shared" si="4"/>
        <v>Concession</v>
      </c>
      <c r="AN10" s="33">
        <f t="shared" si="10"/>
        <v>0</v>
      </c>
      <c r="AO10" s="53">
        <f>IF(Z10&lt;&gt;"",AN10*(1+Z10),IF(AA10&lt;&gt;"",AO9*AA10,AB10*$Q$1))</f>
        <v>0</v>
      </c>
      <c r="AP10" s="53">
        <f t="shared" ref="AP10:AP26" si="17">AO10*(1+AC10)</f>
        <v>0</v>
      </c>
      <c r="AQ10" s="53">
        <f t="shared" ref="AQ10" si="18">AP10*(1+AD10)</f>
        <v>0</v>
      </c>
      <c r="AR10" s="53">
        <f t="shared" ref="AR10" si="19">AQ10*(1+AE10)</f>
        <v>0</v>
      </c>
      <c r="AS10" s="53">
        <f t="shared" ref="AS10" si="20">AR10*(1+AF10)</f>
        <v>0</v>
      </c>
      <c r="AT10" s="53">
        <f t="shared" ref="AT10" si="21">AS10*(1+AG10)</f>
        <v>0</v>
      </c>
      <c r="AU10" s="53">
        <f t="shared" ref="AU10" si="22">AT10*(1+AH10)</f>
        <v>0</v>
      </c>
      <c r="AV10" s="53">
        <f t="shared" ref="AV10" si="23">AU10*(1+AI10)</f>
        <v>0</v>
      </c>
      <c r="AW10" s="53">
        <f t="shared" ref="AW10" si="24">AV10*(1+AJ10)</f>
        <v>0</v>
      </c>
      <c r="AX10" s="53">
        <f t="shared" ref="AX10" si="25">AW10*(1+AK10)</f>
        <v>0</v>
      </c>
    </row>
    <row r="11" spans="3:50" ht="15" customHeight="1" x14ac:dyDescent="0.4">
      <c r="C11" s="21"/>
      <c r="D11" s="83" t="s">
        <v>11</v>
      </c>
      <c r="E11" s="103"/>
      <c r="F11" s="103"/>
      <c r="G11" s="103"/>
      <c r="H11" s="103"/>
      <c r="I11" s="27">
        <f t="shared" si="14"/>
        <v>0</v>
      </c>
      <c r="J11" s="27" t="e">
        <f>I11/$Q$1</f>
        <v>#DIV/0!</v>
      </c>
      <c r="K11" s="25" t="e">
        <f t="shared" si="15"/>
        <v>#DIV/0!</v>
      </c>
      <c r="L11" s="28" t="e">
        <f>I11/$Q$2</f>
        <v>#DIV/0!</v>
      </c>
      <c r="M11" s="130" t="str">
        <f t="shared" si="0"/>
        <v/>
      </c>
      <c r="N11" s="130" t="str">
        <f t="shared" si="1"/>
        <v/>
      </c>
      <c r="O11" s="130" t="str">
        <f t="shared" si="2"/>
        <v/>
      </c>
      <c r="P11" s="27">
        <f>IF(W11&lt;&gt;"",I11*(1+W11),IF(X11&lt;&gt;"",X11*$P$9,Y11*$Q$1))</f>
        <v>0</v>
      </c>
      <c r="Q11" s="27" t="e">
        <f t="shared" ref="Q11" si="26">P11/$Q$1</f>
        <v>#DIV/0!</v>
      </c>
      <c r="R11" s="25" t="e">
        <f>P11/$P$7</f>
        <v>#DIV/0!</v>
      </c>
      <c r="S11" s="28" t="e">
        <f>P11/$Q$2</f>
        <v>#DIV/0!</v>
      </c>
      <c r="T11" s="130" t="str">
        <f>IFERROR(P11/I11-1,"")</f>
        <v/>
      </c>
      <c r="U11" s="12"/>
      <c r="V11" s="44" t="str">
        <f>IF(C11&lt;&gt;"",C11,D11)&amp;"*"</f>
        <v>Vacancy Loss*</v>
      </c>
      <c r="W11" s="213"/>
      <c r="X11" s="219"/>
      <c r="Y11" s="220"/>
      <c r="Z11" s="232"/>
      <c r="AA11" s="233"/>
      <c r="AB11" s="234"/>
      <c r="AC11" s="213"/>
      <c r="AD11" s="235">
        <f>AC11</f>
        <v>0</v>
      </c>
      <c r="AE11" s="115">
        <f t="shared" ref="AE11:AK11" si="27">AD11</f>
        <v>0</v>
      </c>
      <c r="AF11" s="235">
        <f t="shared" si="27"/>
        <v>0</v>
      </c>
      <c r="AG11" s="115">
        <f t="shared" si="27"/>
        <v>0</v>
      </c>
      <c r="AH11" s="235">
        <f t="shared" si="27"/>
        <v>0</v>
      </c>
      <c r="AI11" s="115">
        <f t="shared" si="27"/>
        <v>0</v>
      </c>
      <c r="AJ11" s="235">
        <f t="shared" si="27"/>
        <v>0</v>
      </c>
      <c r="AK11" s="115">
        <f t="shared" si="27"/>
        <v>0</v>
      </c>
      <c r="AM11" s="43" t="str">
        <f t="shared" si="4"/>
        <v>Vacancy Loss</v>
      </c>
      <c r="AN11" s="33">
        <f t="shared" si="10"/>
        <v>0</v>
      </c>
      <c r="AO11" s="53">
        <f>IF(Z11&lt;&gt;"",AN11*(1+Z11),IF(AA11&lt;&gt;"",AO$9*AA11,AB11*$Q$1))</f>
        <v>0</v>
      </c>
      <c r="AP11" s="53">
        <f>AC11*AP$7</f>
        <v>0</v>
      </c>
      <c r="AQ11" s="53">
        <f t="shared" ref="AQ11:AX11" si="28">AD11*AQ$7</f>
        <v>0</v>
      </c>
      <c r="AR11" s="53">
        <f t="shared" si="28"/>
        <v>0</v>
      </c>
      <c r="AS11" s="53">
        <f t="shared" si="28"/>
        <v>0</v>
      </c>
      <c r="AT11" s="53">
        <f t="shared" si="28"/>
        <v>0</v>
      </c>
      <c r="AU11" s="53">
        <f t="shared" si="28"/>
        <v>0</v>
      </c>
      <c r="AV11" s="53">
        <f t="shared" si="28"/>
        <v>0</v>
      </c>
      <c r="AW11" s="53">
        <f t="shared" si="28"/>
        <v>0</v>
      </c>
      <c r="AX11" s="53">
        <f t="shared" si="28"/>
        <v>0</v>
      </c>
    </row>
    <row r="12" spans="3:50" ht="15" customHeight="1" x14ac:dyDescent="0.4">
      <c r="C12" s="21"/>
      <c r="D12" s="83" t="s">
        <v>12</v>
      </c>
      <c r="E12" s="103"/>
      <c r="F12" s="103"/>
      <c r="G12" s="103"/>
      <c r="H12" s="103"/>
      <c r="I12" s="27">
        <f t="shared" si="14"/>
        <v>0</v>
      </c>
      <c r="J12" s="27" t="e">
        <f>I12/$Q$1</f>
        <v>#DIV/0!</v>
      </c>
      <c r="K12" s="25" t="e">
        <f t="shared" si="15"/>
        <v>#DIV/0!</v>
      </c>
      <c r="L12" s="28" t="e">
        <f>I12/$Q$2</f>
        <v>#DIV/0!</v>
      </c>
      <c r="M12" s="130" t="str">
        <f t="shared" si="0"/>
        <v/>
      </c>
      <c r="N12" s="130" t="str">
        <f t="shared" si="1"/>
        <v/>
      </c>
      <c r="O12" s="130" t="str">
        <f t="shared" si="2"/>
        <v/>
      </c>
      <c r="P12" s="27">
        <f>IF(W12&lt;&gt;"",I12*(1+W12),IF(X12&lt;&gt;"",X12*$P$9,Y12*$Q$1))</f>
        <v>0</v>
      </c>
      <c r="Q12" s="27" t="e">
        <f t="shared" ref="Q12" si="29">P12/$Q$1</f>
        <v>#DIV/0!</v>
      </c>
      <c r="R12" s="25" t="e">
        <f t="shared" si="8"/>
        <v>#DIV/0!</v>
      </c>
      <c r="S12" s="28" t="e">
        <f>P12/$Q$2</f>
        <v>#DIV/0!</v>
      </c>
      <c r="T12" s="130" t="str">
        <f>IFERROR(P12/I12-1,"")</f>
        <v/>
      </c>
      <c r="U12" s="12"/>
      <c r="V12" s="44" t="str">
        <f>IF(C12&lt;&gt;"",C12,D12)&amp;"*"</f>
        <v>Bad Debt*</v>
      </c>
      <c r="W12" s="213"/>
      <c r="X12" s="219"/>
      <c r="Y12" s="220"/>
      <c r="Z12" s="232"/>
      <c r="AA12" s="233"/>
      <c r="AB12" s="234"/>
      <c r="AC12" s="213"/>
      <c r="AD12" s="235">
        <f>AC12</f>
        <v>0</v>
      </c>
      <c r="AE12" s="115">
        <f t="shared" ref="AE12:AK12" si="30">AD12</f>
        <v>0</v>
      </c>
      <c r="AF12" s="235">
        <f t="shared" si="30"/>
        <v>0</v>
      </c>
      <c r="AG12" s="115">
        <f t="shared" si="30"/>
        <v>0</v>
      </c>
      <c r="AH12" s="235">
        <f t="shared" si="30"/>
        <v>0</v>
      </c>
      <c r="AI12" s="115">
        <f t="shared" si="30"/>
        <v>0</v>
      </c>
      <c r="AJ12" s="235">
        <f t="shared" si="30"/>
        <v>0</v>
      </c>
      <c r="AK12" s="115">
        <f t="shared" si="30"/>
        <v>0</v>
      </c>
      <c r="AM12" s="43" t="str">
        <f t="shared" si="4"/>
        <v>Bad Debt</v>
      </c>
      <c r="AN12" s="33">
        <f t="shared" si="10"/>
        <v>0</v>
      </c>
      <c r="AO12" s="53">
        <f>IF(Z12&lt;&gt;"",AN12*(1+Z12),IF(AA12&lt;&gt;"",AO$9*AA12,AB12*$Q$1))</f>
        <v>0</v>
      </c>
      <c r="AP12" s="53">
        <f t="shared" ref="AP12:AX12" si="31">AC12*AP$9</f>
        <v>0</v>
      </c>
      <c r="AQ12" s="53">
        <f t="shared" si="31"/>
        <v>0</v>
      </c>
      <c r="AR12" s="53">
        <f t="shared" si="31"/>
        <v>0</v>
      </c>
      <c r="AS12" s="53">
        <f t="shared" si="31"/>
        <v>0</v>
      </c>
      <c r="AT12" s="53">
        <f t="shared" si="31"/>
        <v>0</v>
      </c>
      <c r="AU12" s="53">
        <f t="shared" si="31"/>
        <v>0</v>
      </c>
      <c r="AV12" s="53">
        <f t="shared" si="31"/>
        <v>0</v>
      </c>
      <c r="AW12" s="53">
        <f t="shared" si="31"/>
        <v>0</v>
      </c>
      <c r="AX12" s="53">
        <f t="shared" si="31"/>
        <v>0</v>
      </c>
    </row>
    <row r="13" spans="3:50" ht="15" customHeight="1" x14ac:dyDescent="0.4">
      <c r="C13" s="21" t="s">
        <v>13</v>
      </c>
      <c r="D13" s="21"/>
      <c r="E13" s="49">
        <f t="shared" ref="E13:L13" si="32">SUM(E9:E12)</f>
        <v>0</v>
      </c>
      <c r="F13" s="55">
        <f t="shared" si="32"/>
        <v>0</v>
      </c>
      <c r="G13" s="49">
        <f t="shared" si="32"/>
        <v>0</v>
      </c>
      <c r="H13" s="49">
        <f t="shared" si="32"/>
        <v>0</v>
      </c>
      <c r="I13" s="30">
        <f t="shared" si="32"/>
        <v>0</v>
      </c>
      <c r="J13" s="30" t="e">
        <f t="shared" si="32"/>
        <v>#DIV/0!</v>
      </c>
      <c r="K13" s="139" t="e">
        <f t="shared" si="32"/>
        <v>#DIV/0!</v>
      </c>
      <c r="L13" s="31" t="e">
        <f t="shared" si="32"/>
        <v>#DIV/0!</v>
      </c>
      <c r="M13" s="132" t="str">
        <f t="shared" si="0"/>
        <v/>
      </c>
      <c r="N13" s="132" t="str">
        <f t="shared" si="1"/>
        <v/>
      </c>
      <c r="O13" s="132" t="str">
        <f t="shared" si="2"/>
        <v/>
      </c>
      <c r="P13" s="30">
        <f>SUM(P9:P12)</f>
        <v>0</v>
      </c>
      <c r="Q13" s="30" t="e">
        <f>SUM(Q9:Q12)</f>
        <v>#DIV/0!</v>
      </c>
      <c r="R13" s="25" t="e">
        <f t="shared" si="8"/>
        <v>#DIV/0!</v>
      </c>
      <c r="S13" s="31" t="e">
        <f>SUM(S9:S12)</f>
        <v>#DIV/0!</v>
      </c>
      <c r="T13" s="132" t="e">
        <f>P13/I13-1</f>
        <v>#DIV/0!</v>
      </c>
      <c r="U13" s="12"/>
      <c r="V13" s="37"/>
      <c r="W13" s="221"/>
      <c r="X13" s="214"/>
      <c r="Y13" s="215"/>
      <c r="AB13" s="207"/>
      <c r="AC13" s="207"/>
      <c r="AD13" s="11"/>
      <c r="AE13" s="11"/>
      <c r="AF13" s="11"/>
      <c r="AG13" s="11"/>
      <c r="AH13" s="11"/>
      <c r="AI13" s="11"/>
      <c r="AJ13" s="11"/>
      <c r="AK13" s="11"/>
      <c r="AM13" s="21" t="str">
        <f t="shared" si="4"/>
        <v>Net Effective</v>
      </c>
      <c r="AN13" s="49">
        <f t="shared" ref="AN13:AX13" si="33">SUM(AN9:AN12)</f>
        <v>0</v>
      </c>
      <c r="AO13" s="55">
        <f t="shared" si="33"/>
        <v>0</v>
      </c>
      <c r="AP13" s="55">
        <f t="shared" si="33"/>
        <v>0</v>
      </c>
      <c r="AQ13" s="55">
        <f t="shared" si="33"/>
        <v>0</v>
      </c>
      <c r="AR13" s="55">
        <f t="shared" si="33"/>
        <v>0</v>
      </c>
      <c r="AS13" s="55">
        <f t="shared" si="33"/>
        <v>0</v>
      </c>
      <c r="AT13" s="55">
        <f t="shared" si="33"/>
        <v>0</v>
      </c>
      <c r="AU13" s="55">
        <f t="shared" si="33"/>
        <v>0</v>
      </c>
      <c r="AV13" s="55">
        <f t="shared" si="33"/>
        <v>0</v>
      </c>
      <c r="AW13" s="55">
        <f t="shared" si="33"/>
        <v>0</v>
      </c>
      <c r="AX13" s="55">
        <f t="shared" si="33"/>
        <v>0</v>
      </c>
    </row>
    <row r="14" spans="3:50" ht="15" customHeight="1" x14ac:dyDescent="0.4">
      <c r="C14" s="21"/>
      <c r="D14" s="111" t="s">
        <v>14</v>
      </c>
      <c r="E14" s="103"/>
      <c r="F14" s="103"/>
      <c r="G14" s="103"/>
      <c r="H14" s="103"/>
      <c r="I14" s="27">
        <f t="shared" ref="I14:I26" si="34">H14*4</f>
        <v>0</v>
      </c>
      <c r="J14" s="27" t="e">
        <f>I14/$Q$1</f>
        <v>#DIV/0!</v>
      </c>
      <c r="K14" s="25" t="e">
        <f t="shared" ref="K14:K17" si="35">I14/$I$7</f>
        <v>#DIV/0!</v>
      </c>
      <c r="L14" s="28" t="e">
        <f t="shared" ref="L14:L22" si="36">I14/$Q$2</f>
        <v>#DIV/0!</v>
      </c>
      <c r="M14" s="130" t="str">
        <f t="shared" ref="M14:M17" si="37">IFERROR(F14/E14-1,"")</f>
        <v/>
      </c>
      <c r="N14" s="130" t="str">
        <f t="shared" ref="N14:N17" si="38">IFERROR(G14/F14-1,"")</f>
        <v/>
      </c>
      <c r="O14" s="130" t="str">
        <f t="shared" ref="O14:O17" si="39">IFERROR(I14/G14-1,"")</f>
        <v/>
      </c>
      <c r="P14" s="27">
        <f>IF(W14&lt;&gt;"",I14*(1+W14),IF(X14&lt;&gt;"",X14*$P$9,Y14*$Q$1))</f>
        <v>0</v>
      </c>
      <c r="Q14" s="27" t="e">
        <f t="shared" ref="Q14" si="40">P14/$Q$1</f>
        <v>#DIV/0!</v>
      </c>
      <c r="R14" s="25" t="e">
        <f t="shared" si="8"/>
        <v>#DIV/0!</v>
      </c>
      <c r="S14" s="28" t="e">
        <f t="shared" ref="S14:S23" si="41">P14/$Q$2</f>
        <v>#DIV/0!</v>
      </c>
      <c r="T14" s="130" t="str">
        <f t="shared" ref="T14:T26" si="42">IFERROR(P14/I14-1,"")</f>
        <v/>
      </c>
      <c r="U14" s="12"/>
      <c r="V14" s="44" t="str">
        <f t="shared" ref="V14:V26" si="43">IF(C14&lt;&gt;"",C14,D14)</f>
        <v>Employee Discounts</v>
      </c>
      <c r="W14" s="213"/>
      <c r="X14" s="219"/>
      <c r="Y14" s="220"/>
      <c r="Z14" s="232"/>
      <c r="AA14" s="233"/>
      <c r="AB14" s="234"/>
      <c r="AC14" s="213"/>
      <c r="AD14" s="235">
        <f>AC14</f>
        <v>0</v>
      </c>
      <c r="AE14" s="115">
        <f t="shared" ref="AE14:AK14" si="44">AD14</f>
        <v>0</v>
      </c>
      <c r="AF14" s="235">
        <f t="shared" si="44"/>
        <v>0</v>
      </c>
      <c r="AG14" s="115">
        <f t="shared" si="44"/>
        <v>0</v>
      </c>
      <c r="AH14" s="235">
        <f t="shared" si="44"/>
        <v>0</v>
      </c>
      <c r="AI14" s="115">
        <f t="shared" si="44"/>
        <v>0</v>
      </c>
      <c r="AJ14" s="235">
        <f t="shared" si="44"/>
        <v>0</v>
      </c>
      <c r="AK14" s="115">
        <f t="shared" si="44"/>
        <v>0</v>
      </c>
      <c r="AM14" s="43" t="str">
        <f t="shared" si="4"/>
        <v>Employee Discounts</v>
      </c>
      <c r="AN14" s="33">
        <f t="shared" si="10"/>
        <v>0</v>
      </c>
      <c r="AO14" s="53">
        <f>IF(Z14&lt;&gt;"",AN14*(1+Z14),IF(AA14&lt;&gt;"",AO$9*AA14,AB14*$Q$1))</f>
        <v>0</v>
      </c>
      <c r="AP14" s="53">
        <f t="shared" si="17"/>
        <v>0</v>
      </c>
      <c r="AQ14" s="53">
        <f t="shared" ref="AQ14:AQ26" si="45">AP14*(1+AD14)</f>
        <v>0</v>
      </c>
      <c r="AR14" s="53">
        <f t="shared" ref="AR14:AR26" si="46">AQ14*(1+AE14)</f>
        <v>0</v>
      </c>
      <c r="AS14" s="53">
        <f t="shared" ref="AS14:AS26" si="47">AR14*(1+AF14)</f>
        <v>0</v>
      </c>
      <c r="AT14" s="53">
        <f t="shared" ref="AT14:AT26" si="48">AS14*(1+AG14)</f>
        <v>0</v>
      </c>
      <c r="AU14" s="53">
        <f t="shared" ref="AU14:AU26" si="49">AT14*(1+AH14)</f>
        <v>0</v>
      </c>
      <c r="AV14" s="53">
        <f t="shared" ref="AV14:AV26" si="50">AU14*(1+AI14)</f>
        <v>0</v>
      </c>
      <c r="AW14" s="53">
        <f t="shared" ref="AW14:AW26" si="51">AV14*(1+AJ14)</f>
        <v>0</v>
      </c>
      <c r="AX14" s="53">
        <f t="shared" ref="AX14:AX26" si="52">AW14*(1+AK14)</f>
        <v>0</v>
      </c>
    </row>
    <row r="15" spans="3:50" ht="15" customHeight="1" x14ac:dyDescent="0.4">
      <c r="C15" s="21"/>
      <c r="D15" s="111" t="s">
        <v>15</v>
      </c>
      <c r="E15" s="103"/>
      <c r="F15" s="103"/>
      <c r="G15" s="103"/>
      <c r="H15" s="103"/>
      <c r="I15" s="27">
        <f t="shared" si="34"/>
        <v>0</v>
      </c>
      <c r="J15" s="27" t="e">
        <f>I15/$Q$1</f>
        <v>#DIV/0!</v>
      </c>
      <c r="K15" s="25" t="e">
        <f t="shared" si="35"/>
        <v>#DIV/0!</v>
      </c>
      <c r="L15" s="28" t="e">
        <f t="shared" si="36"/>
        <v>#DIV/0!</v>
      </c>
      <c r="M15" s="130" t="str">
        <f t="shared" si="37"/>
        <v/>
      </c>
      <c r="N15" s="130" t="str">
        <f t="shared" si="38"/>
        <v/>
      </c>
      <c r="O15" s="130" t="str">
        <f t="shared" si="39"/>
        <v/>
      </c>
      <c r="P15" s="27">
        <f>IF(W15&lt;&gt;"",I15*(1+W15),IF(X15&lt;&gt;"",X15*$P$9,Y15*$Q$1))</f>
        <v>0</v>
      </c>
      <c r="Q15" s="27" t="e">
        <f t="shared" ref="Q15" si="53">P15/$Q$1</f>
        <v>#DIV/0!</v>
      </c>
      <c r="R15" s="25" t="e">
        <f t="shared" si="8"/>
        <v>#DIV/0!</v>
      </c>
      <c r="S15" s="28" t="e">
        <f t="shared" si="41"/>
        <v>#DIV/0!</v>
      </c>
      <c r="T15" s="130" t="str">
        <f t="shared" si="42"/>
        <v/>
      </c>
      <c r="U15" s="12"/>
      <c r="V15" s="44" t="str">
        <f t="shared" si="43"/>
        <v>Model Unit Loss</v>
      </c>
      <c r="W15" s="213"/>
      <c r="X15" s="219"/>
      <c r="Y15" s="220"/>
      <c r="Z15" s="232"/>
      <c r="AA15" s="233"/>
      <c r="AB15" s="234"/>
      <c r="AC15" s="213"/>
      <c r="AD15" s="235">
        <f>AC15</f>
        <v>0</v>
      </c>
      <c r="AE15" s="115">
        <f t="shared" ref="AE15:AK15" si="54">AD15</f>
        <v>0</v>
      </c>
      <c r="AF15" s="235">
        <f t="shared" si="54"/>
        <v>0</v>
      </c>
      <c r="AG15" s="115">
        <f t="shared" si="54"/>
        <v>0</v>
      </c>
      <c r="AH15" s="235">
        <f t="shared" si="54"/>
        <v>0</v>
      </c>
      <c r="AI15" s="115">
        <f t="shared" si="54"/>
        <v>0</v>
      </c>
      <c r="AJ15" s="235">
        <f t="shared" si="54"/>
        <v>0</v>
      </c>
      <c r="AK15" s="115">
        <f t="shared" si="54"/>
        <v>0</v>
      </c>
      <c r="AM15" s="43" t="str">
        <f t="shared" si="4"/>
        <v>Model Unit Loss</v>
      </c>
      <c r="AN15" s="33">
        <f t="shared" si="10"/>
        <v>0</v>
      </c>
      <c r="AO15" s="53">
        <f>IF(Z15&lt;&gt;"",AN15*(1+Z15),IF(AA15&lt;&gt;"",AO$9*AA15,AB15*$Q$1))</f>
        <v>0</v>
      </c>
      <c r="AP15" s="53">
        <f t="shared" si="17"/>
        <v>0</v>
      </c>
      <c r="AQ15" s="53">
        <f t="shared" si="45"/>
        <v>0</v>
      </c>
      <c r="AR15" s="53">
        <f t="shared" si="46"/>
        <v>0</v>
      </c>
      <c r="AS15" s="53">
        <f t="shared" si="47"/>
        <v>0</v>
      </c>
      <c r="AT15" s="53">
        <f t="shared" si="48"/>
        <v>0</v>
      </c>
      <c r="AU15" s="53">
        <f t="shared" si="49"/>
        <v>0</v>
      </c>
      <c r="AV15" s="53">
        <f t="shared" si="50"/>
        <v>0</v>
      </c>
      <c r="AW15" s="53">
        <f t="shared" si="51"/>
        <v>0</v>
      </c>
      <c r="AX15" s="53">
        <f t="shared" si="52"/>
        <v>0</v>
      </c>
    </row>
    <row r="16" spans="3:50" ht="15" customHeight="1" x14ac:dyDescent="0.4">
      <c r="C16" s="21"/>
      <c r="D16" s="111" t="s">
        <v>16</v>
      </c>
      <c r="E16" s="103"/>
      <c r="F16" s="103"/>
      <c r="G16" s="103"/>
      <c r="H16" s="103"/>
      <c r="I16" s="27">
        <f t="shared" si="34"/>
        <v>0</v>
      </c>
      <c r="J16" s="27" t="e">
        <f>I16/$Q$1</f>
        <v>#DIV/0!</v>
      </c>
      <c r="K16" s="25" t="e">
        <f t="shared" si="35"/>
        <v>#DIV/0!</v>
      </c>
      <c r="L16" s="28" t="e">
        <f t="shared" si="36"/>
        <v>#DIV/0!</v>
      </c>
      <c r="M16" s="130" t="str">
        <f t="shared" si="37"/>
        <v/>
      </c>
      <c r="N16" s="130" t="str">
        <f t="shared" si="38"/>
        <v/>
      </c>
      <c r="O16" s="130" t="str">
        <f t="shared" si="39"/>
        <v/>
      </c>
      <c r="P16" s="27">
        <f>IF(W16&lt;&gt;"",I16*(1+W16),IF(X16&lt;&gt;"",X16*$P$9,Y16*$Q$1))</f>
        <v>0</v>
      </c>
      <c r="Q16" s="27" t="e">
        <f t="shared" ref="Q16" si="55">P16/$Q$1</f>
        <v>#DIV/0!</v>
      </c>
      <c r="R16" s="25" t="e">
        <f t="shared" si="8"/>
        <v>#DIV/0!</v>
      </c>
      <c r="S16" s="28" t="e">
        <f t="shared" si="41"/>
        <v>#DIV/0!</v>
      </c>
      <c r="T16" s="130" t="str">
        <f t="shared" si="42"/>
        <v/>
      </c>
      <c r="U16" s="12"/>
      <c r="V16" s="44" t="str">
        <f t="shared" si="43"/>
        <v>Garage/Parking</v>
      </c>
      <c r="W16" s="213"/>
      <c r="X16" s="219"/>
      <c r="Y16" s="220"/>
      <c r="Z16" s="232"/>
      <c r="AA16" s="233"/>
      <c r="AB16" s="234"/>
      <c r="AC16" s="213"/>
      <c r="AD16" s="235">
        <f>AC16</f>
        <v>0</v>
      </c>
      <c r="AE16" s="115">
        <f t="shared" ref="AE16:AK16" si="56">AD16</f>
        <v>0</v>
      </c>
      <c r="AF16" s="235">
        <f t="shared" si="56"/>
        <v>0</v>
      </c>
      <c r="AG16" s="115">
        <f t="shared" si="56"/>
        <v>0</v>
      </c>
      <c r="AH16" s="235">
        <f t="shared" si="56"/>
        <v>0</v>
      </c>
      <c r="AI16" s="115">
        <f t="shared" si="56"/>
        <v>0</v>
      </c>
      <c r="AJ16" s="235">
        <f t="shared" si="56"/>
        <v>0</v>
      </c>
      <c r="AK16" s="115">
        <f t="shared" si="56"/>
        <v>0</v>
      </c>
      <c r="AM16" s="43" t="str">
        <f t="shared" si="4"/>
        <v>Garage/Parking</v>
      </c>
      <c r="AN16" s="33">
        <f t="shared" si="10"/>
        <v>0</v>
      </c>
      <c r="AO16" s="53">
        <f>IF(Z16&lt;&gt;"",AN16*(1+Z16),IF(AA16&lt;&gt;"",AO$9*AA16,AB16*$Q$1))</f>
        <v>0</v>
      </c>
      <c r="AP16" s="53">
        <f t="shared" si="17"/>
        <v>0</v>
      </c>
      <c r="AQ16" s="53">
        <f t="shared" si="45"/>
        <v>0</v>
      </c>
      <c r="AR16" s="53">
        <f t="shared" si="46"/>
        <v>0</v>
      </c>
      <c r="AS16" s="53">
        <f t="shared" si="47"/>
        <v>0</v>
      </c>
      <c r="AT16" s="53">
        <f t="shared" si="48"/>
        <v>0</v>
      </c>
      <c r="AU16" s="53">
        <f t="shared" si="49"/>
        <v>0</v>
      </c>
      <c r="AV16" s="53">
        <f t="shared" si="50"/>
        <v>0</v>
      </c>
      <c r="AW16" s="53">
        <f t="shared" si="51"/>
        <v>0</v>
      </c>
      <c r="AX16" s="53">
        <f t="shared" si="52"/>
        <v>0</v>
      </c>
    </row>
    <row r="17" spans="3:50" ht="15" customHeight="1" x14ac:dyDescent="0.4">
      <c r="C17" s="21"/>
      <c r="D17" s="111" t="s">
        <v>17</v>
      </c>
      <c r="E17" s="103"/>
      <c r="F17" s="103"/>
      <c r="G17" s="103"/>
      <c r="H17" s="103"/>
      <c r="I17" s="27">
        <f t="shared" si="34"/>
        <v>0</v>
      </c>
      <c r="J17" s="27" t="e">
        <f>I17/$Q$1</f>
        <v>#DIV/0!</v>
      </c>
      <c r="K17" s="25" t="e">
        <f t="shared" si="35"/>
        <v>#DIV/0!</v>
      </c>
      <c r="L17" s="28" t="e">
        <f t="shared" si="36"/>
        <v>#DIV/0!</v>
      </c>
      <c r="M17" s="130" t="str">
        <f t="shared" si="37"/>
        <v/>
      </c>
      <c r="N17" s="130" t="str">
        <f t="shared" si="38"/>
        <v/>
      </c>
      <c r="O17" s="130" t="str">
        <f t="shared" si="39"/>
        <v/>
      </c>
      <c r="P17" s="27">
        <f>IF(W17&lt;&gt;"",I17*(1+W17),IF(X17&lt;&gt;"",X17*$P$9,Y17*$Q$1))</f>
        <v>0</v>
      </c>
      <c r="Q17" s="27" t="e">
        <f t="shared" ref="Q17" si="57">P17/$Q$1</f>
        <v>#DIV/0!</v>
      </c>
      <c r="R17" s="25" t="e">
        <f t="shared" si="8"/>
        <v>#DIV/0!</v>
      </c>
      <c r="S17" s="28" t="e">
        <f t="shared" si="41"/>
        <v>#DIV/0!</v>
      </c>
      <c r="T17" s="130" t="str">
        <f t="shared" si="42"/>
        <v/>
      </c>
      <c r="U17" s="12"/>
      <c r="V17" s="44" t="str">
        <f t="shared" si="43"/>
        <v>Laundry</v>
      </c>
      <c r="W17" s="213"/>
      <c r="X17" s="219"/>
      <c r="Y17" s="220"/>
      <c r="Z17" s="232"/>
      <c r="AA17" s="233"/>
      <c r="AB17" s="234"/>
      <c r="AC17" s="213"/>
      <c r="AD17" s="235">
        <f>AC17</f>
        <v>0</v>
      </c>
      <c r="AE17" s="115">
        <f t="shared" ref="AE17:AK17" si="58">AD17</f>
        <v>0</v>
      </c>
      <c r="AF17" s="235">
        <f t="shared" si="58"/>
        <v>0</v>
      </c>
      <c r="AG17" s="115">
        <f t="shared" si="58"/>
        <v>0</v>
      </c>
      <c r="AH17" s="235">
        <f t="shared" si="58"/>
        <v>0</v>
      </c>
      <c r="AI17" s="115">
        <f t="shared" si="58"/>
        <v>0</v>
      </c>
      <c r="AJ17" s="235">
        <f t="shared" si="58"/>
        <v>0</v>
      </c>
      <c r="AK17" s="115">
        <f t="shared" si="58"/>
        <v>0</v>
      </c>
      <c r="AM17" s="43" t="str">
        <f t="shared" si="4"/>
        <v>Laundry</v>
      </c>
      <c r="AN17" s="33">
        <f t="shared" si="10"/>
        <v>0</v>
      </c>
      <c r="AO17" s="53">
        <f>IF(Z17&lt;&gt;"",AN17*(1+Z17),IF(AA17&lt;&gt;"",AO$9*AA17,AB17*$Q$1))</f>
        <v>0</v>
      </c>
      <c r="AP17" s="53">
        <f t="shared" si="17"/>
        <v>0</v>
      </c>
      <c r="AQ17" s="53">
        <f t="shared" si="45"/>
        <v>0</v>
      </c>
      <c r="AR17" s="53">
        <f t="shared" si="46"/>
        <v>0</v>
      </c>
      <c r="AS17" s="53">
        <f t="shared" si="47"/>
        <v>0</v>
      </c>
      <c r="AT17" s="53">
        <f t="shared" si="48"/>
        <v>0</v>
      </c>
      <c r="AU17" s="53">
        <f t="shared" si="49"/>
        <v>0</v>
      </c>
      <c r="AV17" s="53">
        <f t="shared" si="50"/>
        <v>0</v>
      </c>
      <c r="AW17" s="53">
        <f t="shared" si="51"/>
        <v>0</v>
      </c>
      <c r="AX17" s="53">
        <f t="shared" si="52"/>
        <v>0</v>
      </c>
    </row>
    <row r="18" spans="3:50" ht="15" customHeight="1" x14ac:dyDescent="0.4">
      <c r="C18" s="21"/>
      <c r="D18" s="111" t="s">
        <v>18</v>
      </c>
      <c r="E18" s="103"/>
      <c r="F18" s="103"/>
      <c r="G18" s="103"/>
      <c r="H18" s="103"/>
      <c r="I18" s="27">
        <f t="shared" ref="I18" si="59">H18*4</f>
        <v>0</v>
      </c>
      <c r="J18" s="27" t="e">
        <f>I18/$Q$1</f>
        <v>#DIV/0!</v>
      </c>
      <c r="K18" s="25" t="e">
        <f t="shared" ref="K18" si="60">I18/$I$7</f>
        <v>#DIV/0!</v>
      </c>
      <c r="L18" s="28" t="e">
        <f t="shared" ref="L18" si="61">I18/$Q$2</f>
        <v>#DIV/0!</v>
      </c>
      <c r="M18" s="130" t="str">
        <f t="shared" ref="M18" si="62">IFERROR(F18/E18-1,"")</f>
        <v/>
      </c>
      <c r="N18" s="130" t="str">
        <f t="shared" ref="N18" si="63">IFERROR(G18/F18-1,"")</f>
        <v/>
      </c>
      <c r="O18" s="130" t="str">
        <f t="shared" ref="O18" si="64">IFERROR(I18/G18-1,"")</f>
        <v/>
      </c>
      <c r="P18" s="27">
        <f>IF(W18&lt;&gt;"",I18*(1+W18),IF(X18&lt;&gt;"",X18*$P$9,Y18*$Q$1))</f>
        <v>0</v>
      </c>
      <c r="Q18" s="27" t="e">
        <f t="shared" ref="Q18" si="65">P18/$Q$1</f>
        <v>#DIV/0!</v>
      </c>
      <c r="R18" s="25" t="e">
        <f t="shared" ref="R18" si="66">P18/$P$7</f>
        <v>#DIV/0!</v>
      </c>
      <c r="S18" s="28" t="e">
        <f t="shared" ref="S18" si="67">P18/$Q$2</f>
        <v>#DIV/0!</v>
      </c>
      <c r="T18" s="130" t="str">
        <f t="shared" ref="T18" si="68">IFERROR(P18/I18-1,"")</f>
        <v/>
      </c>
      <c r="U18" s="12"/>
      <c r="V18" s="44" t="str">
        <f t="shared" si="43"/>
        <v>Utility Reimbursement</v>
      </c>
      <c r="W18" s="213"/>
      <c r="X18" s="219"/>
      <c r="Y18" s="220"/>
      <c r="Z18" s="232"/>
      <c r="AA18" s="233"/>
      <c r="AB18" s="234"/>
      <c r="AC18" s="213"/>
      <c r="AD18" s="235">
        <f>AC18</f>
        <v>0</v>
      </c>
      <c r="AE18" s="115">
        <f t="shared" ref="AE18" si="69">AD18</f>
        <v>0</v>
      </c>
      <c r="AF18" s="235">
        <f t="shared" ref="AF18" si="70">AE18</f>
        <v>0</v>
      </c>
      <c r="AG18" s="115">
        <f t="shared" ref="AG18" si="71">AF18</f>
        <v>0</v>
      </c>
      <c r="AH18" s="235">
        <f t="shared" ref="AH18" si="72">AG18</f>
        <v>0</v>
      </c>
      <c r="AI18" s="115">
        <f t="shared" ref="AI18" si="73">AH18</f>
        <v>0</v>
      </c>
      <c r="AJ18" s="235">
        <f t="shared" ref="AJ18" si="74">AI18</f>
        <v>0</v>
      </c>
      <c r="AK18" s="115">
        <f t="shared" ref="AK18" si="75">AJ18</f>
        <v>0</v>
      </c>
      <c r="AM18" s="43" t="str">
        <f t="shared" si="4"/>
        <v>Utility Reimbursement</v>
      </c>
      <c r="AN18" s="33">
        <f t="shared" ref="AN18" si="76">P18</f>
        <v>0</v>
      </c>
      <c r="AO18" s="53">
        <f>IF(Z18&lt;&gt;"",AN18*(1+Z18),IF(AA18&lt;&gt;"",AO$9*AA18,AB18*$Q$1))</f>
        <v>0</v>
      </c>
      <c r="AP18" s="53">
        <f t="shared" ref="AP18" si="77">AO18*(1+AC18)</f>
        <v>0</v>
      </c>
      <c r="AQ18" s="53">
        <f t="shared" ref="AQ18" si="78">AP18*(1+AD18)</f>
        <v>0</v>
      </c>
      <c r="AR18" s="53">
        <f t="shared" ref="AR18" si="79">AQ18*(1+AE18)</f>
        <v>0</v>
      </c>
      <c r="AS18" s="53">
        <f t="shared" ref="AS18" si="80">AR18*(1+AF18)</f>
        <v>0</v>
      </c>
      <c r="AT18" s="53">
        <f t="shared" ref="AT18" si="81">AS18*(1+AG18)</f>
        <v>0</v>
      </c>
      <c r="AU18" s="53">
        <f t="shared" ref="AU18" si="82">AT18*(1+AH18)</f>
        <v>0</v>
      </c>
      <c r="AV18" s="53">
        <f t="shared" ref="AV18" si="83">AU18*(1+AI18)</f>
        <v>0</v>
      </c>
      <c r="AW18" s="53">
        <f t="shared" ref="AW18" si="84">AV18*(1+AJ18)</f>
        <v>0</v>
      </c>
      <c r="AX18" s="53">
        <f t="shared" ref="AX18" si="85">AW18*(1+AK18)</f>
        <v>0</v>
      </c>
    </row>
    <row r="19" spans="3:50" ht="15" customHeight="1" x14ac:dyDescent="0.4">
      <c r="C19" s="21"/>
      <c r="D19" s="111" t="s">
        <v>19</v>
      </c>
      <c r="E19" s="103"/>
      <c r="F19" s="103"/>
      <c r="G19" s="103"/>
      <c r="H19" s="103"/>
      <c r="I19" s="27">
        <f t="shared" si="34"/>
        <v>0</v>
      </c>
      <c r="J19" s="27" t="e">
        <f t="shared" ref="J19:J26" si="86">I19/$Q$1</f>
        <v>#DIV/0!</v>
      </c>
      <c r="K19" s="25" t="e">
        <f t="shared" ref="K19:K26" si="87">I19/$I$7</f>
        <v>#DIV/0!</v>
      </c>
      <c r="L19" s="28" t="e">
        <f t="shared" si="36"/>
        <v>#DIV/0!</v>
      </c>
      <c r="M19" s="130" t="str">
        <f t="shared" si="0"/>
        <v/>
      </c>
      <c r="N19" s="130" t="str">
        <f t="shared" si="1"/>
        <v/>
      </c>
      <c r="O19" s="130" t="str">
        <f t="shared" si="2"/>
        <v/>
      </c>
      <c r="P19" s="27">
        <f t="shared" ref="P19:P26" si="88">IF(W19&lt;&gt;"",I19*(1+W19),IF(X19&lt;&gt;"",X19*$P$9,Y19*$Q$1))</f>
        <v>0</v>
      </c>
      <c r="Q19" s="27" t="e">
        <f t="shared" ref="Q19:Q23" si="89">P19/$Q$1</f>
        <v>#DIV/0!</v>
      </c>
      <c r="R19" s="25" t="e">
        <f t="shared" si="8"/>
        <v>#DIV/0!</v>
      </c>
      <c r="S19" s="28" t="e">
        <f t="shared" si="41"/>
        <v>#DIV/0!</v>
      </c>
      <c r="T19" s="130" t="str">
        <f t="shared" si="42"/>
        <v/>
      </c>
      <c r="U19" s="12"/>
      <c r="V19" s="44" t="str">
        <f t="shared" si="43"/>
        <v>Water/Sewer</v>
      </c>
      <c r="W19" s="213"/>
      <c r="X19" s="219"/>
      <c r="Y19" s="220"/>
      <c r="Z19" s="232"/>
      <c r="AA19" s="233"/>
      <c r="AB19" s="234"/>
      <c r="AC19" s="213"/>
      <c r="AD19" s="235">
        <f t="shared" ref="AD19:AD26" si="90">AC19</f>
        <v>0</v>
      </c>
      <c r="AE19" s="115">
        <f t="shared" ref="AE19:AK19" si="91">AD19</f>
        <v>0</v>
      </c>
      <c r="AF19" s="235">
        <f t="shared" si="91"/>
        <v>0</v>
      </c>
      <c r="AG19" s="115">
        <f t="shared" si="91"/>
        <v>0</v>
      </c>
      <c r="AH19" s="235">
        <f t="shared" si="91"/>
        <v>0</v>
      </c>
      <c r="AI19" s="115">
        <f t="shared" si="91"/>
        <v>0</v>
      </c>
      <c r="AJ19" s="235">
        <f t="shared" si="91"/>
        <v>0</v>
      </c>
      <c r="AK19" s="115">
        <f t="shared" si="91"/>
        <v>0</v>
      </c>
      <c r="AM19" s="43" t="str">
        <f t="shared" si="4"/>
        <v>Water/Sewer</v>
      </c>
      <c r="AN19" s="33">
        <f t="shared" si="10"/>
        <v>0</v>
      </c>
      <c r="AO19" s="53">
        <f t="shared" ref="AO19:AO26" si="92">IF(Z19&lt;&gt;"",AN19*(1+Z19),IF(AA19&lt;&gt;"",AO$9*AA19,AB19*$Q$1))</f>
        <v>0</v>
      </c>
      <c r="AP19" s="53">
        <f t="shared" si="17"/>
        <v>0</v>
      </c>
      <c r="AQ19" s="53">
        <f t="shared" si="45"/>
        <v>0</v>
      </c>
      <c r="AR19" s="53">
        <f t="shared" si="46"/>
        <v>0</v>
      </c>
      <c r="AS19" s="53">
        <f t="shared" si="47"/>
        <v>0</v>
      </c>
      <c r="AT19" s="53">
        <f t="shared" si="48"/>
        <v>0</v>
      </c>
      <c r="AU19" s="53">
        <f t="shared" si="49"/>
        <v>0</v>
      </c>
      <c r="AV19" s="53">
        <f t="shared" si="50"/>
        <v>0</v>
      </c>
      <c r="AW19" s="53">
        <f t="shared" si="51"/>
        <v>0</v>
      </c>
      <c r="AX19" s="53">
        <f t="shared" si="52"/>
        <v>0</v>
      </c>
    </row>
    <row r="20" spans="3:50" ht="15" customHeight="1" x14ac:dyDescent="0.4">
      <c r="C20" s="21"/>
      <c r="D20" s="111" t="s">
        <v>20</v>
      </c>
      <c r="E20" s="103"/>
      <c r="F20" s="104"/>
      <c r="G20" s="103"/>
      <c r="H20" s="103"/>
      <c r="I20" s="27">
        <f t="shared" si="34"/>
        <v>0</v>
      </c>
      <c r="J20" s="27" t="e">
        <f t="shared" si="86"/>
        <v>#DIV/0!</v>
      </c>
      <c r="K20" s="25" t="e">
        <f t="shared" si="87"/>
        <v>#DIV/0!</v>
      </c>
      <c r="L20" s="28" t="e">
        <f t="shared" si="36"/>
        <v>#DIV/0!</v>
      </c>
      <c r="M20" s="130" t="str">
        <f t="shared" si="0"/>
        <v/>
      </c>
      <c r="N20" s="130" t="str">
        <f t="shared" si="1"/>
        <v/>
      </c>
      <c r="O20" s="130" t="str">
        <f t="shared" si="2"/>
        <v/>
      </c>
      <c r="P20" s="27">
        <f t="shared" si="88"/>
        <v>0</v>
      </c>
      <c r="Q20" s="27" t="e">
        <f t="shared" si="89"/>
        <v>#DIV/0!</v>
      </c>
      <c r="R20" s="25" t="e">
        <f t="shared" si="8"/>
        <v>#DIV/0!</v>
      </c>
      <c r="S20" s="28" t="e">
        <f t="shared" si="41"/>
        <v>#DIV/0!</v>
      </c>
      <c r="T20" s="130" t="str">
        <f t="shared" si="42"/>
        <v/>
      </c>
      <c r="U20" s="12"/>
      <c r="V20" s="44" t="str">
        <f t="shared" si="43"/>
        <v>Trash</v>
      </c>
      <c r="W20" s="213"/>
      <c r="X20" s="219"/>
      <c r="Y20" s="220"/>
      <c r="Z20" s="232"/>
      <c r="AA20" s="233"/>
      <c r="AB20" s="234"/>
      <c r="AC20" s="213"/>
      <c r="AD20" s="235">
        <f t="shared" si="90"/>
        <v>0</v>
      </c>
      <c r="AE20" s="115">
        <f t="shared" ref="AE20:AK20" si="93">AD20</f>
        <v>0</v>
      </c>
      <c r="AF20" s="235">
        <f t="shared" si="93"/>
        <v>0</v>
      </c>
      <c r="AG20" s="115">
        <f t="shared" si="93"/>
        <v>0</v>
      </c>
      <c r="AH20" s="235">
        <f t="shared" si="93"/>
        <v>0</v>
      </c>
      <c r="AI20" s="115">
        <f t="shared" si="93"/>
        <v>0</v>
      </c>
      <c r="AJ20" s="235">
        <f t="shared" si="93"/>
        <v>0</v>
      </c>
      <c r="AK20" s="115">
        <f t="shared" si="93"/>
        <v>0</v>
      </c>
      <c r="AM20" s="43" t="str">
        <f t="shared" si="4"/>
        <v>Trash</v>
      </c>
      <c r="AN20" s="33">
        <f t="shared" si="10"/>
        <v>0</v>
      </c>
      <c r="AO20" s="53">
        <f t="shared" si="92"/>
        <v>0</v>
      </c>
      <c r="AP20" s="53">
        <f t="shared" si="17"/>
        <v>0</v>
      </c>
      <c r="AQ20" s="53">
        <f t="shared" si="45"/>
        <v>0</v>
      </c>
      <c r="AR20" s="53">
        <f t="shared" si="46"/>
        <v>0</v>
      </c>
      <c r="AS20" s="53">
        <f t="shared" si="47"/>
        <v>0</v>
      </c>
      <c r="AT20" s="53">
        <f t="shared" si="48"/>
        <v>0</v>
      </c>
      <c r="AU20" s="53">
        <f t="shared" si="49"/>
        <v>0</v>
      </c>
      <c r="AV20" s="53">
        <f t="shared" si="50"/>
        <v>0</v>
      </c>
      <c r="AW20" s="53">
        <f t="shared" si="51"/>
        <v>0</v>
      </c>
      <c r="AX20" s="53">
        <f t="shared" si="52"/>
        <v>0</v>
      </c>
    </row>
    <row r="21" spans="3:50" ht="15" customHeight="1" x14ac:dyDescent="0.4">
      <c r="C21" s="21"/>
      <c r="D21" s="111" t="s">
        <v>21</v>
      </c>
      <c r="E21" s="103"/>
      <c r="F21" s="104"/>
      <c r="G21" s="103"/>
      <c r="H21" s="103"/>
      <c r="I21" s="27">
        <f t="shared" si="34"/>
        <v>0</v>
      </c>
      <c r="J21" s="27" t="e">
        <f t="shared" si="86"/>
        <v>#DIV/0!</v>
      </c>
      <c r="K21" s="25" t="e">
        <f t="shared" si="87"/>
        <v>#DIV/0!</v>
      </c>
      <c r="L21" s="28" t="e">
        <f t="shared" si="36"/>
        <v>#DIV/0!</v>
      </c>
      <c r="M21" s="130" t="str">
        <f t="shared" si="0"/>
        <v/>
      </c>
      <c r="N21" s="130" t="str">
        <f t="shared" si="1"/>
        <v/>
      </c>
      <c r="O21" s="130" t="str">
        <f t="shared" si="2"/>
        <v/>
      </c>
      <c r="P21" s="27">
        <f t="shared" si="88"/>
        <v>0</v>
      </c>
      <c r="Q21" s="27" t="e">
        <f t="shared" si="89"/>
        <v>#DIV/0!</v>
      </c>
      <c r="R21" s="25" t="e">
        <f t="shared" si="8"/>
        <v>#DIV/0!</v>
      </c>
      <c r="S21" s="28" t="e">
        <f t="shared" si="41"/>
        <v>#DIV/0!</v>
      </c>
      <c r="T21" s="130" t="str">
        <f t="shared" si="42"/>
        <v/>
      </c>
      <c r="U21" s="12"/>
      <c r="V21" s="44" t="str">
        <f t="shared" si="43"/>
        <v>Gas</v>
      </c>
      <c r="W21" s="213"/>
      <c r="X21" s="219"/>
      <c r="Y21" s="220"/>
      <c r="Z21" s="232"/>
      <c r="AA21" s="233"/>
      <c r="AB21" s="234"/>
      <c r="AC21" s="213"/>
      <c r="AD21" s="235">
        <f t="shared" si="90"/>
        <v>0</v>
      </c>
      <c r="AE21" s="115">
        <f t="shared" ref="AE21:AK21" si="94">AD21</f>
        <v>0</v>
      </c>
      <c r="AF21" s="235">
        <f t="shared" si="94"/>
        <v>0</v>
      </c>
      <c r="AG21" s="115">
        <f t="shared" si="94"/>
        <v>0</v>
      </c>
      <c r="AH21" s="235">
        <f t="shared" si="94"/>
        <v>0</v>
      </c>
      <c r="AI21" s="115">
        <f t="shared" si="94"/>
        <v>0</v>
      </c>
      <c r="AJ21" s="235">
        <f t="shared" si="94"/>
        <v>0</v>
      </c>
      <c r="AK21" s="115">
        <f t="shared" si="94"/>
        <v>0</v>
      </c>
      <c r="AM21" s="43" t="str">
        <f t="shared" si="4"/>
        <v>Gas</v>
      </c>
      <c r="AN21" s="33">
        <f t="shared" si="10"/>
        <v>0</v>
      </c>
      <c r="AO21" s="53">
        <f t="shared" si="92"/>
        <v>0</v>
      </c>
      <c r="AP21" s="53">
        <f t="shared" si="17"/>
        <v>0</v>
      </c>
      <c r="AQ21" s="53">
        <f t="shared" si="45"/>
        <v>0</v>
      </c>
      <c r="AR21" s="53">
        <f t="shared" si="46"/>
        <v>0</v>
      </c>
      <c r="AS21" s="53">
        <f t="shared" si="47"/>
        <v>0</v>
      </c>
      <c r="AT21" s="53">
        <f t="shared" si="48"/>
        <v>0</v>
      </c>
      <c r="AU21" s="53">
        <f t="shared" si="49"/>
        <v>0</v>
      </c>
      <c r="AV21" s="53">
        <f t="shared" si="50"/>
        <v>0</v>
      </c>
      <c r="AW21" s="53">
        <f t="shared" si="51"/>
        <v>0</v>
      </c>
      <c r="AX21" s="53">
        <f t="shared" si="52"/>
        <v>0</v>
      </c>
    </row>
    <row r="22" spans="3:50" ht="15" customHeight="1" x14ac:dyDescent="0.4">
      <c r="C22" s="21"/>
      <c r="D22" s="111" t="s">
        <v>22</v>
      </c>
      <c r="E22" s="103"/>
      <c r="F22" s="104"/>
      <c r="G22" s="103"/>
      <c r="H22" s="103"/>
      <c r="I22" s="27">
        <f t="shared" si="34"/>
        <v>0</v>
      </c>
      <c r="J22" s="27" t="e">
        <f t="shared" si="86"/>
        <v>#DIV/0!</v>
      </c>
      <c r="K22" s="25" t="e">
        <f t="shared" si="87"/>
        <v>#DIV/0!</v>
      </c>
      <c r="L22" s="28" t="e">
        <f t="shared" si="36"/>
        <v>#DIV/0!</v>
      </c>
      <c r="M22" s="130" t="str">
        <f t="shared" si="0"/>
        <v/>
      </c>
      <c r="N22" s="130" t="str">
        <f t="shared" si="1"/>
        <v/>
      </c>
      <c r="O22" s="130" t="str">
        <f t="shared" si="2"/>
        <v/>
      </c>
      <c r="P22" s="27">
        <f t="shared" si="88"/>
        <v>0</v>
      </c>
      <c r="Q22" s="27" t="e">
        <f t="shared" si="89"/>
        <v>#DIV/0!</v>
      </c>
      <c r="R22" s="25" t="e">
        <f t="shared" si="8"/>
        <v>#DIV/0!</v>
      </c>
      <c r="S22" s="28" t="e">
        <f t="shared" si="41"/>
        <v>#DIV/0!</v>
      </c>
      <c r="T22" s="130" t="str">
        <f t="shared" si="42"/>
        <v/>
      </c>
      <c r="U22" s="12"/>
      <c r="V22" s="44" t="str">
        <f t="shared" si="43"/>
        <v>Electricity</v>
      </c>
      <c r="W22" s="213"/>
      <c r="X22" s="219"/>
      <c r="Y22" s="220"/>
      <c r="Z22" s="232"/>
      <c r="AA22" s="233"/>
      <c r="AB22" s="234"/>
      <c r="AC22" s="213"/>
      <c r="AD22" s="235">
        <f t="shared" si="90"/>
        <v>0</v>
      </c>
      <c r="AE22" s="115">
        <f t="shared" ref="AE22:AK22" si="95">AD22</f>
        <v>0</v>
      </c>
      <c r="AF22" s="235">
        <f t="shared" si="95"/>
        <v>0</v>
      </c>
      <c r="AG22" s="115">
        <f t="shared" si="95"/>
        <v>0</v>
      </c>
      <c r="AH22" s="235">
        <f t="shared" si="95"/>
        <v>0</v>
      </c>
      <c r="AI22" s="115">
        <f t="shared" si="95"/>
        <v>0</v>
      </c>
      <c r="AJ22" s="235">
        <f t="shared" si="95"/>
        <v>0</v>
      </c>
      <c r="AK22" s="115">
        <f t="shared" si="95"/>
        <v>0</v>
      </c>
      <c r="AM22" s="43" t="str">
        <f t="shared" si="4"/>
        <v>Electricity</v>
      </c>
      <c r="AN22" s="33">
        <f t="shared" si="10"/>
        <v>0</v>
      </c>
      <c r="AO22" s="53">
        <f t="shared" si="92"/>
        <v>0</v>
      </c>
      <c r="AP22" s="53">
        <f t="shared" si="17"/>
        <v>0</v>
      </c>
      <c r="AQ22" s="53">
        <f t="shared" si="45"/>
        <v>0</v>
      </c>
      <c r="AR22" s="53">
        <f t="shared" si="46"/>
        <v>0</v>
      </c>
      <c r="AS22" s="53">
        <f t="shared" si="47"/>
        <v>0</v>
      </c>
      <c r="AT22" s="53">
        <f t="shared" si="48"/>
        <v>0</v>
      </c>
      <c r="AU22" s="53">
        <f t="shared" si="49"/>
        <v>0</v>
      </c>
      <c r="AV22" s="53">
        <f t="shared" si="50"/>
        <v>0</v>
      </c>
      <c r="AW22" s="53">
        <f t="shared" si="51"/>
        <v>0</v>
      </c>
      <c r="AX22" s="53">
        <f t="shared" si="52"/>
        <v>0</v>
      </c>
    </row>
    <row r="23" spans="3:50" ht="15" customHeight="1" x14ac:dyDescent="0.4">
      <c r="C23" s="21"/>
      <c r="D23" s="111" t="s">
        <v>23</v>
      </c>
      <c r="E23" s="103"/>
      <c r="F23" s="104"/>
      <c r="G23" s="103"/>
      <c r="H23" s="103"/>
      <c r="I23" s="27">
        <f t="shared" si="34"/>
        <v>0</v>
      </c>
      <c r="J23" s="27" t="e">
        <f t="shared" si="86"/>
        <v>#DIV/0!</v>
      </c>
      <c r="K23" s="25" t="e">
        <f t="shared" ref="K23" si="96">I23/$I$7</f>
        <v>#DIV/0!</v>
      </c>
      <c r="L23" s="28" t="e">
        <f t="shared" ref="L23" si="97">I23/$Q$2</f>
        <v>#DIV/0!</v>
      </c>
      <c r="M23" s="130" t="str">
        <f t="shared" si="0"/>
        <v/>
      </c>
      <c r="N23" s="130" t="str">
        <f t="shared" si="1"/>
        <v/>
      </c>
      <c r="O23" s="130" t="str">
        <f t="shared" si="2"/>
        <v/>
      </c>
      <c r="P23" s="27">
        <f t="shared" si="88"/>
        <v>0</v>
      </c>
      <c r="Q23" s="27" t="e">
        <f t="shared" si="89"/>
        <v>#DIV/0!</v>
      </c>
      <c r="R23" s="25" t="e">
        <f t="shared" si="8"/>
        <v>#DIV/0!</v>
      </c>
      <c r="S23" s="28" t="e">
        <f t="shared" si="41"/>
        <v>#DIV/0!</v>
      </c>
      <c r="T23" s="130" t="str">
        <f t="shared" si="42"/>
        <v/>
      </c>
      <c r="U23" s="12"/>
      <c r="V23" s="44" t="str">
        <f t="shared" si="43"/>
        <v>Other</v>
      </c>
      <c r="W23" s="213"/>
      <c r="X23" s="219"/>
      <c r="Y23" s="220"/>
      <c r="Z23" s="232"/>
      <c r="AA23" s="233"/>
      <c r="AB23" s="234"/>
      <c r="AC23" s="213"/>
      <c r="AD23" s="235">
        <f t="shared" si="90"/>
        <v>0</v>
      </c>
      <c r="AE23" s="115">
        <f t="shared" ref="AE23:AK23" si="98">AD23</f>
        <v>0</v>
      </c>
      <c r="AF23" s="235">
        <f t="shared" si="98"/>
        <v>0</v>
      </c>
      <c r="AG23" s="115">
        <f t="shared" si="98"/>
        <v>0</v>
      </c>
      <c r="AH23" s="235">
        <f t="shared" si="98"/>
        <v>0</v>
      </c>
      <c r="AI23" s="115">
        <f t="shared" si="98"/>
        <v>0</v>
      </c>
      <c r="AJ23" s="235">
        <f t="shared" si="98"/>
        <v>0</v>
      </c>
      <c r="AK23" s="115">
        <f t="shared" si="98"/>
        <v>0</v>
      </c>
      <c r="AM23" s="43" t="str">
        <f t="shared" si="4"/>
        <v>Other</v>
      </c>
      <c r="AN23" s="33">
        <f t="shared" si="10"/>
        <v>0</v>
      </c>
      <c r="AO23" s="53">
        <f t="shared" si="92"/>
        <v>0</v>
      </c>
      <c r="AP23" s="53">
        <f t="shared" si="17"/>
        <v>0</v>
      </c>
      <c r="AQ23" s="53">
        <f t="shared" si="45"/>
        <v>0</v>
      </c>
      <c r="AR23" s="53">
        <f t="shared" si="46"/>
        <v>0</v>
      </c>
      <c r="AS23" s="53">
        <f t="shared" si="47"/>
        <v>0</v>
      </c>
      <c r="AT23" s="53">
        <f t="shared" si="48"/>
        <v>0</v>
      </c>
      <c r="AU23" s="53">
        <f t="shared" si="49"/>
        <v>0</v>
      </c>
      <c r="AV23" s="53">
        <f t="shared" si="50"/>
        <v>0</v>
      </c>
      <c r="AW23" s="53">
        <f t="shared" si="51"/>
        <v>0</v>
      </c>
      <c r="AX23" s="53">
        <f t="shared" si="52"/>
        <v>0</v>
      </c>
    </row>
    <row r="24" spans="3:50" ht="15" customHeight="1" x14ac:dyDescent="0.4">
      <c r="C24" s="21"/>
      <c r="D24" s="111" t="s">
        <v>23</v>
      </c>
      <c r="E24" s="103"/>
      <c r="F24" s="104"/>
      <c r="G24" s="103"/>
      <c r="H24" s="103"/>
      <c r="I24" s="27">
        <f t="shared" si="34"/>
        <v>0</v>
      </c>
      <c r="J24" s="27" t="e">
        <f t="shared" si="86"/>
        <v>#DIV/0!</v>
      </c>
      <c r="K24" s="25" t="e">
        <f t="shared" si="87"/>
        <v>#DIV/0!</v>
      </c>
      <c r="L24" s="28" t="e">
        <f>I24/$Q$2</f>
        <v>#DIV/0!</v>
      </c>
      <c r="M24" s="130" t="str">
        <f t="shared" si="0"/>
        <v/>
      </c>
      <c r="N24" s="130" t="str">
        <f t="shared" si="1"/>
        <v/>
      </c>
      <c r="O24" s="130" t="str">
        <f t="shared" si="2"/>
        <v/>
      </c>
      <c r="P24" s="27">
        <f t="shared" si="88"/>
        <v>0</v>
      </c>
      <c r="Q24" s="27" t="e">
        <f t="shared" ref="Q24:Q26" si="99">P24/$Q$1</f>
        <v>#DIV/0!</v>
      </c>
      <c r="R24" s="25" t="e">
        <f t="shared" si="8"/>
        <v>#DIV/0!</v>
      </c>
      <c r="S24" s="28" t="e">
        <f>P24/$Q$2</f>
        <v>#DIV/0!</v>
      </c>
      <c r="T24" s="130" t="str">
        <f t="shared" si="42"/>
        <v/>
      </c>
      <c r="U24" s="65"/>
      <c r="V24" s="44" t="str">
        <f t="shared" si="43"/>
        <v>Other</v>
      </c>
      <c r="W24" s="213"/>
      <c r="X24" s="219"/>
      <c r="Y24" s="220"/>
      <c r="Z24" s="232"/>
      <c r="AA24" s="233"/>
      <c r="AB24" s="234"/>
      <c r="AC24" s="213"/>
      <c r="AD24" s="235">
        <f t="shared" si="90"/>
        <v>0</v>
      </c>
      <c r="AE24" s="115">
        <f t="shared" ref="AE24:AK24" si="100">AD24</f>
        <v>0</v>
      </c>
      <c r="AF24" s="235">
        <f t="shared" si="100"/>
        <v>0</v>
      </c>
      <c r="AG24" s="115">
        <f t="shared" si="100"/>
        <v>0</v>
      </c>
      <c r="AH24" s="235">
        <f t="shared" si="100"/>
        <v>0</v>
      </c>
      <c r="AI24" s="115">
        <f t="shared" si="100"/>
        <v>0</v>
      </c>
      <c r="AJ24" s="235">
        <f t="shared" si="100"/>
        <v>0</v>
      </c>
      <c r="AK24" s="115">
        <f t="shared" si="100"/>
        <v>0</v>
      </c>
      <c r="AL24" s="37"/>
      <c r="AM24" s="43" t="str">
        <f t="shared" si="4"/>
        <v>Other</v>
      </c>
      <c r="AN24" s="33">
        <f t="shared" si="10"/>
        <v>0</v>
      </c>
      <c r="AO24" s="53">
        <f t="shared" si="92"/>
        <v>0</v>
      </c>
      <c r="AP24" s="53">
        <f t="shared" si="17"/>
        <v>0</v>
      </c>
      <c r="AQ24" s="53">
        <f t="shared" si="45"/>
        <v>0</v>
      </c>
      <c r="AR24" s="53">
        <f t="shared" si="46"/>
        <v>0</v>
      </c>
      <c r="AS24" s="53">
        <f t="shared" si="47"/>
        <v>0</v>
      </c>
      <c r="AT24" s="53">
        <f t="shared" si="48"/>
        <v>0</v>
      </c>
      <c r="AU24" s="53">
        <f t="shared" si="49"/>
        <v>0</v>
      </c>
      <c r="AV24" s="53">
        <f t="shared" si="50"/>
        <v>0</v>
      </c>
      <c r="AW24" s="53">
        <f t="shared" si="51"/>
        <v>0</v>
      </c>
      <c r="AX24" s="53">
        <f t="shared" si="52"/>
        <v>0</v>
      </c>
    </row>
    <row r="25" spans="3:50" ht="15" customHeight="1" x14ac:dyDescent="0.4">
      <c r="C25" s="21"/>
      <c r="D25" s="111" t="s">
        <v>24</v>
      </c>
      <c r="E25" s="103"/>
      <c r="F25" s="104"/>
      <c r="G25" s="103"/>
      <c r="H25" s="103"/>
      <c r="I25" s="27">
        <f t="shared" si="34"/>
        <v>0</v>
      </c>
      <c r="J25" s="29" t="e">
        <f t="shared" si="86"/>
        <v>#DIV/0!</v>
      </c>
      <c r="K25" s="139" t="e">
        <f t="shared" si="87"/>
        <v>#DIV/0!</v>
      </c>
      <c r="L25" s="32" t="e">
        <f>I25/$Q$2</f>
        <v>#DIV/0!</v>
      </c>
      <c r="M25" s="130" t="str">
        <f t="shared" si="0"/>
        <v/>
      </c>
      <c r="N25" s="130" t="str">
        <f t="shared" si="1"/>
        <v/>
      </c>
      <c r="O25" s="130" t="str">
        <f t="shared" si="2"/>
        <v/>
      </c>
      <c r="P25" s="27">
        <f t="shared" si="88"/>
        <v>0</v>
      </c>
      <c r="Q25" s="27" t="e">
        <f t="shared" si="99"/>
        <v>#DIV/0!</v>
      </c>
      <c r="R25" s="25" t="e">
        <f t="shared" si="8"/>
        <v>#DIV/0!</v>
      </c>
      <c r="S25" s="32" t="e">
        <f>P25/$Q$2</f>
        <v>#DIV/0!</v>
      </c>
      <c r="T25" s="130" t="str">
        <f t="shared" si="42"/>
        <v/>
      </c>
      <c r="U25" s="12"/>
      <c r="V25" s="44" t="str">
        <f t="shared" si="43"/>
        <v xml:space="preserve">Other </v>
      </c>
      <c r="W25" s="213"/>
      <c r="X25" s="219"/>
      <c r="Y25" s="220"/>
      <c r="Z25" s="232"/>
      <c r="AA25" s="233"/>
      <c r="AB25" s="234"/>
      <c r="AC25" s="216"/>
      <c r="AD25" s="235">
        <f t="shared" si="90"/>
        <v>0</v>
      </c>
      <c r="AE25" s="115">
        <f t="shared" ref="AE25:AK25" si="101">AD25</f>
        <v>0</v>
      </c>
      <c r="AF25" s="235">
        <f t="shared" si="101"/>
        <v>0</v>
      </c>
      <c r="AG25" s="115">
        <f t="shared" si="101"/>
        <v>0</v>
      </c>
      <c r="AH25" s="235">
        <f t="shared" si="101"/>
        <v>0</v>
      </c>
      <c r="AI25" s="115">
        <f t="shared" si="101"/>
        <v>0</v>
      </c>
      <c r="AJ25" s="235">
        <f t="shared" si="101"/>
        <v>0</v>
      </c>
      <c r="AK25" s="115">
        <f t="shared" si="101"/>
        <v>0</v>
      </c>
      <c r="AM25" s="43" t="str">
        <f t="shared" si="4"/>
        <v xml:space="preserve">Other </v>
      </c>
      <c r="AN25" s="33">
        <f t="shared" si="10"/>
        <v>0</v>
      </c>
      <c r="AO25" s="53">
        <f t="shared" si="92"/>
        <v>0</v>
      </c>
      <c r="AP25" s="53">
        <f t="shared" si="17"/>
        <v>0</v>
      </c>
      <c r="AQ25" s="53">
        <f t="shared" si="45"/>
        <v>0</v>
      </c>
      <c r="AR25" s="53">
        <f t="shared" si="46"/>
        <v>0</v>
      </c>
      <c r="AS25" s="53">
        <f t="shared" si="47"/>
        <v>0</v>
      </c>
      <c r="AT25" s="53">
        <f t="shared" si="48"/>
        <v>0</v>
      </c>
      <c r="AU25" s="53">
        <f t="shared" si="49"/>
        <v>0</v>
      </c>
      <c r="AV25" s="53">
        <f t="shared" si="50"/>
        <v>0</v>
      </c>
      <c r="AW25" s="53">
        <f t="shared" si="51"/>
        <v>0</v>
      </c>
      <c r="AX25" s="53">
        <f t="shared" si="52"/>
        <v>0</v>
      </c>
    </row>
    <row r="26" spans="3:50" ht="15" customHeight="1" x14ac:dyDescent="0.4">
      <c r="C26" s="21"/>
      <c r="D26" s="111" t="s">
        <v>23</v>
      </c>
      <c r="E26" s="103"/>
      <c r="F26" s="104"/>
      <c r="G26" s="103"/>
      <c r="H26" s="103"/>
      <c r="I26" s="27">
        <f t="shared" si="34"/>
        <v>0</v>
      </c>
      <c r="J26" s="29" t="e">
        <f t="shared" si="86"/>
        <v>#DIV/0!</v>
      </c>
      <c r="K26" s="139" t="e">
        <f t="shared" si="87"/>
        <v>#DIV/0!</v>
      </c>
      <c r="L26" s="32" t="e">
        <f>I26/$Q$2</f>
        <v>#DIV/0!</v>
      </c>
      <c r="M26" s="130" t="str">
        <f t="shared" si="0"/>
        <v/>
      </c>
      <c r="N26" s="130" t="str">
        <f t="shared" si="1"/>
        <v/>
      </c>
      <c r="O26" s="130" t="str">
        <f t="shared" si="2"/>
        <v/>
      </c>
      <c r="P26" s="27">
        <f t="shared" si="88"/>
        <v>0</v>
      </c>
      <c r="Q26" s="27" t="e">
        <f t="shared" si="99"/>
        <v>#DIV/0!</v>
      </c>
      <c r="R26" s="25" t="e">
        <f t="shared" si="8"/>
        <v>#DIV/0!</v>
      </c>
      <c r="S26" s="32" t="e">
        <f>P26/$Q$2</f>
        <v>#DIV/0!</v>
      </c>
      <c r="T26" s="130" t="str">
        <f t="shared" si="42"/>
        <v/>
      </c>
      <c r="U26" s="12"/>
      <c r="V26" s="44" t="str">
        <f t="shared" si="43"/>
        <v>Other</v>
      </c>
      <c r="W26" s="213"/>
      <c r="X26" s="219"/>
      <c r="Y26" s="220"/>
      <c r="Z26" s="232"/>
      <c r="AA26" s="233"/>
      <c r="AB26" s="234"/>
      <c r="AC26" s="225"/>
      <c r="AD26" s="235">
        <f t="shared" si="90"/>
        <v>0</v>
      </c>
      <c r="AE26" s="115">
        <f t="shared" ref="AE26:AK26" si="102">AD26</f>
        <v>0</v>
      </c>
      <c r="AF26" s="235">
        <f t="shared" si="102"/>
        <v>0</v>
      </c>
      <c r="AG26" s="115">
        <f t="shared" si="102"/>
        <v>0</v>
      </c>
      <c r="AH26" s="235">
        <f t="shared" si="102"/>
        <v>0</v>
      </c>
      <c r="AI26" s="115">
        <f t="shared" si="102"/>
        <v>0</v>
      </c>
      <c r="AJ26" s="235">
        <f t="shared" si="102"/>
        <v>0</v>
      </c>
      <c r="AK26" s="115">
        <f t="shared" si="102"/>
        <v>0</v>
      </c>
      <c r="AM26" s="43" t="str">
        <f t="shared" si="4"/>
        <v>Other</v>
      </c>
      <c r="AN26" s="33">
        <f t="shared" si="10"/>
        <v>0</v>
      </c>
      <c r="AO26" s="53">
        <f t="shared" si="92"/>
        <v>0</v>
      </c>
      <c r="AP26" s="53">
        <f t="shared" si="17"/>
        <v>0</v>
      </c>
      <c r="AQ26" s="53">
        <f t="shared" si="45"/>
        <v>0</v>
      </c>
      <c r="AR26" s="53">
        <f t="shared" si="46"/>
        <v>0</v>
      </c>
      <c r="AS26" s="53">
        <f t="shared" si="47"/>
        <v>0</v>
      </c>
      <c r="AT26" s="53">
        <f t="shared" si="48"/>
        <v>0</v>
      </c>
      <c r="AU26" s="53">
        <f t="shared" si="49"/>
        <v>0</v>
      </c>
      <c r="AV26" s="53">
        <f t="shared" si="50"/>
        <v>0</v>
      </c>
      <c r="AW26" s="53">
        <f t="shared" si="51"/>
        <v>0</v>
      </c>
      <c r="AX26" s="53">
        <f t="shared" si="52"/>
        <v>0</v>
      </c>
    </row>
    <row r="27" spans="3:50" ht="15" customHeight="1" x14ac:dyDescent="0.4">
      <c r="C27" s="84" t="s">
        <v>25</v>
      </c>
      <c r="D27" s="84"/>
      <c r="E27" s="145">
        <f t="shared" ref="E27:L27" si="103">SUM(E13:E26)</f>
        <v>0</v>
      </c>
      <c r="F27" s="146">
        <f t="shared" si="103"/>
        <v>0</v>
      </c>
      <c r="G27" s="145">
        <f t="shared" si="103"/>
        <v>0</v>
      </c>
      <c r="H27" s="145">
        <f t="shared" si="103"/>
        <v>0</v>
      </c>
      <c r="I27" s="142">
        <f t="shared" si="103"/>
        <v>0</v>
      </c>
      <c r="J27" s="142" t="e">
        <f t="shared" si="103"/>
        <v>#DIV/0!</v>
      </c>
      <c r="K27" s="143" t="e">
        <f t="shared" si="103"/>
        <v>#DIV/0!</v>
      </c>
      <c r="L27" s="144" t="e">
        <f t="shared" si="103"/>
        <v>#DIV/0!</v>
      </c>
      <c r="M27" s="140" t="str">
        <f t="shared" si="0"/>
        <v/>
      </c>
      <c r="N27" s="140" t="str">
        <f t="shared" si="1"/>
        <v/>
      </c>
      <c r="O27" s="141" t="str">
        <f t="shared" si="2"/>
        <v/>
      </c>
      <c r="P27" s="142">
        <f>SUM(P13:P26)</f>
        <v>0</v>
      </c>
      <c r="Q27" s="142" t="e">
        <f>SUM(Q13:Q26)</f>
        <v>#DIV/0!</v>
      </c>
      <c r="R27" s="143" t="e">
        <f>SUM(R13:R26)</f>
        <v>#DIV/0!</v>
      </c>
      <c r="S27" s="144" t="e">
        <f>SUM(S13:S18)+SUM(S24:S26)</f>
        <v>#DIV/0!</v>
      </c>
      <c r="T27" s="140" t="e">
        <f>P27/I27-1</f>
        <v>#DIV/0!</v>
      </c>
      <c r="U27" s="12"/>
      <c r="V27" s="41" t="s">
        <v>57</v>
      </c>
      <c r="W27" s="221"/>
      <c r="X27" s="214"/>
      <c r="Y27" s="226"/>
      <c r="AD27" s="11"/>
      <c r="AE27" s="11"/>
      <c r="AF27" s="11"/>
      <c r="AG27" s="11"/>
      <c r="AH27" s="11"/>
      <c r="AI27" s="11"/>
      <c r="AJ27" s="11"/>
      <c r="AK27" s="11"/>
      <c r="AM27" s="84" t="str">
        <f t="shared" si="4"/>
        <v>Effective Gross Income</v>
      </c>
      <c r="AN27" s="145">
        <f>SUM(AN13:AN26)</f>
        <v>0</v>
      </c>
      <c r="AO27" s="145">
        <f t="shared" ref="AO27:AX27" si="104">SUM(AO13:AO26)</f>
        <v>0</v>
      </c>
      <c r="AP27" s="145">
        <f t="shared" si="104"/>
        <v>0</v>
      </c>
      <c r="AQ27" s="145">
        <f t="shared" si="104"/>
        <v>0</v>
      </c>
      <c r="AR27" s="145">
        <f t="shared" si="104"/>
        <v>0</v>
      </c>
      <c r="AS27" s="145">
        <f t="shared" si="104"/>
        <v>0</v>
      </c>
      <c r="AT27" s="145">
        <f t="shared" si="104"/>
        <v>0</v>
      </c>
      <c r="AU27" s="145">
        <f t="shared" si="104"/>
        <v>0</v>
      </c>
      <c r="AV27" s="145">
        <f t="shared" si="104"/>
        <v>0</v>
      </c>
      <c r="AW27" s="145">
        <f t="shared" si="104"/>
        <v>0</v>
      </c>
      <c r="AX27" s="145">
        <f t="shared" si="104"/>
        <v>0</v>
      </c>
    </row>
    <row r="28" spans="3:50" ht="15" customHeight="1" x14ac:dyDescent="0.4">
      <c r="C28" s="19"/>
      <c r="D28" s="19"/>
      <c r="E28" s="20"/>
      <c r="F28" s="20"/>
      <c r="G28" s="20"/>
      <c r="H28" s="20"/>
      <c r="I28" s="20"/>
      <c r="J28" s="20"/>
      <c r="K28" s="20"/>
      <c r="L28" s="20"/>
      <c r="W28" s="221"/>
      <c r="X28" s="214"/>
      <c r="Y28" s="226"/>
      <c r="AD28" s="11"/>
      <c r="AE28" s="11"/>
      <c r="AF28" s="11"/>
      <c r="AG28" s="11"/>
      <c r="AH28" s="11"/>
      <c r="AI28" s="11"/>
      <c r="AJ28" s="11"/>
      <c r="AK28" s="11"/>
      <c r="AN28" s="12"/>
    </row>
    <row r="29" spans="3:50" ht="15" customHeight="1" x14ac:dyDescent="0.45">
      <c r="C29" s="97" t="s">
        <v>26</v>
      </c>
      <c r="D29" s="21"/>
      <c r="E29" s="98"/>
      <c r="F29" s="99"/>
      <c r="G29" s="98"/>
      <c r="H29" s="100"/>
      <c r="I29" s="100"/>
      <c r="J29" s="100"/>
      <c r="K29" s="100"/>
      <c r="L29" s="98"/>
      <c r="M29" s="128"/>
      <c r="N29" s="128"/>
      <c r="O29" s="133"/>
      <c r="P29" s="21"/>
      <c r="Q29" s="21"/>
      <c r="R29" s="21"/>
      <c r="S29" s="42"/>
      <c r="T29" s="130"/>
      <c r="W29" s="221"/>
      <c r="X29" s="214"/>
      <c r="Y29" s="226"/>
      <c r="AD29" s="11"/>
      <c r="AE29" s="11"/>
      <c r="AF29" s="11"/>
      <c r="AG29" s="11"/>
      <c r="AH29" s="11"/>
      <c r="AI29" s="11"/>
      <c r="AJ29" s="11"/>
      <c r="AK29" s="11"/>
      <c r="AM29" s="21" t="str">
        <f t="shared" si="4"/>
        <v>Expenses</v>
      </c>
      <c r="AN29" s="50"/>
      <c r="AO29" s="56"/>
      <c r="AP29" s="56"/>
      <c r="AQ29" s="56"/>
      <c r="AR29" s="56"/>
      <c r="AS29" s="56"/>
      <c r="AT29" s="56"/>
      <c r="AU29" s="56"/>
      <c r="AV29" s="56"/>
      <c r="AW29" s="56"/>
      <c r="AX29" s="56"/>
    </row>
    <row r="30" spans="3:50" ht="15" customHeight="1" x14ac:dyDescent="0.4">
      <c r="C30" s="21"/>
      <c r="D30" s="111" t="s">
        <v>27</v>
      </c>
      <c r="E30" s="101"/>
      <c r="F30" s="102"/>
      <c r="G30" s="101"/>
      <c r="H30" s="24"/>
      <c r="I30" s="24">
        <f>G30</f>
        <v>0</v>
      </c>
      <c r="J30" s="24" t="e">
        <f t="shared" ref="J30:J46" si="105">I30/$Q$1</f>
        <v>#DIV/0!</v>
      </c>
      <c r="K30" s="25" t="e">
        <f>I30/$I$27</f>
        <v>#DIV/0!</v>
      </c>
      <c r="L30" s="26" t="e">
        <f t="shared" ref="L30:L46" si="106">I30/$Q$2</f>
        <v>#DIV/0!</v>
      </c>
      <c r="M30" s="130" t="str">
        <f t="shared" ref="M30:M47" si="107">IFERROR(F30/E30-1,"")</f>
        <v/>
      </c>
      <c r="N30" s="130" t="str">
        <f t="shared" ref="N30:N47" si="108">IFERROR(G30/F30-1,"")</f>
        <v/>
      </c>
      <c r="O30" s="131"/>
      <c r="P30" s="27">
        <f t="shared" ref="P30:P35" si="109">IF(W30&lt;&gt;"",I30*(1+W30),IF(X30&lt;&gt;"",X30*$P$27,Y30*$Q$1))</f>
        <v>0</v>
      </c>
      <c r="Q30" s="24" t="e">
        <f>P30/$Q$1</f>
        <v>#DIV/0!</v>
      </c>
      <c r="R30" s="25" t="e">
        <f>P30/$P$27</f>
        <v>#DIV/0!</v>
      </c>
      <c r="S30" s="26" t="e">
        <f t="shared" ref="S30:S46" si="110">P30/$Q$2</f>
        <v>#DIV/0!</v>
      </c>
      <c r="T30" s="130" t="str">
        <f t="shared" ref="T30:T46" si="111">IFERROR(P30/I30-1,"")</f>
        <v/>
      </c>
      <c r="U30" s="12"/>
      <c r="V30" s="44" t="str">
        <f t="shared" ref="V30:V46" si="112">IF(C30&lt;&gt;"",C30,D30)</f>
        <v>Administrative</v>
      </c>
      <c r="W30" s="213"/>
      <c r="X30" s="219"/>
      <c r="Y30" s="220"/>
      <c r="Z30" s="232"/>
      <c r="AA30" s="233"/>
      <c r="AB30" s="234"/>
      <c r="AC30" s="213"/>
      <c r="AD30" s="235">
        <f>AC30</f>
        <v>0</v>
      </c>
      <c r="AE30" s="115">
        <f>AD30</f>
        <v>0</v>
      </c>
      <c r="AF30" s="235">
        <f t="shared" ref="AF30:AK30" si="113">AE30</f>
        <v>0</v>
      </c>
      <c r="AG30" s="115">
        <f t="shared" si="113"/>
        <v>0</v>
      </c>
      <c r="AH30" s="235">
        <f t="shared" si="113"/>
        <v>0</v>
      </c>
      <c r="AI30" s="115">
        <f t="shared" si="113"/>
        <v>0</v>
      </c>
      <c r="AJ30" s="235">
        <f t="shared" si="113"/>
        <v>0</v>
      </c>
      <c r="AK30" s="115">
        <f t="shared" si="113"/>
        <v>0</v>
      </c>
      <c r="AM30" s="43" t="str">
        <f t="shared" si="4"/>
        <v>Administrative</v>
      </c>
      <c r="AN30" s="47">
        <f t="shared" si="10"/>
        <v>0</v>
      </c>
      <c r="AO30" s="52">
        <f t="shared" ref="AO30:AO42" si="114">IF(Z30&lt;&gt;"",AN30*(1+Z30),IF(AA30&lt;&gt;"",AO$27*AA30,AB30*$Q$1))</f>
        <v>0</v>
      </c>
      <c r="AP30" s="52">
        <f>AO30*(1+AC30)</f>
        <v>0</v>
      </c>
      <c r="AQ30" s="52">
        <f t="shared" ref="AQ30:AX33" si="115">AP30*(1+AD30)</f>
        <v>0</v>
      </c>
      <c r="AR30" s="52">
        <f t="shared" si="115"/>
        <v>0</v>
      </c>
      <c r="AS30" s="52">
        <f t="shared" si="115"/>
        <v>0</v>
      </c>
      <c r="AT30" s="52">
        <f t="shared" si="115"/>
        <v>0</v>
      </c>
      <c r="AU30" s="52">
        <f t="shared" si="115"/>
        <v>0</v>
      </c>
      <c r="AV30" s="52">
        <f t="shared" si="115"/>
        <v>0</v>
      </c>
      <c r="AW30" s="52">
        <f t="shared" si="115"/>
        <v>0</v>
      </c>
      <c r="AX30" s="52">
        <f t="shared" si="115"/>
        <v>0</v>
      </c>
    </row>
    <row r="31" spans="3:50" ht="15" customHeight="1" x14ac:dyDescent="0.4">
      <c r="C31" s="21"/>
      <c r="D31" s="111" t="s">
        <v>28</v>
      </c>
      <c r="E31" s="103"/>
      <c r="F31" s="104"/>
      <c r="G31" s="103"/>
      <c r="H31" s="27"/>
      <c r="I31" s="27">
        <f>G31</f>
        <v>0</v>
      </c>
      <c r="J31" s="27" t="e">
        <f t="shared" si="105"/>
        <v>#DIV/0!</v>
      </c>
      <c r="K31" s="25" t="e">
        <f t="shared" ref="K31:K46" si="116">I31/$I$27</f>
        <v>#DIV/0!</v>
      </c>
      <c r="L31" s="28" t="e">
        <f t="shared" si="106"/>
        <v>#DIV/0!</v>
      </c>
      <c r="M31" s="130" t="str">
        <f t="shared" si="107"/>
        <v/>
      </c>
      <c r="N31" s="130" t="str">
        <f t="shared" si="108"/>
        <v/>
      </c>
      <c r="O31" s="131"/>
      <c r="P31" s="27">
        <f t="shared" si="109"/>
        <v>0</v>
      </c>
      <c r="Q31" s="27" t="e">
        <f t="shared" ref="Q31:Q46" si="117">P31/$Q$1</f>
        <v>#DIV/0!</v>
      </c>
      <c r="R31" s="25" t="e">
        <f t="shared" ref="R31:R46" si="118">P31/$P$27</f>
        <v>#DIV/0!</v>
      </c>
      <c r="S31" s="28" t="e">
        <f t="shared" si="110"/>
        <v>#DIV/0!</v>
      </c>
      <c r="T31" s="130" t="str">
        <f t="shared" si="111"/>
        <v/>
      </c>
      <c r="U31" s="12"/>
      <c r="V31" s="44" t="str">
        <f t="shared" si="112"/>
        <v>Marketing</v>
      </c>
      <c r="W31" s="213"/>
      <c r="X31" s="219"/>
      <c r="Y31" s="220"/>
      <c r="Z31" s="232"/>
      <c r="AA31" s="233"/>
      <c r="AB31" s="234"/>
      <c r="AC31" s="213"/>
      <c r="AD31" s="235">
        <f t="shared" ref="AD31:AD42" si="119">AC31</f>
        <v>0</v>
      </c>
      <c r="AE31" s="115">
        <f t="shared" ref="AE31:AK31" si="120">AD31</f>
        <v>0</v>
      </c>
      <c r="AF31" s="235">
        <f t="shared" si="120"/>
        <v>0</v>
      </c>
      <c r="AG31" s="115">
        <f t="shared" si="120"/>
        <v>0</v>
      </c>
      <c r="AH31" s="235">
        <f t="shared" si="120"/>
        <v>0</v>
      </c>
      <c r="AI31" s="115">
        <f t="shared" si="120"/>
        <v>0</v>
      </c>
      <c r="AJ31" s="235">
        <f t="shared" si="120"/>
        <v>0</v>
      </c>
      <c r="AK31" s="115">
        <f t="shared" si="120"/>
        <v>0</v>
      </c>
      <c r="AM31" s="43" t="str">
        <f t="shared" si="4"/>
        <v>Marketing</v>
      </c>
      <c r="AN31" s="33">
        <f t="shared" si="10"/>
        <v>0</v>
      </c>
      <c r="AO31" s="53">
        <f t="shared" si="114"/>
        <v>0</v>
      </c>
      <c r="AP31" s="53">
        <f t="shared" ref="AP31:AP46" si="121">AO31*(1+AC31)</f>
        <v>0</v>
      </c>
      <c r="AQ31" s="53">
        <f t="shared" si="115"/>
        <v>0</v>
      </c>
      <c r="AR31" s="53">
        <f t="shared" si="115"/>
        <v>0</v>
      </c>
      <c r="AS31" s="53">
        <f t="shared" si="115"/>
        <v>0</v>
      </c>
      <c r="AT31" s="53">
        <f t="shared" si="115"/>
        <v>0</v>
      </c>
      <c r="AU31" s="53">
        <f t="shared" si="115"/>
        <v>0</v>
      </c>
      <c r="AV31" s="53">
        <f t="shared" si="115"/>
        <v>0</v>
      </c>
      <c r="AW31" s="53">
        <f t="shared" si="115"/>
        <v>0</v>
      </c>
      <c r="AX31" s="53">
        <f t="shared" si="115"/>
        <v>0</v>
      </c>
    </row>
    <row r="32" spans="3:50" ht="15" customHeight="1" x14ac:dyDescent="0.4">
      <c r="C32" s="21"/>
      <c r="D32" s="253" t="s">
        <v>29</v>
      </c>
      <c r="E32" s="103"/>
      <c r="F32" s="104"/>
      <c r="G32" s="103"/>
      <c r="H32" s="27"/>
      <c r="I32" s="27">
        <f t="shared" ref="I32:I46" si="122">G32</f>
        <v>0</v>
      </c>
      <c r="J32" s="27" t="e">
        <f t="shared" si="105"/>
        <v>#DIV/0!</v>
      </c>
      <c r="K32" s="25" t="e">
        <f t="shared" si="116"/>
        <v>#DIV/0!</v>
      </c>
      <c r="L32" s="28" t="e">
        <f t="shared" si="106"/>
        <v>#DIV/0!</v>
      </c>
      <c r="M32" s="130" t="str">
        <f t="shared" si="107"/>
        <v/>
      </c>
      <c r="N32" s="130" t="str">
        <f t="shared" si="108"/>
        <v/>
      </c>
      <c r="O32" s="134"/>
      <c r="P32" s="27">
        <f t="shared" si="109"/>
        <v>0</v>
      </c>
      <c r="Q32" s="27" t="e">
        <f t="shared" si="117"/>
        <v>#DIV/0!</v>
      </c>
      <c r="R32" s="25" t="e">
        <f t="shared" si="118"/>
        <v>#DIV/0!</v>
      </c>
      <c r="S32" s="28" t="e">
        <f t="shared" si="110"/>
        <v>#DIV/0!</v>
      </c>
      <c r="T32" s="130" t="str">
        <f t="shared" si="111"/>
        <v/>
      </c>
      <c r="U32" s="12"/>
      <c r="V32" s="44" t="str">
        <f>IF(C32&lt;&gt;"",C32,D32)&amp;"*"</f>
        <v>Management Fee*</v>
      </c>
      <c r="W32" s="213"/>
      <c r="X32" s="219"/>
      <c r="Y32" s="220"/>
      <c r="Z32" s="232"/>
      <c r="AA32" s="233"/>
      <c r="AB32" s="234"/>
      <c r="AC32" s="213"/>
      <c r="AD32" s="235">
        <f t="shared" si="119"/>
        <v>0</v>
      </c>
      <c r="AE32" s="115">
        <f t="shared" ref="AE32:AK32" si="123">AD32</f>
        <v>0</v>
      </c>
      <c r="AF32" s="235">
        <f t="shared" si="123"/>
        <v>0</v>
      </c>
      <c r="AG32" s="115">
        <f t="shared" si="123"/>
        <v>0</v>
      </c>
      <c r="AH32" s="235">
        <f t="shared" si="123"/>
        <v>0</v>
      </c>
      <c r="AI32" s="115">
        <f t="shared" si="123"/>
        <v>0</v>
      </c>
      <c r="AJ32" s="235">
        <f t="shared" si="123"/>
        <v>0</v>
      </c>
      <c r="AK32" s="115">
        <f t="shared" si="123"/>
        <v>0</v>
      </c>
      <c r="AM32" s="43" t="str">
        <f t="shared" si="4"/>
        <v>Management Fee</v>
      </c>
      <c r="AN32" s="33">
        <f t="shared" si="10"/>
        <v>0</v>
      </c>
      <c r="AO32" s="53">
        <f t="shared" si="114"/>
        <v>0</v>
      </c>
      <c r="AP32" s="53">
        <f>AC32*AP$27</f>
        <v>0</v>
      </c>
      <c r="AQ32" s="53">
        <f t="shared" ref="AQ32:AX32" si="124">AD32*AQ27</f>
        <v>0</v>
      </c>
      <c r="AR32" s="53">
        <f t="shared" si="124"/>
        <v>0</v>
      </c>
      <c r="AS32" s="53">
        <f t="shared" si="124"/>
        <v>0</v>
      </c>
      <c r="AT32" s="53">
        <f t="shared" si="124"/>
        <v>0</v>
      </c>
      <c r="AU32" s="53">
        <f t="shared" si="124"/>
        <v>0</v>
      </c>
      <c r="AV32" s="53">
        <f t="shared" si="124"/>
        <v>0</v>
      </c>
      <c r="AW32" s="53">
        <f t="shared" si="124"/>
        <v>0</v>
      </c>
      <c r="AX32" s="53">
        <f t="shared" si="124"/>
        <v>0</v>
      </c>
    </row>
    <row r="33" spans="3:50" ht="15" customHeight="1" x14ac:dyDescent="0.4">
      <c r="C33" s="21"/>
      <c r="D33" s="111" t="s">
        <v>30</v>
      </c>
      <c r="E33" s="103"/>
      <c r="F33" s="104"/>
      <c r="G33" s="103"/>
      <c r="H33" s="27"/>
      <c r="I33" s="27">
        <f t="shared" si="122"/>
        <v>0</v>
      </c>
      <c r="J33" s="27" t="e">
        <f t="shared" si="105"/>
        <v>#DIV/0!</v>
      </c>
      <c r="K33" s="25" t="e">
        <f t="shared" si="116"/>
        <v>#DIV/0!</v>
      </c>
      <c r="L33" s="28" t="e">
        <f t="shared" si="106"/>
        <v>#DIV/0!</v>
      </c>
      <c r="M33" s="130" t="str">
        <f t="shared" si="107"/>
        <v/>
      </c>
      <c r="N33" s="130" t="str">
        <f t="shared" si="108"/>
        <v/>
      </c>
      <c r="O33" s="134"/>
      <c r="P33" s="27">
        <f t="shared" si="109"/>
        <v>0</v>
      </c>
      <c r="Q33" s="27" t="e">
        <f t="shared" si="117"/>
        <v>#DIV/0!</v>
      </c>
      <c r="R33" s="25" t="e">
        <f t="shared" si="118"/>
        <v>#DIV/0!</v>
      </c>
      <c r="S33" s="28" t="e">
        <f t="shared" si="110"/>
        <v>#DIV/0!</v>
      </c>
      <c r="T33" s="130" t="str">
        <f t="shared" si="111"/>
        <v/>
      </c>
      <c r="U33" s="12"/>
      <c r="V33" s="44" t="str">
        <f t="shared" si="112"/>
        <v>Payroll</v>
      </c>
      <c r="W33" s="213"/>
      <c r="X33" s="219"/>
      <c r="Y33" s="220"/>
      <c r="Z33" s="232"/>
      <c r="AA33" s="233"/>
      <c r="AB33" s="234"/>
      <c r="AC33" s="213"/>
      <c r="AD33" s="235">
        <f t="shared" si="119"/>
        <v>0</v>
      </c>
      <c r="AE33" s="115">
        <f t="shared" ref="AE33:AK33" si="125">AD33</f>
        <v>0</v>
      </c>
      <c r="AF33" s="235">
        <f t="shared" si="125"/>
        <v>0</v>
      </c>
      <c r="AG33" s="115">
        <f t="shared" si="125"/>
        <v>0</v>
      </c>
      <c r="AH33" s="235">
        <f t="shared" si="125"/>
        <v>0</v>
      </c>
      <c r="AI33" s="115">
        <f t="shared" si="125"/>
        <v>0</v>
      </c>
      <c r="AJ33" s="235">
        <f t="shared" si="125"/>
        <v>0</v>
      </c>
      <c r="AK33" s="115">
        <f t="shared" si="125"/>
        <v>0</v>
      </c>
      <c r="AM33" s="43" t="str">
        <f t="shared" si="4"/>
        <v>Payroll</v>
      </c>
      <c r="AN33" s="33">
        <f t="shared" si="10"/>
        <v>0</v>
      </c>
      <c r="AO33" s="53">
        <f t="shared" si="114"/>
        <v>0</v>
      </c>
      <c r="AP33" s="53">
        <f t="shared" si="121"/>
        <v>0</v>
      </c>
      <c r="AQ33" s="53">
        <f t="shared" si="115"/>
        <v>0</v>
      </c>
      <c r="AR33" s="53">
        <f t="shared" si="115"/>
        <v>0</v>
      </c>
      <c r="AS33" s="53">
        <f t="shared" si="115"/>
        <v>0</v>
      </c>
      <c r="AT33" s="53">
        <f t="shared" si="115"/>
        <v>0</v>
      </c>
      <c r="AU33" s="53">
        <f t="shared" si="115"/>
        <v>0</v>
      </c>
      <c r="AV33" s="53">
        <f t="shared" si="115"/>
        <v>0</v>
      </c>
      <c r="AW33" s="53">
        <f t="shared" si="115"/>
        <v>0</v>
      </c>
      <c r="AX33" s="53">
        <f t="shared" si="115"/>
        <v>0</v>
      </c>
    </row>
    <row r="34" spans="3:50" ht="15" customHeight="1" x14ac:dyDescent="0.4">
      <c r="C34" s="21"/>
      <c r="D34" s="111" t="s">
        <v>31</v>
      </c>
      <c r="E34" s="103"/>
      <c r="F34" s="104"/>
      <c r="G34" s="103"/>
      <c r="H34" s="27"/>
      <c r="I34" s="27">
        <f t="shared" si="122"/>
        <v>0</v>
      </c>
      <c r="J34" s="27" t="e">
        <f t="shared" si="105"/>
        <v>#DIV/0!</v>
      </c>
      <c r="K34" s="25" t="e">
        <f t="shared" si="116"/>
        <v>#DIV/0!</v>
      </c>
      <c r="L34" s="28" t="e">
        <f t="shared" si="106"/>
        <v>#DIV/0!</v>
      </c>
      <c r="M34" s="130" t="str">
        <f t="shared" si="107"/>
        <v/>
      </c>
      <c r="N34" s="130" t="str">
        <f t="shared" si="108"/>
        <v/>
      </c>
      <c r="O34" s="135"/>
      <c r="P34" s="27">
        <f t="shared" si="109"/>
        <v>0</v>
      </c>
      <c r="Q34" s="27" t="e">
        <f t="shared" ref="Q34" si="126">P34/$Q$1</f>
        <v>#DIV/0!</v>
      </c>
      <c r="R34" s="25" t="e">
        <f t="shared" ref="R34" si="127">P34/$P$27</f>
        <v>#DIV/0!</v>
      </c>
      <c r="S34" s="28" t="e">
        <f t="shared" ref="S34" si="128">P34/$Q$2</f>
        <v>#DIV/0!</v>
      </c>
      <c r="T34" s="130" t="str">
        <f t="shared" si="111"/>
        <v/>
      </c>
      <c r="U34" s="12"/>
      <c r="V34" s="44" t="str">
        <f t="shared" si="112"/>
        <v>Utilities</v>
      </c>
      <c r="W34" s="213"/>
      <c r="X34" s="219"/>
      <c r="Y34" s="220"/>
      <c r="Z34" s="232"/>
      <c r="AA34" s="233"/>
      <c r="AB34" s="234"/>
      <c r="AC34" s="213"/>
      <c r="AD34" s="235">
        <f t="shared" ref="AD34" si="129">AC34</f>
        <v>0</v>
      </c>
      <c r="AE34" s="115">
        <f t="shared" ref="AE34" si="130">AD34</f>
        <v>0</v>
      </c>
      <c r="AF34" s="235">
        <f t="shared" ref="AF34" si="131">AE34</f>
        <v>0</v>
      </c>
      <c r="AG34" s="115">
        <f t="shared" ref="AG34" si="132">AF34</f>
        <v>0</v>
      </c>
      <c r="AH34" s="235">
        <f t="shared" ref="AH34" si="133">AG34</f>
        <v>0</v>
      </c>
      <c r="AI34" s="115">
        <f t="shared" ref="AI34" si="134">AH34</f>
        <v>0</v>
      </c>
      <c r="AJ34" s="235">
        <f t="shared" ref="AJ34" si="135">AI34</f>
        <v>0</v>
      </c>
      <c r="AK34" s="115">
        <f t="shared" ref="AK34" si="136">AJ34</f>
        <v>0</v>
      </c>
      <c r="AM34" s="43" t="str">
        <f t="shared" si="4"/>
        <v>Utilities</v>
      </c>
      <c r="AN34" s="33">
        <f t="shared" ref="AN34" si="137">P34</f>
        <v>0</v>
      </c>
      <c r="AO34" s="53">
        <f t="shared" si="114"/>
        <v>0</v>
      </c>
      <c r="AP34" s="53">
        <f t="shared" ref="AP34" si="138">AO34*(1+AC34)</f>
        <v>0</v>
      </c>
      <c r="AQ34" s="53">
        <f t="shared" ref="AQ34" si="139">AP34*(1+AD34)</f>
        <v>0</v>
      </c>
      <c r="AR34" s="53">
        <f t="shared" ref="AR34" si="140">AQ34*(1+AE34)</f>
        <v>0</v>
      </c>
      <c r="AS34" s="53">
        <f t="shared" ref="AS34" si="141">AR34*(1+AF34)</f>
        <v>0</v>
      </c>
      <c r="AT34" s="53">
        <f t="shared" ref="AT34" si="142">AS34*(1+AG34)</f>
        <v>0</v>
      </c>
      <c r="AU34" s="53">
        <f t="shared" ref="AU34" si="143">AT34*(1+AH34)</f>
        <v>0</v>
      </c>
      <c r="AV34" s="53">
        <f t="shared" ref="AV34" si="144">AU34*(1+AI34)</f>
        <v>0</v>
      </c>
      <c r="AW34" s="53">
        <f t="shared" ref="AW34" si="145">AV34*(1+AJ34)</f>
        <v>0</v>
      </c>
      <c r="AX34" s="53">
        <f t="shared" ref="AX34" si="146">AW34*(1+AK34)</f>
        <v>0</v>
      </c>
    </row>
    <row r="35" spans="3:50" ht="15" customHeight="1" x14ac:dyDescent="0.4">
      <c r="C35" s="21"/>
      <c r="D35" s="111" t="s">
        <v>19</v>
      </c>
      <c r="E35" s="103"/>
      <c r="F35" s="104"/>
      <c r="G35" s="104"/>
      <c r="H35" s="27"/>
      <c r="I35" s="27">
        <f t="shared" ref="I35" si="147">G35</f>
        <v>0</v>
      </c>
      <c r="J35" s="27" t="e">
        <f t="shared" ref="J35" si="148">I35/$Q$1</f>
        <v>#DIV/0!</v>
      </c>
      <c r="K35" s="25" t="e">
        <f t="shared" ref="K35" si="149">I35/$I$27</f>
        <v>#DIV/0!</v>
      </c>
      <c r="L35" s="28" t="e">
        <f t="shared" ref="L35" si="150">I35/$Q$2</f>
        <v>#DIV/0!</v>
      </c>
      <c r="M35" s="130" t="str">
        <f t="shared" ref="M35" si="151">IFERROR(F35/E35-1,"")</f>
        <v/>
      </c>
      <c r="N35" s="130" t="str">
        <f t="shared" ref="N35" si="152">IFERROR(G35/F35-1,"")</f>
        <v/>
      </c>
      <c r="O35" s="135"/>
      <c r="P35" s="27">
        <f t="shared" si="109"/>
        <v>0</v>
      </c>
      <c r="Q35" s="27" t="e">
        <f t="shared" ref="Q35" si="153">P35/$Q$1</f>
        <v>#DIV/0!</v>
      </c>
      <c r="R35" s="25" t="e">
        <f t="shared" ref="R35" si="154">P35/$P$27</f>
        <v>#DIV/0!</v>
      </c>
      <c r="S35" s="28" t="e">
        <f t="shared" ref="S35" si="155">P35/$Q$2</f>
        <v>#DIV/0!</v>
      </c>
      <c r="T35" s="130" t="str">
        <f t="shared" ref="T35" si="156">IFERROR(P35/I35-1,"")</f>
        <v/>
      </c>
      <c r="U35" s="12"/>
      <c r="V35" s="44" t="str">
        <f t="shared" si="112"/>
        <v>Water/Sewer</v>
      </c>
      <c r="W35" s="213"/>
      <c r="X35" s="219"/>
      <c r="Y35" s="220"/>
      <c r="Z35" s="232"/>
      <c r="AA35" s="233"/>
      <c r="AB35" s="234"/>
      <c r="AC35" s="213"/>
      <c r="AD35" s="235">
        <f t="shared" si="119"/>
        <v>0</v>
      </c>
      <c r="AE35" s="115">
        <f t="shared" ref="AE35:AK35" si="157">AD35</f>
        <v>0</v>
      </c>
      <c r="AF35" s="235">
        <f t="shared" si="157"/>
        <v>0</v>
      </c>
      <c r="AG35" s="115">
        <f t="shared" si="157"/>
        <v>0</v>
      </c>
      <c r="AH35" s="235">
        <f t="shared" si="157"/>
        <v>0</v>
      </c>
      <c r="AI35" s="115">
        <f t="shared" si="157"/>
        <v>0</v>
      </c>
      <c r="AJ35" s="235">
        <f t="shared" si="157"/>
        <v>0</v>
      </c>
      <c r="AK35" s="115">
        <f t="shared" si="157"/>
        <v>0</v>
      </c>
      <c r="AM35" s="43" t="str">
        <f t="shared" si="4"/>
        <v>Water/Sewer</v>
      </c>
      <c r="AN35" s="33">
        <f t="shared" si="10"/>
        <v>0</v>
      </c>
      <c r="AO35" s="53">
        <f t="shared" si="114"/>
        <v>0</v>
      </c>
      <c r="AP35" s="53">
        <f t="shared" si="121"/>
        <v>0</v>
      </c>
      <c r="AQ35" s="53">
        <f t="shared" ref="AQ35:AQ46" si="158">AP35*(1+AD35)</f>
        <v>0</v>
      </c>
      <c r="AR35" s="53">
        <f t="shared" ref="AR35:AR46" si="159">AQ35*(1+AE35)</f>
        <v>0</v>
      </c>
      <c r="AS35" s="53">
        <f t="shared" ref="AS35:AS46" si="160">AR35*(1+AF35)</f>
        <v>0</v>
      </c>
      <c r="AT35" s="53">
        <f t="shared" ref="AT35:AT46" si="161">AS35*(1+AG35)</f>
        <v>0</v>
      </c>
      <c r="AU35" s="53">
        <f t="shared" ref="AU35:AU46" si="162">AT35*(1+AH35)</f>
        <v>0</v>
      </c>
      <c r="AV35" s="53">
        <f t="shared" ref="AV35:AV46" si="163">AU35*(1+AI35)</f>
        <v>0</v>
      </c>
      <c r="AW35" s="53">
        <f t="shared" ref="AW35:AW46" si="164">AV35*(1+AJ35)</f>
        <v>0</v>
      </c>
      <c r="AX35" s="53">
        <f t="shared" ref="AX35:AX46" si="165">AW35*(1+AK35)</f>
        <v>0</v>
      </c>
    </row>
    <row r="36" spans="3:50" ht="15" customHeight="1" x14ac:dyDescent="0.4">
      <c r="C36" s="21"/>
      <c r="D36" s="111" t="s">
        <v>20</v>
      </c>
      <c r="E36" s="103"/>
      <c r="F36" s="104"/>
      <c r="G36" s="104"/>
      <c r="H36" s="27"/>
      <c r="I36" s="27">
        <f t="shared" si="122"/>
        <v>0</v>
      </c>
      <c r="J36" s="27" t="e">
        <f t="shared" si="105"/>
        <v>#DIV/0!</v>
      </c>
      <c r="K36" s="25" t="e">
        <f t="shared" si="116"/>
        <v>#DIV/0!</v>
      </c>
      <c r="L36" s="28" t="e">
        <f t="shared" si="106"/>
        <v>#DIV/0!</v>
      </c>
      <c r="M36" s="130" t="str">
        <f t="shared" si="107"/>
        <v/>
      </c>
      <c r="N36" s="130" t="str">
        <f t="shared" si="108"/>
        <v/>
      </c>
      <c r="O36" s="136"/>
      <c r="P36" s="27">
        <f t="shared" ref="P36:P42" si="166">IF(W36&lt;&gt;"",I36*(1+W36),IF(X36&lt;&gt;"",X36*$P$27,Y36*$Q$1))</f>
        <v>0</v>
      </c>
      <c r="Q36" s="27" t="e">
        <f t="shared" si="117"/>
        <v>#DIV/0!</v>
      </c>
      <c r="R36" s="25" t="e">
        <f t="shared" si="118"/>
        <v>#DIV/0!</v>
      </c>
      <c r="S36" s="28" t="e">
        <f t="shared" si="110"/>
        <v>#DIV/0!</v>
      </c>
      <c r="T36" s="130" t="str">
        <f t="shared" si="111"/>
        <v/>
      </c>
      <c r="U36" s="12"/>
      <c r="V36" s="44" t="str">
        <f t="shared" si="112"/>
        <v>Trash</v>
      </c>
      <c r="W36" s="213"/>
      <c r="X36" s="219"/>
      <c r="Y36" s="220"/>
      <c r="Z36" s="232"/>
      <c r="AA36" s="233"/>
      <c r="AB36" s="234"/>
      <c r="AC36" s="213"/>
      <c r="AD36" s="235">
        <f t="shared" si="119"/>
        <v>0</v>
      </c>
      <c r="AE36" s="115">
        <f t="shared" ref="AE36:AK42" si="167">AD36</f>
        <v>0</v>
      </c>
      <c r="AF36" s="235">
        <f t="shared" si="167"/>
        <v>0</v>
      </c>
      <c r="AG36" s="115">
        <f t="shared" si="167"/>
        <v>0</v>
      </c>
      <c r="AH36" s="235">
        <f t="shared" si="167"/>
        <v>0</v>
      </c>
      <c r="AI36" s="115">
        <f t="shared" si="167"/>
        <v>0</v>
      </c>
      <c r="AJ36" s="235">
        <f t="shared" si="167"/>
        <v>0</v>
      </c>
      <c r="AK36" s="115">
        <f t="shared" si="167"/>
        <v>0</v>
      </c>
      <c r="AM36" s="43" t="str">
        <f t="shared" si="4"/>
        <v>Trash</v>
      </c>
      <c r="AN36" s="33">
        <f t="shared" si="10"/>
        <v>0</v>
      </c>
      <c r="AO36" s="53">
        <f t="shared" si="114"/>
        <v>0</v>
      </c>
      <c r="AP36" s="53">
        <f t="shared" si="121"/>
        <v>0</v>
      </c>
      <c r="AQ36" s="53">
        <f t="shared" si="158"/>
        <v>0</v>
      </c>
      <c r="AR36" s="53">
        <f t="shared" si="159"/>
        <v>0</v>
      </c>
      <c r="AS36" s="53">
        <f t="shared" si="160"/>
        <v>0</v>
      </c>
      <c r="AT36" s="53">
        <f t="shared" si="161"/>
        <v>0</v>
      </c>
      <c r="AU36" s="53">
        <f t="shared" si="162"/>
        <v>0</v>
      </c>
      <c r="AV36" s="53">
        <f t="shared" si="163"/>
        <v>0</v>
      </c>
      <c r="AW36" s="53">
        <f t="shared" si="164"/>
        <v>0</v>
      </c>
      <c r="AX36" s="53">
        <f t="shared" si="165"/>
        <v>0</v>
      </c>
    </row>
    <row r="37" spans="3:50" ht="15" customHeight="1" x14ac:dyDescent="0.4">
      <c r="C37" s="21"/>
      <c r="D37" s="111" t="s">
        <v>21</v>
      </c>
      <c r="E37" s="103"/>
      <c r="F37" s="104"/>
      <c r="G37" s="104"/>
      <c r="H37" s="27"/>
      <c r="I37" s="27">
        <f t="shared" si="122"/>
        <v>0</v>
      </c>
      <c r="J37" s="27" t="e">
        <f t="shared" si="105"/>
        <v>#DIV/0!</v>
      </c>
      <c r="K37" s="25" t="e">
        <f t="shared" si="116"/>
        <v>#DIV/0!</v>
      </c>
      <c r="L37" s="28" t="e">
        <f t="shared" si="106"/>
        <v>#DIV/0!</v>
      </c>
      <c r="M37" s="130" t="str">
        <f t="shared" si="107"/>
        <v/>
      </c>
      <c r="N37" s="130" t="str">
        <f t="shared" si="108"/>
        <v/>
      </c>
      <c r="O37" s="136"/>
      <c r="P37" s="27">
        <f t="shared" si="166"/>
        <v>0</v>
      </c>
      <c r="Q37" s="27" t="e">
        <f t="shared" si="117"/>
        <v>#DIV/0!</v>
      </c>
      <c r="R37" s="25" t="e">
        <f t="shared" si="118"/>
        <v>#DIV/0!</v>
      </c>
      <c r="S37" s="28" t="e">
        <f t="shared" si="110"/>
        <v>#DIV/0!</v>
      </c>
      <c r="T37" s="130" t="str">
        <f t="shared" si="111"/>
        <v/>
      </c>
      <c r="U37" s="12"/>
      <c r="V37" s="44" t="str">
        <f t="shared" si="112"/>
        <v>Gas</v>
      </c>
      <c r="W37" s="213"/>
      <c r="X37" s="219"/>
      <c r="Y37" s="220"/>
      <c r="Z37" s="232"/>
      <c r="AA37" s="233"/>
      <c r="AB37" s="234"/>
      <c r="AC37" s="213"/>
      <c r="AD37" s="235">
        <f t="shared" si="119"/>
        <v>0</v>
      </c>
      <c r="AE37" s="115">
        <f t="shared" si="167"/>
        <v>0</v>
      </c>
      <c r="AF37" s="235">
        <f t="shared" si="167"/>
        <v>0</v>
      </c>
      <c r="AG37" s="115">
        <f t="shared" si="167"/>
        <v>0</v>
      </c>
      <c r="AH37" s="235">
        <f t="shared" si="167"/>
        <v>0</v>
      </c>
      <c r="AI37" s="115">
        <f t="shared" si="167"/>
        <v>0</v>
      </c>
      <c r="AJ37" s="235">
        <f t="shared" si="167"/>
        <v>0</v>
      </c>
      <c r="AK37" s="115">
        <f t="shared" si="167"/>
        <v>0</v>
      </c>
      <c r="AM37" s="43" t="str">
        <f t="shared" si="4"/>
        <v>Gas</v>
      </c>
      <c r="AN37" s="33">
        <f t="shared" si="10"/>
        <v>0</v>
      </c>
      <c r="AO37" s="53">
        <f t="shared" si="114"/>
        <v>0</v>
      </c>
      <c r="AP37" s="53">
        <f t="shared" si="121"/>
        <v>0</v>
      </c>
      <c r="AQ37" s="53">
        <f t="shared" si="158"/>
        <v>0</v>
      </c>
      <c r="AR37" s="53">
        <f t="shared" si="159"/>
        <v>0</v>
      </c>
      <c r="AS37" s="53">
        <f t="shared" si="160"/>
        <v>0</v>
      </c>
      <c r="AT37" s="53">
        <f t="shared" si="161"/>
        <v>0</v>
      </c>
      <c r="AU37" s="53">
        <f t="shared" si="162"/>
        <v>0</v>
      </c>
      <c r="AV37" s="53">
        <f t="shared" si="163"/>
        <v>0</v>
      </c>
      <c r="AW37" s="53">
        <f t="shared" si="164"/>
        <v>0</v>
      </c>
      <c r="AX37" s="53">
        <f t="shared" si="165"/>
        <v>0</v>
      </c>
    </row>
    <row r="38" spans="3:50" ht="15" customHeight="1" x14ac:dyDescent="0.4">
      <c r="C38" s="21"/>
      <c r="D38" s="111" t="s">
        <v>22</v>
      </c>
      <c r="E38" s="103"/>
      <c r="F38" s="104"/>
      <c r="G38" s="104"/>
      <c r="H38" s="27"/>
      <c r="I38" s="27">
        <f t="shared" si="122"/>
        <v>0</v>
      </c>
      <c r="J38" s="27" t="e">
        <f t="shared" si="105"/>
        <v>#DIV/0!</v>
      </c>
      <c r="K38" s="25" t="e">
        <f t="shared" si="116"/>
        <v>#DIV/0!</v>
      </c>
      <c r="L38" s="28" t="e">
        <f t="shared" si="106"/>
        <v>#DIV/0!</v>
      </c>
      <c r="M38" s="130" t="str">
        <f t="shared" si="107"/>
        <v/>
      </c>
      <c r="N38" s="130" t="str">
        <f t="shared" si="108"/>
        <v/>
      </c>
      <c r="O38" s="136"/>
      <c r="P38" s="27">
        <f t="shared" si="166"/>
        <v>0</v>
      </c>
      <c r="Q38" s="27" t="e">
        <f t="shared" si="117"/>
        <v>#DIV/0!</v>
      </c>
      <c r="R38" s="25" t="e">
        <f t="shared" si="118"/>
        <v>#DIV/0!</v>
      </c>
      <c r="S38" s="28" t="e">
        <f t="shared" si="110"/>
        <v>#DIV/0!</v>
      </c>
      <c r="T38" s="130" t="str">
        <f t="shared" si="111"/>
        <v/>
      </c>
      <c r="U38" s="12"/>
      <c r="V38" s="44" t="str">
        <f t="shared" si="112"/>
        <v>Electricity</v>
      </c>
      <c r="W38" s="213"/>
      <c r="X38" s="219"/>
      <c r="Y38" s="220"/>
      <c r="Z38" s="232"/>
      <c r="AA38" s="233"/>
      <c r="AB38" s="234"/>
      <c r="AC38" s="213"/>
      <c r="AD38" s="235">
        <f t="shared" si="119"/>
        <v>0</v>
      </c>
      <c r="AE38" s="115">
        <f t="shared" si="167"/>
        <v>0</v>
      </c>
      <c r="AF38" s="235">
        <f t="shared" si="167"/>
        <v>0</v>
      </c>
      <c r="AG38" s="115">
        <f t="shared" si="167"/>
        <v>0</v>
      </c>
      <c r="AH38" s="235">
        <f t="shared" si="167"/>
        <v>0</v>
      </c>
      <c r="AI38" s="115">
        <f t="shared" si="167"/>
        <v>0</v>
      </c>
      <c r="AJ38" s="235">
        <f t="shared" si="167"/>
        <v>0</v>
      </c>
      <c r="AK38" s="115">
        <f t="shared" si="167"/>
        <v>0</v>
      </c>
      <c r="AM38" s="43" t="str">
        <f t="shared" si="4"/>
        <v>Electricity</v>
      </c>
      <c r="AN38" s="33">
        <f t="shared" si="10"/>
        <v>0</v>
      </c>
      <c r="AO38" s="53">
        <f t="shared" si="114"/>
        <v>0</v>
      </c>
      <c r="AP38" s="53">
        <f t="shared" si="121"/>
        <v>0</v>
      </c>
      <c r="AQ38" s="53">
        <f t="shared" si="158"/>
        <v>0</v>
      </c>
      <c r="AR38" s="53">
        <f t="shared" si="159"/>
        <v>0</v>
      </c>
      <c r="AS38" s="53">
        <f t="shared" si="160"/>
        <v>0</v>
      </c>
      <c r="AT38" s="53">
        <f t="shared" si="161"/>
        <v>0</v>
      </c>
      <c r="AU38" s="53">
        <f t="shared" si="162"/>
        <v>0</v>
      </c>
      <c r="AV38" s="53">
        <f t="shared" si="163"/>
        <v>0</v>
      </c>
      <c r="AW38" s="53">
        <f t="shared" si="164"/>
        <v>0</v>
      </c>
      <c r="AX38" s="53">
        <f t="shared" si="165"/>
        <v>0</v>
      </c>
    </row>
    <row r="39" spans="3:50" ht="15" customHeight="1" x14ac:dyDescent="0.4">
      <c r="C39" s="21"/>
      <c r="D39" s="111" t="s">
        <v>32</v>
      </c>
      <c r="E39" s="103"/>
      <c r="F39" s="104"/>
      <c r="G39" s="103"/>
      <c r="H39" s="27"/>
      <c r="I39" s="27">
        <f t="shared" si="122"/>
        <v>0</v>
      </c>
      <c r="J39" s="27" t="e">
        <f t="shared" si="105"/>
        <v>#DIV/0!</v>
      </c>
      <c r="K39" s="25" t="e">
        <f t="shared" si="116"/>
        <v>#DIV/0!</v>
      </c>
      <c r="L39" s="28" t="e">
        <f t="shared" si="106"/>
        <v>#DIV/0!</v>
      </c>
      <c r="M39" s="130" t="str">
        <f t="shared" si="107"/>
        <v/>
      </c>
      <c r="N39" s="130" t="str">
        <f t="shared" si="108"/>
        <v/>
      </c>
      <c r="O39" s="134"/>
      <c r="P39" s="27">
        <f t="shared" si="166"/>
        <v>0</v>
      </c>
      <c r="Q39" s="27" t="e">
        <f t="shared" si="117"/>
        <v>#DIV/0!</v>
      </c>
      <c r="R39" s="25" t="e">
        <f t="shared" si="118"/>
        <v>#DIV/0!</v>
      </c>
      <c r="S39" s="28" t="e">
        <f t="shared" si="110"/>
        <v>#DIV/0!</v>
      </c>
      <c r="T39" s="130" t="str">
        <f t="shared" si="111"/>
        <v/>
      </c>
      <c r="U39" s="12"/>
      <c r="V39" s="44" t="str">
        <f t="shared" si="112"/>
        <v>R&amp;M</v>
      </c>
      <c r="W39" s="213"/>
      <c r="X39" s="219"/>
      <c r="Y39" s="220"/>
      <c r="Z39" s="232"/>
      <c r="AA39" s="233"/>
      <c r="AB39" s="234"/>
      <c r="AC39" s="213"/>
      <c r="AD39" s="235">
        <f t="shared" si="119"/>
        <v>0</v>
      </c>
      <c r="AE39" s="115">
        <f t="shared" si="167"/>
        <v>0</v>
      </c>
      <c r="AF39" s="235">
        <f t="shared" si="167"/>
        <v>0</v>
      </c>
      <c r="AG39" s="115">
        <f t="shared" si="167"/>
        <v>0</v>
      </c>
      <c r="AH39" s="235">
        <f t="shared" si="167"/>
        <v>0</v>
      </c>
      <c r="AI39" s="115">
        <f t="shared" si="167"/>
        <v>0</v>
      </c>
      <c r="AJ39" s="235">
        <f t="shared" si="167"/>
        <v>0</v>
      </c>
      <c r="AK39" s="115">
        <f t="shared" si="167"/>
        <v>0</v>
      </c>
      <c r="AM39" s="43" t="str">
        <f t="shared" si="4"/>
        <v>R&amp;M</v>
      </c>
      <c r="AN39" s="33">
        <f t="shared" si="10"/>
        <v>0</v>
      </c>
      <c r="AO39" s="53">
        <f t="shared" si="114"/>
        <v>0</v>
      </c>
      <c r="AP39" s="53">
        <f t="shared" si="121"/>
        <v>0</v>
      </c>
      <c r="AQ39" s="53">
        <f t="shared" si="158"/>
        <v>0</v>
      </c>
      <c r="AR39" s="53">
        <f t="shared" si="159"/>
        <v>0</v>
      </c>
      <c r="AS39" s="53">
        <f t="shared" si="160"/>
        <v>0</v>
      </c>
      <c r="AT39" s="53">
        <f t="shared" si="161"/>
        <v>0</v>
      </c>
      <c r="AU39" s="53">
        <f t="shared" si="162"/>
        <v>0</v>
      </c>
      <c r="AV39" s="53">
        <f t="shared" si="163"/>
        <v>0</v>
      </c>
      <c r="AW39" s="53">
        <f t="shared" si="164"/>
        <v>0</v>
      </c>
      <c r="AX39" s="53">
        <f t="shared" si="165"/>
        <v>0</v>
      </c>
    </row>
    <row r="40" spans="3:50" ht="15" customHeight="1" x14ac:dyDescent="0.4">
      <c r="C40" s="21"/>
      <c r="D40" s="111" t="s">
        <v>33</v>
      </c>
      <c r="E40" s="103"/>
      <c r="F40" s="104"/>
      <c r="G40" s="103"/>
      <c r="H40" s="27"/>
      <c r="I40" s="27">
        <f t="shared" si="122"/>
        <v>0</v>
      </c>
      <c r="J40" s="27" t="e">
        <f t="shared" si="105"/>
        <v>#DIV/0!</v>
      </c>
      <c r="K40" s="25" t="e">
        <f t="shared" si="116"/>
        <v>#DIV/0!</v>
      </c>
      <c r="L40" s="28" t="e">
        <f t="shared" si="106"/>
        <v>#DIV/0!</v>
      </c>
      <c r="M40" s="130" t="str">
        <f t="shared" si="107"/>
        <v/>
      </c>
      <c r="N40" s="130" t="str">
        <f t="shared" si="108"/>
        <v/>
      </c>
      <c r="O40" s="134"/>
      <c r="P40" s="27">
        <f t="shared" si="166"/>
        <v>0</v>
      </c>
      <c r="Q40" s="27" t="e">
        <f t="shared" si="117"/>
        <v>#DIV/0!</v>
      </c>
      <c r="R40" s="25" t="e">
        <f t="shared" si="118"/>
        <v>#DIV/0!</v>
      </c>
      <c r="S40" s="28" t="e">
        <f t="shared" si="110"/>
        <v>#DIV/0!</v>
      </c>
      <c r="T40" s="130" t="str">
        <f t="shared" si="111"/>
        <v/>
      </c>
      <c r="U40" s="12"/>
      <c r="V40" s="44" t="str">
        <f t="shared" si="112"/>
        <v>Turnover</v>
      </c>
      <c r="W40" s="213"/>
      <c r="X40" s="219"/>
      <c r="Y40" s="220"/>
      <c r="Z40" s="232"/>
      <c r="AA40" s="233"/>
      <c r="AB40" s="234"/>
      <c r="AC40" s="213"/>
      <c r="AD40" s="235">
        <f t="shared" si="119"/>
        <v>0</v>
      </c>
      <c r="AE40" s="115">
        <f t="shared" si="167"/>
        <v>0</v>
      </c>
      <c r="AF40" s="235">
        <f t="shared" si="167"/>
        <v>0</v>
      </c>
      <c r="AG40" s="115">
        <f t="shared" si="167"/>
        <v>0</v>
      </c>
      <c r="AH40" s="235">
        <f t="shared" si="167"/>
        <v>0</v>
      </c>
      <c r="AI40" s="115">
        <f t="shared" si="167"/>
        <v>0</v>
      </c>
      <c r="AJ40" s="235">
        <f t="shared" si="167"/>
        <v>0</v>
      </c>
      <c r="AK40" s="115">
        <f t="shared" si="167"/>
        <v>0</v>
      </c>
      <c r="AM40" s="43" t="str">
        <f t="shared" si="4"/>
        <v>Turnover</v>
      </c>
      <c r="AN40" s="33">
        <f t="shared" si="10"/>
        <v>0</v>
      </c>
      <c r="AO40" s="53">
        <f t="shared" si="114"/>
        <v>0</v>
      </c>
      <c r="AP40" s="53">
        <f t="shared" si="121"/>
        <v>0</v>
      </c>
      <c r="AQ40" s="53">
        <f t="shared" si="158"/>
        <v>0</v>
      </c>
      <c r="AR40" s="53">
        <f t="shared" si="159"/>
        <v>0</v>
      </c>
      <c r="AS40" s="53">
        <f t="shared" si="160"/>
        <v>0</v>
      </c>
      <c r="AT40" s="53">
        <f t="shared" si="161"/>
        <v>0</v>
      </c>
      <c r="AU40" s="53">
        <f t="shared" si="162"/>
        <v>0</v>
      </c>
      <c r="AV40" s="53">
        <f t="shared" si="163"/>
        <v>0</v>
      </c>
      <c r="AW40" s="53">
        <f t="shared" si="164"/>
        <v>0</v>
      </c>
      <c r="AX40" s="53">
        <f t="shared" si="165"/>
        <v>0</v>
      </c>
    </row>
    <row r="41" spans="3:50" ht="15" customHeight="1" x14ac:dyDescent="0.4">
      <c r="C41" s="21"/>
      <c r="D41" s="111" t="s">
        <v>34</v>
      </c>
      <c r="E41" s="103"/>
      <c r="F41" s="104"/>
      <c r="G41" s="103"/>
      <c r="H41" s="27"/>
      <c r="I41" s="27">
        <f t="shared" si="122"/>
        <v>0</v>
      </c>
      <c r="J41" s="27" t="e">
        <f t="shared" si="105"/>
        <v>#DIV/0!</v>
      </c>
      <c r="K41" s="25" t="e">
        <f t="shared" si="116"/>
        <v>#DIV/0!</v>
      </c>
      <c r="L41" s="28" t="e">
        <f t="shared" si="106"/>
        <v>#DIV/0!</v>
      </c>
      <c r="M41" s="130" t="str">
        <f t="shared" si="107"/>
        <v/>
      </c>
      <c r="N41" s="130" t="str">
        <f t="shared" si="108"/>
        <v/>
      </c>
      <c r="O41" s="134"/>
      <c r="P41" s="27">
        <f t="shared" si="166"/>
        <v>0</v>
      </c>
      <c r="Q41" s="27" t="e">
        <f t="shared" si="117"/>
        <v>#DIV/0!</v>
      </c>
      <c r="R41" s="25" t="e">
        <f t="shared" si="118"/>
        <v>#DIV/0!</v>
      </c>
      <c r="S41" s="28" t="e">
        <f t="shared" si="110"/>
        <v>#DIV/0!</v>
      </c>
      <c r="T41" s="130" t="str">
        <f t="shared" si="111"/>
        <v/>
      </c>
      <c r="U41" s="12"/>
      <c r="V41" s="44" t="str">
        <f t="shared" si="112"/>
        <v>Contract Services</v>
      </c>
      <c r="W41" s="213"/>
      <c r="X41" s="219"/>
      <c r="Y41" s="220"/>
      <c r="Z41" s="232"/>
      <c r="AA41" s="233"/>
      <c r="AB41" s="234"/>
      <c r="AC41" s="213"/>
      <c r="AD41" s="235">
        <f t="shared" si="119"/>
        <v>0</v>
      </c>
      <c r="AE41" s="115">
        <f t="shared" si="167"/>
        <v>0</v>
      </c>
      <c r="AF41" s="235">
        <f t="shared" si="167"/>
        <v>0</v>
      </c>
      <c r="AG41" s="115">
        <f t="shared" si="167"/>
        <v>0</v>
      </c>
      <c r="AH41" s="235">
        <f t="shared" si="167"/>
        <v>0</v>
      </c>
      <c r="AI41" s="115">
        <f t="shared" si="167"/>
        <v>0</v>
      </c>
      <c r="AJ41" s="235">
        <f t="shared" si="167"/>
        <v>0</v>
      </c>
      <c r="AK41" s="115">
        <f t="shared" si="167"/>
        <v>0</v>
      </c>
      <c r="AM41" s="43" t="str">
        <f t="shared" si="4"/>
        <v>Contract Services</v>
      </c>
      <c r="AN41" s="33">
        <f t="shared" si="10"/>
        <v>0</v>
      </c>
      <c r="AO41" s="53">
        <f t="shared" si="114"/>
        <v>0</v>
      </c>
      <c r="AP41" s="53">
        <f t="shared" si="121"/>
        <v>0</v>
      </c>
      <c r="AQ41" s="53">
        <f t="shared" si="158"/>
        <v>0</v>
      </c>
      <c r="AR41" s="53">
        <f t="shared" si="159"/>
        <v>0</v>
      </c>
      <c r="AS41" s="53">
        <f t="shared" si="160"/>
        <v>0</v>
      </c>
      <c r="AT41" s="53">
        <f t="shared" si="161"/>
        <v>0</v>
      </c>
      <c r="AU41" s="53">
        <f t="shared" si="162"/>
        <v>0</v>
      </c>
      <c r="AV41" s="53">
        <f t="shared" si="163"/>
        <v>0</v>
      </c>
      <c r="AW41" s="53">
        <f t="shared" si="164"/>
        <v>0</v>
      </c>
      <c r="AX41" s="53">
        <f t="shared" si="165"/>
        <v>0</v>
      </c>
    </row>
    <row r="42" spans="3:50" ht="15" customHeight="1" x14ac:dyDescent="0.4">
      <c r="C42" s="21"/>
      <c r="D42" s="111" t="s">
        <v>35</v>
      </c>
      <c r="E42" s="103"/>
      <c r="F42" s="104"/>
      <c r="G42" s="103"/>
      <c r="H42" s="27"/>
      <c r="I42" s="27">
        <f t="shared" si="122"/>
        <v>0</v>
      </c>
      <c r="J42" s="27" t="e">
        <f t="shared" si="105"/>
        <v>#DIV/0!</v>
      </c>
      <c r="K42" s="25" t="e">
        <f t="shared" si="116"/>
        <v>#DIV/0!</v>
      </c>
      <c r="L42" s="28" t="e">
        <f t="shared" si="106"/>
        <v>#DIV/0!</v>
      </c>
      <c r="M42" s="130" t="str">
        <f t="shared" si="107"/>
        <v/>
      </c>
      <c r="N42" s="130" t="str">
        <f t="shared" si="108"/>
        <v/>
      </c>
      <c r="O42" s="134"/>
      <c r="P42" s="27">
        <f t="shared" si="166"/>
        <v>0</v>
      </c>
      <c r="Q42" s="27" t="e">
        <f t="shared" si="117"/>
        <v>#DIV/0!</v>
      </c>
      <c r="R42" s="25" t="e">
        <f t="shared" si="118"/>
        <v>#DIV/0!</v>
      </c>
      <c r="S42" s="28" t="e">
        <f t="shared" si="110"/>
        <v>#DIV/0!</v>
      </c>
      <c r="T42" s="130" t="str">
        <f t="shared" si="111"/>
        <v/>
      </c>
      <c r="U42" s="12"/>
      <c r="V42" s="44" t="str">
        <f t="shared" si="112"/>
        <v>Insurance</v>
      </c>
      <c r="W42" s="213"/>
      <c r="X42" s="219"/>
      <c r="Y42" s="220"/>
      <c r="Z42" s="232"/>
      <c r="AA42" s="233"/>
      <c r="AB42" s="234"/>
      <c r="AC42" s="213"/>
      <c r="AD42" s="235">
        <f t="shared" si="119"/>
        <v>0</v>
      </c>
      <c r="AE42" s="115">
        <f t="shared" si="167"/>
        <v>0</v>
      </c>
      <c r="AF42" s="235">
        <f t="shared" si="167"/>
        <v>0</v>
      </c>
      <c r="AG42" s="115">
        <f t="shared" si="167"/>
        <v>0</v>
      </c>
      <c r="AH42" s="235">
        <f t="shared" si="167"/>
        <v>0</v>
      </c>
      <c r="AI42" s="115">
        <f t="shared" si="167"/>
        <v>0</v>
      </c>
      <c r="AJ42" s="235">
        <f t="shared" si="167"/>
        <v>0</v>
      </c>
      <c r="AK42" s="115">
        <f t="shared" si="167"/>
        <v>0</v>
      </c>
      <c r="AM42" s="43" t="str">
        <f t="shared" si="4"/>
        <v>Insurance</v>
      </c>
      <c r="AN42" s="33">
        <f t="shared" si="10"/>
        <v>0</v>
      </c>
      <c r="AO42" s="53">
        <f t="shared" si="114"/>
        <v>0</v>
      </c>
      <c r="AP42" s="53">
        <f t="shared" si="121"/>
        <v>0</v>
      </c>
      <c r="AQ42" s="53">
        <f t="shared" si="158"/>
        <v>0</v>
      </c>
      <c r="AR42" s="53">
        <f t="shared" si="159"/>
        <v>0</v>
      </c>
      <c r="AS42" s="53">
        <f t="shared" si="160"/>
        <v>0</v>
      </c>
      <c r="AT42" s="53">
        <f t="shared" si="161"/>
        <v>0</v>
      </c>
      <c r="AU42" s="53">
        <f t="shared" si="162"/>
        <v>0</v>
      </c>
      <c r="AV42" s="53">
        <f t="shared" si="163"/>
        <v>0</v>
      </c>
      <c r="AW42" s="53">
        <f t="shared" si="164"/>
        <v>0</v>
      </c>
      <c r="AX42" s="53">
        <f t="shared" si="165"/>
        <v>0</v>
      </c>
    </row>
    <row r="43" spans="3:50" ht="15" customHeight="1" x14ac:dyDescent="0.4">
      <c r="C43" s="21"/>
      <c r="D43" s="111" t="s">
        <v>107</v>
      </c>
      <c r="E43" s="103"/>
      <c r="F43" s="104"/>
      <c r="G43" s="103"/>
      <c r="H43" s="27"/>
      <c r="I43" s="27">
        <f t="shared" si="122"/>
        <v>0</v>
      </c>
      <c r="J43" s="27" t="e">
        <f t="shared" si="105"/>
        <v>#DIV/0!</v>
      </c>
      <c r="K43" s="25" t="e">
        <f t="shared" si="116"/>
        <v>#DIV/0!</v>
      </c>
      <c r="L43" s="28" t="e">
        <f t="shared" si="106"/>
        <v>#DIV/0!</v>
      </c>
      <c r="M43" s="130" t="str">
        <f t="shared" si="107"/>
        <v/>
      </c>
      <c r="N43" s="130" t="str">
        <f t="shared" si="108"/>
        <v/>
      </c>
      <c r="O43" s="134"/>
      <c r="P43" s="27" t="e">
        <f>'Real Estate Tax'!M15</f>
        <v>#VALUE!</v>
      </c>
      <c r="Q43" s="27" t="e">
        <f t="shared" si="117"/>
        <v>#VALUE!</v>
      </c>
      <c r="R43" s="25" t="e">
        <f t="shared" si="118"/>
        <v>#VALUE!</v>
      </c>
      <c r="S43" s="28" t="e">
        <f t="shared" si="110"/>
        <v>#VALUE!</v>
      </c>
      <c r="T43" s="130" t="str">
        <f t="shared" si="111"/>
        <v/>
      </c>
      <c r="U43" s="12"/>
      <c r="V43" s="44" t="str">
        <f t="shared" si="112"/>
        <v>Apt. RE Taxes</v>
      </c>
      <c r="W43" s="224" t="str">
        <f>T43</f>
        <v/>
      </c>
      <c r="X43" s="227" t="e">
        <f>R43</f>
        <v>#VALUE!</v>
      </c>
      <c r="Y43" s="223" t="e">
        <f>Q43</f>
        <v>#VALUE!</v>
      </c>
      <c r="Z43" s="236" t="e">
        <f>AO43/AN43-1</f>
        <v>#VALUE!</v>
      </c>
      <c r="AA43" s="237" t="e">
        <f>AO43/AO$27</f>
        <v>#VALUE!</v>
      </c>
      <c r="AB43" s="238" t="e">
        <f>AO43/$Q$1</f>
        <v>#VALUE!</v>
      </c>
      <c r="AC43" s="222" t="e">
        <f>AP43/AO43-1</f>
        <v>#VALUE!</v>
      </c>
      <c r="AD43" s="239" t="e">
        <f t="shared" ref="AD43" si="168">AQ43/AP43-1</f>
        <v>#VALUE!</v>
      </c>
      <c r="AE43" s="222" t="e">
        <f t="shared" ref="AE43" si="169">AR43/AQ43-1</f>
        <v>#VALUE!</v>
      </c>
      <c r="AF43" s="239" t="e">
        <f t="shared" ref="AF43" si="170">AS43/AR43-1</f>
        <v>#VALUE!</v>
      </c>
      <c r="AG43" s="222" t="e">
        <f t="shared" ref="AG43" si="171">AT43/AS43-1</f>
        <v>#VALUE!</v>
      </c>
      <c r="AH43" s="239" t="e">
        <f t="shared" ref="AH43" si="172">AU43/AT43-1</f>
        <v>#VALUE!</v>
      </c>
      <c r="AI43" s="222" t="e">
        <f t="shared" ref="AI43" si="173">AV43/AU43-1</f>
        <v>#VALUE!</v>
      </c>
      <c r="AJ43" s="239" t="e">
        <f t="shared" ref="AJ43" si="174">AW43/AV43-1</f>
        <v>#VALUE!</v>
      </c>
      <c r="AK43" s="118" t="e">
        <f t="shared" ref="AK43" si="175">AX43/AW43-1</f>
        <v>#VALUE!</v>
      </c>
      <c r="AM43" s="43" t="str">
        <f t="shared" si="4"/>
        <v>Apt. RE Taxes</v>
      </c>
      <c r="AN43" s="33" t="e">
        <f t="shared" si="10"/>
        <v>#VALUE!</v>
      </c>
      <c r="AO43" s="53" t="e">
        <f>'Real Estate Tax'!M16</f>
        <v>#VALUE!</v>
      </c>
      <c r="AP43" s="53" t="e">
        <f>'Real Estate Tax'!M17</f>
        <v>#VALUE!</v>
      </c>
      <c r="AQ43" s="53" t="e">
        <f>'Real Estate Tax'!M18</f>
        <v>#VALUE!</v>
      </c>
      <c r="AR43" s="53" t="e">
        <f>'Real Estate Tax'!M19</f>
        <v>#VALUE!</v>
      </c>
      <c r="AS43" s="53" t="e">
        <f>'Real Estate Tax'!M20</f>
        <v>#VALUE!</v>
      </c>
      <c r="AT43" s="53" t="e">
        <f>'Real Estate Tax'!M21</f>
        <v>#VALUE!</v>
      </c>
      <c r="AU43" s="53" t="e">
        <f>'Real Estate Tax'!M22</f>
        <v>#VALUE!</v>
      </c>
      <c r="AV43" s="53" t="e">
        <f>'Real Estate Tax'!M23</f>
        <v>#VALUE!</v>
      </c>
      <c r="AW43" s="53" t="e">
        <f>'Real Estate Tax'!M24</f>
        <v>#VALUE!</v>
      </c>
      <c r="AX43" s="53" t="e">
        <f>'Real Estate Tax'!M25</f>
        <v>#VALUE!</v>
      </c>
    </row>
    <row r="44" spans="3:50" ht="15" customHeight="1" x14ac:dyDescent="0.4">
      <c r="C44" s="21"/>
      <c r="D44" s="111" t="s">
        <v>23</v>
      </c>
      <c r="E44" s="105"/>
      <c r="F44" s="106"/>
      <c r="G44" s="105"/>
      <c r="H44" s="29"/>
      <c r="I44" s="29">
        <f t="shared" si="122"/>
        <v>0</v>
      </c>
      <c r="J44" s="29" t="e">
        <f t="shared" si="105"/>
        <v>#DIV/0!</v>
      </c>
      <c r="K44" s="139" t="e">
        <f t="shared" si="116"/>
        <v>#DIV/0!</v>
      </c>
      <c r="L44" s="32" t="e">
        <f t="shared" si="106"/>
        <v>#DIV/0!</v>
      </c>
      <c r="M44" s="130" t="str">
        <f t="shared" si="107"/>
        <v/>
      </c>
      <c r="N44" s="130" t="str">
        <f t="shared" si="108"/>
        <v/>
      </c>
      <c r="O44" s="134"/>
      <c r="P44" s="27">
        <f>IF(W44&lt;&gt;"",I44*(1+W44),IF(X44&lt;&gt;"",X44*$P$9,Y44*$Q$1))</f>
        <v>0</v>
      </c>
      <c r="Q44" s="27" t="e">
        <f t="shared" si="117"/>
        <v>#DIV/0!</v>
      </c>
      <c r="R44" s="25" t="e">
        <f t="shared" si="118"/>
        <v>#DIV/0!</v>
      </c>
      <c r="S44" s="28" t="e">
        <f t="shared" si="110"/>
        <v>#DIV/0!</v>
      </c>
      <c r="T44" s="130" t="str">
        <f t="shared" si="111"/>
        <v/>
      </c>
      <c r="U44" s="12"/>
      <c r="V44" s="44" t="str">
        <f t="shared" si="112"/>
        <v>Other</v>
      </c>
      <c r="W44" s="213"/>
      <c r="X44" s="219"/>
      <c r="Y44" s="220"/>
      <c r="Z44" s="232"/>
      <c r="AA44" s="233"/>
      <c r="AB44" s="234"/>
      <c r="AC44" s="213"/>
      <c r="AD44" s="235">
        <f>AC44</f>
        <v>0</v>
      </c>
      <c r="AE44" s="115">
        <f t="shared" ref="AE44:AK44" si="176">AD44</f>
        <v>0</v>
      </c>
      <c r="AF44" s="235">
        <f t="shared" si="176"/>
        <v>0</v>
      </c>
      <c r="AG44" s="115">
        <f t="shared" si="176"/>
        <v>0</v>
      </c>
      <c r="AH44" s="235">
        <f t="shared" si="176"/>
        <v>0</v>
      </c>
      <c r="AI44" s="115">
        <f t="shared" si="176"/>
        <v>0</v>
      </c>
      <c r="AJ44" s="235">
        <f t="shared" si="176"/>
        <v>0</v>
      </c>
      <c r="AK44" s="115">
        <f t="shared" si="176"/>
        <v>0</v>
      </c>
      <c r="AM44" s="43" t="str">
        <f t="shared" si="4"/>
        <v>Other</v>
      </c>
      <c r="AN44" s="33">
        <f t="shared" si="10"/>
        <v>0</v>
      </c>
      <c r="AO44" s="53">
        <f>IF(Z44&lt;&gt;"",AN44*(1+Z44),IF(AA44&lt;&gt;"",AO$27*AA44,AB44*$Q$1))</f>
        <v>0</v>
      </c>
      <c r="AP44" s="53">
        <f t="shared" si="121"/>
        <v>0</v>
      </c>
      <c r="AQ44" s="53">
        <f t="shared" si="158"/>
        <v>0</v>
      </c>
      <c r="AR44" s="53">
        <f t="shared" si="159"/>
        <v>0</v>
      </c>
      <c r="AS44" s="53">
        <f t="shared" si="160"/>
        <v>0</v>
      </c>
      <c r="AT44" s="53">
        <f t="shared" si="161"/>
        <v>0</v>
      </c>
      <c r="AU44" s="53">
        <f t="shared" si="162"/>
        <v>0</v>
      </c>
      <c r="AV44" s="53">
        <f t="shared" si="163"/>
        <v>0</v>
      </c>
      <c r="AW44" s="53">
        <f t="shared" si="164"/>
        <v>0</v>
      </c>
      <c r="AX44" s="53">
        <f t="shared" si="165"/>
        <v>0</v>
      </c>
    </row>
    <row r="45" spans="3:50" ht="15" customHeight="1" x14ac:dyDescent="0.4">
      <c r="C45" s="21"/>
      <c r="D45" s="111" t="s">
        <v>23</v>
      </c>
      <c r="E45" s="105"/>
      <c r="F45" s="106"/>
      <c r="G45" s="105"/>
      <c r="H45" s="29"/>
      <c r="I45" s="29">
        <f t="shared" si="122"/>
        <v>0</v>
      </c>
      <c r="J45" s="29" t="e">
        <f t="shared" si="105"/>
        <v>#DIV/0!</v>
      </c>
      <c r="K45" s="139" t="e">
        <f t="shared" si="116"/>
        <v>#DIV/0!</v>
      </c>
      <c r="L45" s="32" t="e">
        <f t="shared" si="106"/>
        <v>#DIV/0!</v>
      </c>
      <c r="M45" s="130" t="str">
        <f t="shared" si="107"/>
        <v/>
      </c>
      <c r="N45" s="130" t="str">
        <f t="shared" si="108"/>
        <v/>
      </c>
      <c r="O45" s="134"/>
      <c r="P45" s="27">
        <f>IF(W45&lt;&gt;"",I45*(1+W45),IF(X45&lt;&gt;"",X45*$P$9,Y45*$Q$1))</f>
        <v>0</v>
      </c>
      <c r="Q45" s="27" t="e">
        <f t="shared" si="117"/>
        <v>#DIV/0!</v>
      </c>
      <c r="R45" s="25" t="e">
        <f t="shared" si="118"/>
        <v>#DIV/0!</v>
      </c>
      <c r="S45" s="28" t="e">
        <f t="shared" si="110"/>
        <v>#DIV/0!</v>
      </c>
      <c r="T45" s="130" t="str">
        <f t="shared" si="111"/>
        <v/>
      </c>
      <c r="U45" s="12"/>
      <c r="V45" s="44" t="str">
        <f t="shared" si="112"/>
        <v>Other</v>
      </c>
      <c r="W45" s="213"/>
      <c r="X45" s="219"/>
      <c r="Y45" s="220"/>
      <c r="Z45" s="232"/>
      <c r="AA45" s="233"/>
      <c r="AB45" s="234"/>
      <c r="AC45" s="213"/>
      <c r="AD45" s="235">
        <f>AC45</f>
        <v>0</v>
      </c>
      <c r="AE45" s="115">
        <f t="shared" ref="AE45:AK46" si="177">AD45</f>
        <v>0</v>
      </c>
      <c r="AF45" s="235">
        <f t="shared" si="177"/>
        <v>0</v>
      </c>
      <c r="AG45" s="115">
        <f t="shared" si="177"/>
        <v>0</v>
      </c>
      <c r="AH45" s="235">
        <f t="shared" si="177"/>
        <v>0</v>
      </c>
      <c r="AI45" s="115">
        <f t="shared" si="177"/>
        <v>0</v>
      </c>
      <c r="AJ45" s="235">
        <f t="shared" si="177"/>
        <v>0</v>
      </c>
      <c r="AK45" s="115">
        <f t="shared" si="177"/>
        <v>0</v>
      </c>
      <c r="AM45" s="43" t="str">
        <f t="shared" si="4"/>
        <v>Other</v>
      </c>
      <c r="AN45" s="33">
        <f t="shared" si="10"/>
        <v>0</v>
      </c>
      <c r="AO45" s="53">
        <f>IF(Z45&lt;&gt;"",AN45*(1+Z45),IF(AA45&lt;&gt;"",AO$27*AA45,AB45*$Q$1))</f>
        <v>0</v>
      </c>
      <c r="AP45" s="53">
        <f t="shared" si="121"/>
        <v>0</v>
      </c>
      <c r="AQ45" s="53">
        <f t="shared" si="158"/>
        <v>0</v>
      </c>
      <c r="AR45" s="53">
        <f t="shared" si="159"/>
        <v>0</v>
      </c>
      <c r="AS45" s="53">
        <f t="shared" si="160"/>
        <v>0</v>
      </c>
      <c r="AT45" s="53">
        <f t="shared" si="161"/>
        <v>0</v>
      </c>
      <c r="AU45" s="53">
        <f t="shared" si="162"/>
        <v>0</v>
      </c>
      <c r="AV45" s="53">
        <f t="shared" si="163"/>
        <v>0</v>
      </c>
      <c r="AW45" s="53">
        <f t="shared" si="164"/>
        <v>0</v>
      </c>
      <c r="AX45" s="53">
        <f t="shared" si="165"/>
        <v>0</v>
      </c>
    </row>
    <row r="46" spans="3:50" ht="15" customHeight="1" x14ac:dyDescent="0.4">
      <c r="C46" s="21"/>
      <c r="D46" s="111" t="s">
        <v>23</v>
      </c>
      <c r="E46" s="105"/>
      <c r="F46" s="106"/>
      <c r="G46" s="105"/>
      <c r="H46" s="29"/>
      <c r="I46" s="29">
        <f t="shared" si="122"/>
        <v>0</v>
      </c>
      <c r="J46" s="29" t="e">
        <f t="shared" si="105"/>
        <v>#DIV/0!</v>
      </c>
      <c r="K46" s="139" t="e">
        <f t="shared" si="116"/>
        <v>#DIV/0!</v>
      </c>
      <c r="L46" s="32" t="e">
        <f t="shared" si="106"/>
        <v>#DIV/0!</v>
      </c>
      <c r="M46" s="130" t="str">
        <f t="shared" si="107"/>
        <v/>
      </c>
      <c r="N46" s="130" t="str">
        <f t="shared" si="108"/>
        <v/>
      </c>
      <c r="O46" s="134"/>
      <c r="P46" s="27">
        <f>IF(W46&lt;&gt;"",I46*(1+W46),IF(X46&lt;&gt;"",X46*$P$9,Y46*$Q$1))</f>
        <v>0</v>
      </c>
      <c r="Q46" s="27" t="e">
        <f t="shared" si="117"/>
        <v>#DIV/0!</v>
      </c>
      <c r="R46" s="25" t="e">
        <f t="shared" si="118"/>
        <v>#DIV/0!</v>
      </c>
      <c r="S46" s="28" t="e">
        <f t="shared" si="110"/>
        <v>#DIV/0!</v>
      </c>
      <c r="T46" s="130" t="str">
        <f t="shared" si="111"/>
        <v/>
      </c>
      <c r="U46" s="12"/>
      <c r="V46" s="44" t="str">
        <f t="shared" si="112"/>
        <v>Other</v>
      </c>
      <c r="W46" s="213"/>
      <c r="X46" s="219"/>
      <c r="Y46" s="220"/>
      <c r="Z46" s="232"/>
      <c r="AA46" s="233"/>
      <c r="AB46" s="234"/>
      <c r="AC46" s="213"/>
      <c r="AD46" s="235">
        <f>AC46</f>
        <v>0</v>
      </c>
      <c r="AE46" s="115">
        <f t="shared" si="177"/>
        <v>0</v>
      </c>
      <c r="AF46" s="235">
        <f t="shared" si="177"/>
        <v>0</v>
      </c>
      <c r="AG46" s="115">
        <f t="shared" si="177"/>
        <v>0</v>
      </c>
      <c r="AH46" s="235">
        <f t="shared" si="177"/>
        <v>0</v>
      </c>
      <c r="AI46" s="115">
        <f t="shared" si="177"/>
        <v>0</v>
      </c>
      <c r="AJ46" s="235">
        <f t="shared" si="177"/>
        <v>0</v>
      </c>
      <c r="AK46" s="115">
        <f t="shared" si="177"/>
        <v>0</v>
      </c>
      <c r="AM46" s="43" t="str">
        <f t="shared" si="4"/>
        <v>Other</v>
      </c>
      <c r="AN46" s="33">
        <f t="shared" si="10"/>
        <v>0</v>
      </c>
      <c r="AO46" s="53">
        <f>IF(Z46&lt;&gt;"",AN46*(1+Z46),IF(AA46&lt;&gt;"",AO$27*AA46,AB46*$Q$1))</f>
        <v>0</v>
      </c>
      <c r="AP46" s="53">
        <f t="shared" si="121"/>
        <v>0</v>
      </c>
      <c r="AQ46" s="53">
        <f t="shared" si="158"/>
        <v>0</v>
      </c>
      <c r="AR46" s="53">
        <f t="shared" si="159"/>
        <v>0</v>
      </c>
      <c r="AS46" s="53">
        <f t="shared" si="160"/>
        <v>0</v>
      </c>
      <c r="AT46" s="53">
        <f t="shared" si="161"/>
        <v>0</v>
      </c>
      <c r="AU46" s="53">
        <f t="shared" si="162"/>
        <v>0</v>
      </c>
      <c r="AV46" s="53">
        <f t="shared" si="163"/>
        <v>0</v>
      </c>
      <c r="AW46" s="53">
        <f t="shared" si="164"/>
        <v>0</v>
      </c>
      <c r="AX46" s="53">
        <f t="shared" si="165"/>
        <v>0</v>
      </c>
    </row>
    <row r="47" spans="3:50" ht="15" customHeight="1" x14ac:dyDescent="0.4">
      <c r="C47" s="84" t="s">
        <v>36</v>
      </c>
      <c r="D47" s="84"/>
      <c r="E47" s="145">
        <f>SUM(E30:E46)</f>
        <v>0</v>
      </c>
      <c r="F47" s="145">
        <f t="shared" ref="F47:G47" si="178">SUM(F30:F46)</f>
        <v>0</v>
      </c>
      <c r="G47" s="145">
        <f t="shared" si="178"/>
        <v>0</v>
      </c>
      <c r="H47" s="142"/>
      <c r="I47" s="142">
        <f>SUM(I30:I46)</f>
        <v>0</v>
      </c>
      <c r="J47" s="142" t="e">
        <f>SUM(J30:J46)</f>
        <v>#DIV/0!</v>
      </c>
      <c r="K47" s="254" t="e">
        <f>I47/I27</f>
        <v>#DIV/0!</v>
      </c>
      <c r="L47" s="144" t="e">
        <f>SUM(L30:L46)</f>
        <v>#DIV/0!</v>
      </c>
      <c r="M47" s="140" t="str">
        <f t="shared" si="107"/>
        <v/>
      </c>
      <c r="N47" s="140" t="str">
        <f t="shared" si="108"/>
        <v/>
      </c>
      <c r="O47" s="141"/>
      <c r="P47" s="142" t="e">
        <f>SUM(P30:P46)</f>
        <v>#VALUE!</v>
      </c>
      <c r="Q47" s="142" t="e">
        <f>SUM(Q30:Q46)</f>
        <v>#DIV/0!</v>
      </c>
      <c r="R47" s="254" t="e">
        <f>P47/P27</f>
        <v>#VALUE!</v>
      </c>
      <c r="S47" s="144" t="e">
        <f>SUM(S30:S46)</f>
        <v>#DIV/0!</v>
      </c>
      <c r="T47" s="140" t="e">
        <f>P47/I47-1</f>
        <v>#VALUE!</v>
      </c>
      <c r="U47" s="12"/>
      <c r="V47" s="44" t="s">
        <v>44</v>
      </c>
      <c r="W47" s="213"/>
      <c r="X47" s="219"/>
      <c r="Y47" s="220">
        <v>300</v>
      </c>
      <c r="Z47" s="228"/>
      <c r="AA47" s="228"/>
      <c r="AB47" s="229"/>
      <c r="AC47" s="230"/>
      <c r="AD47" s="209"/>
      <c r="AE47" s="209"/>
      <c r="AF47" s="209"/>
      <c r="AG47" s="209"/>
      <c r="AH47" s="209"/>
      <c r="AI47" s="209"/>
      <c r="AJ47" s="209"/>
      <c r="AK47" s="209"/>
      <c r="AM47" s="84" t="str">
        <f t="shared" si="4"/>
        <v>Total Expenses</v>
      </c>
      <c r="AN47" s="145" t="e">
        <f>SUM(AN30:AN46)</f>
        <v>#VALUE!</v>
      </c>
      <c r="AO47" s="145" t="e">
        <f t="shared" ref="AO47:AX47" si="179">SUM(AO30:AO46)</f>
        <v>#VALUE!</v>
      </c>
      <c r="AP47" s="145" t="e">
        <f t="shared" si="179"/>
        <v>#VALUE!</v>
      </c>
      <c r="AQ47" s="145" t="e">
        <f t="shared" si="179"/>
        <v>#VALUE!</v>
      </c>
      <c r="AR47" s="145" t="e">
        <f t="shared" si="179"/>
        <v>#VALUE!</v>
      </c>
      <c r="AS47" s="145" t="e">
        <f t="shared" si="179"/>
        <v>#VALUE!</v>
      </c>
      <c r="AT47" s="145" t="e">
        <f t="shared" si="179"/>
        <v>#VALUE!</v>
      </c>
      <c r="AU47" s="145" t="e">
        <f t="shared" si="179"/>
        <v>#VALUE!</v>
      </c>
      <c r="AV47" s="145" t="e">
        <f t="shared" si="179"/>
        <v>#VALUE!</v>
      </c>
      <c r="AW47" s="145" t="e">
        <f t="shared" si="179"/>
        <v>#VALUE!</v>
      </c>
      <c r="AX47" s="145" t="e">
        <f t="shared" si="179"/>
        <v>#VALUE!</v>
      </c>
    </row>
    <row r="48" spans="3:50" ht="15" customHeight="1" x14ac:dyDescent="0.4">
      <c r="D48" s="3"/>
      <c r="E48" s="13"/>
      <c r="F48" s="14"/>
      <c r="O48" s="11"/>
      <c r="R48" s="40"/>
      <c r="U48" s="12"/>
      <c r="V48" s="41" t="s">
        <v>94</v>
      </c>
      <c r="W48" s="34"/>
      <c r="AN48" s="12"/>
    </row>
    <row r="49" spans="3:50" ht="15" customHeight="1" x14ac:dyDescent="0.4">
      <c r="C49" s="84" t="s">
        <v>38</v>
      </c>
      <c r="D49" s="84"/>
      <c r="E49" s="145">
        <f t="shared" ref="E49:J49" si="180">E27-E47</f>
        <v>0</v>
      </c>
      <c r="F49" s="146">
        <f t="shared" si="180"/>
        <v>0</v>
      </c>
      <c r="G49" s="145">
        <f t="shared" si="180"/>
        <v>0</v>
      </c>
      <c r="H49" s="145">
        <f t="shared" si="180"/>
        <v>0</v>
      </c>
      <c r="I49" s="142">
        <f t="shared" si="180"/>
        <v>0</v>
      </c>
      <c r="J49" s="142" t="e">
        <f t="shared" si="180"/>
        <v>#DIV/0!</v>
      </c>
      <c r="K49" s="254" t="e">
        <f>I49/I27</f>
        <v>#DIV/0!</v>
      </c>
      <c r="L49" s="144" t="e">
        <f>L27-L47</f>
        <v>#DIV/0!</v>
      </c>
      <c r="M49" s="140" t="str">
        <f>IFERROR(F49/E49-1,"")</f>
        <v/>
      </c>
      <c r="N49" s="140" t="str">
        <f>IFERROR(G49/F49-1,"")</f>
        <v/>
      </c>
      <c r="O49" s="141" t="str">
        <f>IFERROR(I49/G49-1,"")</f>
        <v/>
      </c>
      <c r="P49" s="142" t="e">
        <f>P27-P47</f>
        <v>#VALUE!</v>
      </c>
      <c r="Q49" s="142" t="e">
        <f>Q27-Q47</f>
        <v>#DIV/0!</v>
      </c>
      <c r="R49" s="254" t="e">
        <f>P49/P27</f>
        <v>#VALUE!</v>
      </c>
      <c r="S49" s="144" t="e">
        <f>S27-S47</f>
        <v>#DIV/0!</v>
      </c>
      <c r="T49" s="140" t="e">
        <f>P49/I49-1</f>
        <v>#VALUE!</v>
      </c>
      <c r="U49" s="12"/>
      <c r="V49" s="46" t="s">
        <v>61</v>
      </c>
      <c r="W49" s="116"/>
      <c r="X49" s="231"/>
      <c r="Y49" s="7" t="s">
        <v>59</v>
      </c>
      <c r="AM49" s="84" t="str">
        <f t="shared" si="4"/>
        <v>Net Operating Income</v>
      </c>
      <c r="AN49" s="145" t="e">
        <f t="shared" ref="AN49:AX49" si="181">AN27-AN47</f>
        <v>#VALUE!</v>
      </c>
      <c r="AO49" s="146" t="e">
        <f t="shared" si="181"/>
        <v>#VALUE!</v>
      </c>
      <c r="AP49" s="146" t="e">
        <f t="shared" si="181"/>
        <v>#VALUE!</v>
      </c>
      <c r="AQ49" s="146" t="e">
        <f t="shared" si="181"/>
        <v>#VALUE!</v>
      </c>
      <c r="AR49" s="146" t="e">
        <f t="shared" si="181"/>
        <v>#VALUE!</v>
      </c>
      <c r="AS49" s="146" t="e">
        <f t="shared" si="181"/>
        <v>#VALUE!</v>
      </c>
      <c r="AT49" s="146" t="e">
        <f t="shared" si="181"/>
        <v>#VALUE!</v>
      </c>
      <c r="AU49" s="146" t="e">
        <f t="shared" si="181"/>
        <v>#VALUE!</v>
      </c>
      <c r="AV49" s="146" t="e">
        <f t="shared" si="181"/>
        <v>#VALUE!</v>
      </c>
      <c r="AW49" s="146" t="e">
        <f t="shared" si="181"/>
        <v>#VALUE!</v>
      </c>
      <c r="AX49" s="146" t="e">
        <f t="shared" si="181"/>
        <v>#VALUE!</v>
      </c>
    </row>
    <row r="50" spans="3:50" ht="15" customHeight="1" x14ac:dyDescent="0.4">
      <c r="D50" s="3"/>
      <c r="E50" s="4"/>
      <c r="W50" s="117"/>
      <c r="X50" s="7" t="s">
        <v>60</v>
      </c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</row>
    <row r="51" spans="3:50" ht="15" customHeight="1" x14ac:dyDescent="0.4">
      <c r="C51" s="7" t="s">
        <v>44</v>
      </c>
      <c r="D51" s="3"/>
      <c r="E51" s="38">
        <f>P51</f>
        <v>0</v>
      </c>
      <c r="F51" s="38">
        <f>P51</f>
        <v>0</v>
      </c>
      <c r="G51" s="38">
        <f>P51</f>
        <v>0</v>
      </c>
      <c r="H51" s="38"/>
      <c r="I51" s="38">
        <f>P51</f>
        <v>0</v>
      </c>
      <c r="J51" s="38" t="e">
        <f>I51/$Q$1</f>
        <v>#DIV/0!</v>
      </c>
      <c r="K51" s="35" t="e">
        <f>I51/I27</f>
        <v>#DIV/0!</v>
      </c>
      <c r="L51" s="36" t="e">
        <f>I51/$Q$2</f>
        <v>#DIV/0!</v>
      </c>
      <c r="M51" s="37"/>
      <c r="N51" s="37"/>
      <c r="O51" s="37"/>
      <c r="P51" s="38">
        <f>IF(W47&lt;&gt;"",I51*(1+W47),IF(X47&lt;&gt;"",X47*$P$9,Y47*$Q$1))</f>
        <v>0</v>
      </c>
      <c r="Q51" s="38" t="e">
        <f>P51/$Q$1</f>
        <v>#DIV/0!</v>
      </c>
      <c r="R51" s="35" t="e">
        <f>P51/P27</f>
        <v>#DIV/0!</v>
      </c>
      <c r="S51" s="36" t="e">
        <f>P51/$Q$2</f>
        <v>#DIV/0!</v>
      </c>
      <c r="T51" s="57" t="e">
        <f>P51/I51-1</f>
        <v>#DIV/0!</v>
      </c>
      <c r="AM51" s="7" t="str">
        <f t="shared" si="4"/>
        <v>Reserves</v>
      </c>
      <c r="AN51" s="12">
        <f>$P$51</f>
        <v>0</v>
      </c>
      <c r="AO51" s="12">
        <f t="shared" ref="AO51:AX51" si="182">$P$51</f>
        <v>0</v>
      </c>
      <c r="AP51" s="12">
        <f t="shared" si="182"/>
        <v>0</v>
      </c>
      <c r="AQ51" s="12">
        <f t="shared" si="182"/>
        <v>0</v>
      </c>
      <c r="AR51" s="12">
        <f t="shared" si="182"/>
        <v>0</v>
      </c>
      <c r="AS51" s="12">
        <f t="shared" si="182"/>
        <v>0</v>
      </c>
      <c r="AT51" s="12">
        <f t="shared" si="182"/>
        <v>0</v>
      </c>
      <c r="AU51" s="12">
        <f t="shared" si="182"/>
        <v>0</v>
      </c>
      <c r="AV51" s="12">
        <f t="shared" si="182"/>
        <v>0</v>
      </c>
      <c r="AW51" s="12">
        <f t="shared" si="182"/>
        <v>0</v>
      </c>
      <c r="AX51" s="12">
        <f t="shared" si="182"/>
        <v>0</v>
      </c>
    </row>
    <row r="52" spans="3:50" ht="15" customHeight="1" x14ac:dyDescent="0.4">
      <c r="D52" s="3"/>
      <c r="E52" s="4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</row>
    <row r="53" spans="3:50" ht="15" customHeight="1" x14ac:dyDescent="0.4">
      <c r="C53" s="84" t="s">
        <v>45</v>
      </c>
      <c r="D53" s="84"/>
      <c r="E53" s="145">
        <f>E49-E51</f>
        <v>0</v>
      </c>
      <c r="F53" s="146">
        <f t="shared" ref="F53:P53" si="183">F49-F51</f>
        <v>0</v>
      </c>
      <c r="G53" s="145">
        <f t="shared" si="183"/>
        <v>0</v>
      </c>
      <c r="H53" s="145">
        <f t="shared" si="183"/>
        <v>0</v>
      </c>
      <c r="I53" s="142">
        <f t="shared" si="183"/>
        <v>0</v>
      </c>
      <c r="J53" s="142" t="e">
        <f>J49-J51</f>
        <v>#DIV/0!</v>
      </c>
      <c r="K53" s="143" t="e">
        <f>K49-K51</f>
        <v>#DIV/0!</v>
      </c>
      <c r="L53" s="144" t="e">
        <f>L49-L51</f>
        <v>#DIV/0!</v>
      </c>
      <c r="M53" s="140" t="str">
        <f>IFERROR(F53/E53-1,"")</f>
        <v/>
      </c>
      <c r="N53" s="140" t="str">
        <f>IFERROR(G53/F53-1,"")</f>
        <v/>
      </c>
      <c r="O53" s="141" t="str">
        <f>IFERROR(I53/G53-1,"")</f>
        <v/>
      </c>
      <c r="P53" s="142" t="e">
        <f t="shared" si="183"/>
        <v>#VALUE!</v>
      </c>
      <c r="Q53" s="142" t="e">
        <f>Q49-Q51</f>
        <v>#DIV/0!</v>
      </c>
      <c r="R53" s="143" t="e">
        <f>R49-R51</f>
        <v>#VALUE!</v>
      </c>
      <c r="S53" s="144" t="e">
        <f>S49-S51</f>
        <v>#DIV/0!</v>
      </c>
      <c r="T53" s="140" t="e">
        <f>P53/I53-1</f>
        <v>#VALUE!</v>
      </c>
      <c r="AM53" s="84" t="str">
        <f t="shared" si="4"/>
        <v>NOI After Reserves</v>
      </c>
      <c r="AN53" s="145" t="e">
        <f>AN49-AN51</f>
        <v>#VALUE!</v>
      </c>
      <c r="AO53" s="146" t="e">
        <f t="shared" ref="AO53:AP53" si="184">AO49-AO51</f>
        <v>#VALUE!</v>
      </c>
      <c r="AP53" s="146" t="e">
        <f t="shared" si="184"/>
        <v>#VALUE!</v>
      </c>
      <c r="AQ53" s="146" t="e">
        <f t="shared" ref="AQ53:AX53" si="185">AQ49-AQ51</f>
        <v>#VALUE!</v>
      </c>
      <c r="AR53" s="146" t="e">
        <f t="shared" si="185"/>
        <v>#VALUE!</v>
      </c>
      <c r="AS53" s="146" t="e">
        <f t="shared" si="185"/>
        <v>#VALUE!</v>
      </c>
      <c r="AT53" s="146" t="e">
        <f t="shared" si="185"/>
        <v>#VALUE!</v>
      </c>
      <c r="AU53" s="146" t="e">
        <f t="shared" si="185"/>
        <v>#VALUE!</v>
      </c>
      <c r="AV53" s="146" t="e">
        <f t="shared" si="185"/>
        <v>#VALUE!</v>
      </c>
      <c r="AW53" s="146" t="e">
        <f t="shared" si="185"/>
        <v>#VALUE!</v>
      </c>
      <c r="AX53" s="146" t="e">
        <f t="shared" si="185"/>
        <v>#VALUE!</v>
      </c>
    </row>
    <row r="54" spans="3:50" ht="15" customHeight="1" x14ac:dyDescent="0.4">
      <c r="D54" s="3"/>
      <c r="E54" s="4"/>
    </row>
    <row r="55" spans="3:50" ht="15" customHeight="1" x14ac:dyDescent="0.4">
      <c r="D55" s="3"/>
      <c r="E55" s="4"/>
    </row>
    <row r="56" spans="3:50" ht="15" customHeight="1" x14ac:dyDescent="0.4">
      <c r="D56" s="250"/>
      <c r="E56" s="4"/>
      <c r="I56" s="243"/>
      <c r="AN56" s="242"/>
    </row>
    <row r="57" spans="3:50" ht="15" customHeight="1" x14ac:dyDescent="0.4">
      <c r="D57" s="3"/>
      <c r="E57" s="4"/>
      <c r="P57" s="244"/>
    </row>
    <row r="58" spans="3:50" ht="15" customHeight="1" x14ac:dyDescent="0.4">
      <c r="D58" s="3"/>
      <c r="E58" s="4"/>
    </row>
    <row r="59" spans="3:50" ht="18" customHeight="1" x14ac:dyDescent="0.4">
      <c r="D59" s="3"/>
      <c r="E59" s="4"/>
      <c r="G59" s="12"/>
    </row>
    <row r="60" spans="3:50" ht="18" customHeight="1" x14ac:dyDescent="0.4">
      <c r="D60" s="3"/>
      <c r="E60" s="4"/>
    </row>
    <row r="61" spans="3:50" ht="18" customHeight="1" x14ac:dyDescent="0.4">
      <c r="D61" s="3"/>
      <c r="E61" s="4"/>
    </row>
    <row r="62" spans="3:50" ht="18" customHeight="1" x14ac:dyDescent="0.4">
      <c r="D62" s="3"/>
      <c r="E62" s="4"/>
    </row>
    <row r="63" spans="3:50" ht="18" customHeight="1" x14ac:dyDescent="0.4">
      <c r="D63" s="3"/>
      <c r="E63" s="4"/>
    </row>
    <row r="64" spans="3:50" ht="18" customHeight="1" x14ac:dyDescent="0.4">
      <c r="D64" s="3"/>
      <c r="E64" s="4"/>
    </row>
    <row r="65" spans="4:5" ht="18" customHeight="1" x14ac:dyDescent="0.4">
      <c r="D65" s="3"/>
      <c r="E65" s="4"/>
    </row>
    <row r="66" spans="4:5" ht="18" customHeight="1" x14ac:dyDescent="0.4">
      <c r="D66" s="3"/>
      <c r="E66" s="4"/>
    </row>
    <row r="67" spans="4:5" ht="18" customHeight="1" x14ac:dyDescent="0.4">
      <c r="D67" s="3"/>
      <c r="E67" s="4"/>
    </row>
    <row r="68" spans="4:5" ht="18" customHeight="1" x14ac:dyDescent="0.4">
      <c r="D68" s="3"/>
      <c r="E68" s="4"/>
    </row>
    <row r="69" spans="4:5" ht="18" customHeight="1" x14ac:dyDescent="0.4">
      <c r="D69" s="3"/>
      <c r="E69" s="4"/>
    </row>
    <row r="70" spans="4:5" ht="18" customHeight="1" x14ac:dyDescent="0.4">
      <c r="D70" s="3"/>
      <c r="E70" s="4"/>
    </row>
    <row r="71" spans="4:5" ht="18" customHeight="1" x14ac:dyDescent="0.4">
      <c r="D71" s="3"/>
      <c r="E71" s="4"/>
    </row>
    <row r="72" spans="4:5" ht="18" customHeight="1" x14ac:dyDescent="0.4">
      <c r="D72" s="3"/>
      <c r="E72" s="4"/>
    </row>
    <row r="73" spans="4:5" ht="18" customHeight="1" x14ac:dyDescent="0.4">
      <c r="D73" s="3"/>
      <c r="E73" s="4"/>
    </row>
    <row r="74" spans="4:5" ht="18" customHeight="1" x14ac:dyDescent="0.4">
      <c r="D74" s="3"/>
      <c r="E74" s="4"/>
    </row>
    <row r="75" spans="4:5" ht="18" customHeight="1" x14ac:dyDescent="0.4">
      <c r="D75" s="3"/>
      <c r="E75" s="4"/>
    </row>
    <row r="76" spans="4:5" ht="18" customHeight="1" x14ac:dyDescent="0.4">
      <c r="D76" s="3"/>
      <c r="E76" s="4"/>
    </row>
    <row r="77" spans="4:5" ht="18" customHeight="1" x14ac:dyDescent="0.4">
      <c r="D77" s="3"/>
      <c r="E77" s="4"/>
    </row>
    <row r="78" spans="4:5" ht="18" customHeight="1" x14ac:dyDescent="0.4">
      <c r="D78" s="3"/>
      <c r="E78" s="4"/>
    </row>
    <row r="79" spans="4:5" ht="18" customHeight="1" x14ac:dyDescent="0.4">
      <c r="D79" s="3"/>
      <c r="E79" s="4"/>
    </row>
    <row r="80" spans="4:5" ht="18" customHeight="1" x14ac:dyDescent="0.4">
      <c r="D80" s="3"/>
      <c r="E80" s="4"/>
    </row>
    <row r="81" spans="4:5" ht="18" customHeight="1" x14ac:dyDescent="0.4">
      <c r="D81" s="3"/>
      <c r="E81" s="4"/>
    </row>
    <row r="82" spans="4:5" ht="18" customHeight="1" x14ac:dyDescent="0.4">
      <c r="D82" s="3"/>
      <c r="E82" s="4"/>
    </row>
    <row r="83" spans="4:5" ht="18" customHeight="1" x14ac:dyDescent="0.4">
      <c r="D83" s="3"/>
      <c r="E83" s="4"/>
    </row>
    <row r="84" spans="4:5" ht="18" customHeight="1" x14ac:dyDescent="0.4">
      <c r="D84" s="3"/>
      <c r="E84" s="4"/>
    </row>
    <row r="85" spans="4:5" ht="18" customHeight="1" x14ac:dyDescent="0.4">
      <c r="D85" s="3"/>
      <c r="E85" s="4"/>
    </row>
    <row r="86" spans="4:5" ht="18" customHeight="1" x14ac:dyDescent="0.4">
      <c r="D86" s="3"/>
      <c r="E86" s="4"/>
    </row>
    <row r="87" spans="4:5" ht="18" customHeight="1" x14ac:dyDescent="0.4">
      <c r="D87" s="3"/>
      <c r="E87" s="4"/>
    </row>
    <row r="88" spans="4:5" ht="18" customHeight="1" x14ac:dyDescent="0.4">
      <c r="D88" s="3"/>
      <c r="E88" s="4"/>
    </row>
    <row r="89" spans="4:5" ht="18" customHeight="1" x14ac:dyDescent="0.4">
      <c r="D89" s="3"/>
      <c r="E89" s="4"/>
    </row>
    <row r="90" spans="4:5" ht="18" customHeight="1" x14ac:dyDescent="0.4">
      <c r="D90" s="3"/>
      <c r="E90" s="4"/>
    </row>
    <row r="91" spans="4:5" ht="18" customHeight="1" x14ac:dyDescent="0.4">
      <c r="D91" s="3"/>
      <c r="E91" s="4"/>
    </row>
    <row r="92" spans="4:5" ht="18" customHeight="1" x14ac:dyDescent="0.4">
      <c r="D92" s="3"/>
      <c r="E92" s="4"/>
    </row>
    <row r="93" spans="4:5" ht="18" customHeight="1" x14ac:dyDescent="0.4">
      <c r="D93" s="3"/>
      <c r="E93" s="4"/>
    </row>
    <row r="94" spans="4:5" ht="18" customHeight="1" x14ac:dyDescent="0.4">
      <c r="D94" s="3"/>
      <c r="E94" s="4"/>
    </row>
    <row r="95" spans="4:5" ht="18" customHeight="1" x14ac:dyDescent="0.4">
      <c r="D95" s="3"/>
      <c r="E95" s="4"/>
    </row>
    <row r="96" spans="4:5" ht="18" customHeight="1" x14ac:dyDescent="0.4">
      <c r="D96" s="3"/>
      <c r="E96" s="4"/>
    </row>
    <row r="97" spans="4:5" ht="18" customHeight="1" x14ac:dyDescent="0.4">
      <c r="D97" s="3"/>
      <c r="E97" s="4"/>
    </row>
    <row r="98" spans="4:5" ht="18" customHeight="1" x14ac:dyDescent="0.4">
      <c r="D98" s="3"/>
      <c r="E98" s="4"/>
    </row>
    <row r="99" spans="4:5" ht="18" customHeight="1" x14ac:dyDescent="0.4">
      <c r="D99" s="3"/>
      <c r="E99" s="4"/>
    </row>
    <row r="100" spans="4:5" ht="18" customHeight="1" x14ac:dyDescent="0.4">
      <c r="D100" s="3"/>
      <c r="E100" s="4"/>
    </row>
    <row r="101" spans="4:5" ht="18" customHeight="1" x14ac:dyDescent="0.4">
      <c r="D101" s="3"/>
      <c r="E101" s="4"/>
    </row>
    <row r="102" spans="4:5" ht="18" customHeight="1" x14ac:dyDescent="0.4">
      <c r="D102" s="3"/>
      <c r="E102" s="4"/>
    </row>
    <row r="103" spans="4:5" ht="18" customHeight="1" x14ac:dyDescent="0.4">
      <c r="D103" s="3"/>
      <c r="E103" s="4"/>
    </row>
    <row r="104" spans="4:5" ht="18" customHeight="1" x14ac:dyDescent="0.4">
      <c r="D104" s="3"/>
      <c r="E104" s="4"/>
    </row>
    <row r="105" spans="4:5" ht="18" customHeight="1" x14ac:dyDescent="0.4">
      <c r="D105" s="3"/>
      <c r="E105" s="4"/>
    </row>
    <row r="106" spans="4:5" ht="18" customHeight="1" x14ac:dyDescent="0.4">
      <c r="D106" s="3"/>
      <c r="E106" s="4"/>
    </row>
    <row r="107" spans="4:5" ht="18" customHeight="1" x14ac:dyDescent="0.4">
      <c r="D107" s="3"/>
      <c r="E107" s="4"/>
    </row>
    <row r="108" spans="4:5" ht="18" customHeight="1" x14ac:dyDescent="0.4">
      <c r="D108" s="3"/>
      <c r="E108" s="4"/>
    </row>
    <row r="109" spans="4:5" ht="18" customHeight="1" x14ac:dyDescent="0.4">
      <c r="D109" s="3"/>
      <c r="E109" s="4"/>
    </row>
    <row r="110" spans="4:5" ht="18" customHeight="1" x14ac:dyDescent="0.4">
      <c r="D110" s="3"/>
      <c r="E110" s="4"/>
    </row>
    <row r="111" spans="4:5" ht="18" customHeight="1" x14ac:dyDescent="0.4">
      <c r="D111" s="3"/>
      <c r="E111" s="4"/>
    </row>
    <row r="112" spans="4:5" ht="18" customHeight="1" x14ac:dyDescent="0.4">
      <c r="D112" s="3"/>
      <c r="E112" s="4"/>
    </row>
    <row r="113" spans="4:5" ht="18" customHeight="1" x14ac:dyDescent="0.4">
      <c r="D113" s="3"/>
      <c r="E113" s="4"/>
    </row>
    <row r="114" spans="4:5" ht="18" customHeight="1" x14ac:dyDescent="0.4">
      <c r="D114" s="3"/>
      <c r="E114" s="4"/>
    </row>
    <row r="115" spans="4:5" ht="18" customHeight="1" x14ac:dyDescent="0.4">
      <c r="D115" s="3"/>
      <c r="E115" s="4"/>
    </row>
    <row r="116" spans="4:5" ht="18" customHeight="1" x14ac:dyDescent="0.4">
      <c r="D116" s="3"/>
      <c r="E116" s="4"/>
    </row>
    <row r="117" spans="4:5" ht="18" customHeight="1" x14ac:dyDescent="0.4">
      <c r="D117" s="3"/>
      <c r="E117" s="4"/>
    </row>
    <row r="118" spans="4:5" ht="18" customHeight="1" x14ac:dyDescent="0.4">
      <c r="D118" s="3"/>
      <c r="E118" s="4"/>
    </row>
    <row r="119" spans="4:5" ht="18" customHeight="1" x14ac:dyDescent="0.4">
      <c r="D119" s="3"/>
      <c r="E119" s="4"/>
    </row>
    <row r="120" spans="4:5" ht="18" customHeight="1" x14ac:dyDescent="0.4">
      <c r="D120" s="3"/>
      <c r="E120" s="4"/>
    </row>
    <row r="121" spans="4:5" ht="18" customHeight="1" x14ac:dyDescent="0.4">
      <c r="D121" s="3"/>
      <c r="E121" s="4"/>
    </row>
    <row r="122" spans="4:5" ht="18" customHeight="1" x14ac:dyDescent="0.4">
      <c r="D122" s="3"/>
      <c r="E122" s="4"/>
    </row>
    <row r="123" spans="4:5" ht="18" customHeight="1" x14ac:dyDescent="0.4">
      <c r="D123" s="3"/>
      <c r="E123" s="4"/>
    </row>
    <row r="124" spans="4:5" ht="18" customHeight="1" x14ac:dyDescent="0.4">
      <c r="E124" s="4"/>
    </row>
    <row r="125" spans="4:5" ht="18" customHeight="1" x14ac:dyDescent="0.4">
      <c r="E125" s="4"/>
    </row>
    <row r="126" spans="4:5" ht="18" customHeight="1" x14ac:dyDescent="0.4">
      <c r="E126" s="4"/>
    </row>
    <row r="127" spans="4:5" ht="18" customHeight="1" x14ac:dyDescent="0.4">
      <c r="E127" s="4"/>
    </row>
    <row r="128" spans="4:5" ht="18" customHeight="1" x14ac:dyDescent="0.4">
      <c r="E128" s="4"/>
    </row>
    <row r="129" spans="5:5" ht="18" customHeight="1" x14ac:dyDescent="0.4">
      <c r="E129" s="4"/>
    </row>
    <row r="130" spans="5:5" ht="18" customHeight="1" x14ac:dyDescent="0.4">
      <c r="E130" s="4"/>
    </row>
    <row r="131" spans="5:5" ht="18" customHeight="1" x14ac:dyDescent="0.4">
      <c r="E131" s="4"/>
    </row>
    <row r="132" spans="5:5" ht="18" customHeight="1" x14ac:dyDescent="0.4">
      <c r="E132" s="4"/>
    </row>
    <row r="133" spans="5:5" ht="18" customHeight="1" x14ac:dyDescent="0.4">
      <c r="E133" s="4"/>
    </row>
    <row r="134" spans="5:5" ht="18" customHeight="1" x14ac:dyDescent="0.4">
      <c r="E134" s="4"/>
    </row>
    <row r="135" spans="5:5" ht="18" customHeight="1" x14ac:dyDescent="0.4">
      <c r="E135" s="4"/>
    </row>
  </sheetData>
  <conditionalFormatting sqref="E19">
    <cfRule type="expression" dxfId="68" priority="621">
      <formula>E19&lt;0</formula>
    </cfRule>
  </conditionalFormatting>
  <conditionalFormatting sqref="E44:G46">
    <cfRule type="expression" dxfId="67" priority="600">
      <formula>E44&lt;0</formula>
    </cfRule>
  </conditionalFormatting>
  <conditionalFormatting sqref="E8:H8">
    <cfRule type="expression" dxfId="66" priority="268">
      <formula>E8&lt;0</formula>
    </cfRule>
  </conditionalFormatting>
  <conditionalFormatting sqref="E10:H12">
    <cfRule type="expression" dxfId="65" priority="267">
      <formula>E10&lt;0</formula>
    </cfRule>
  </conditionalFormatting>
  <conditionalFormatting sqref="E14:H15">
    <cfRule type="expression" dxfId="64" priority="264">
      <formula>E14&lt;0</formula>
    </cfRule>
  </conditionalFormatting>
  <conditionalFormatting sqref="E20:H26">
    <cfRule type="expression" dxfId="63" priority="265">
      <formula>E20&lt;0</formula>
    </cfRule>
  </conditionalFormatting>
  <conditionalFormatting sqref="I8:J8">
    <cfRule type="expression" dxfId="62" priority="428">
      <formula>I8&lt;0</formula>
    </cfRule>
  </conditionalFormatting>
  <conditionalFormatting sqref="I10:J12 L10:L12 P10:Q12 S10:T12 AN10:AX12 P30:P33 R30:R33 K30:K34 M30:N34 Q31:Q33 S31:T33 I31:J34 L31:L34 H31:H46 I35:N46">
    <cfRule type="expression" dxfId="61" priority="597">
      <formula>H10&lt;0</formula>
    </cfRule>
  </conditionalFormatting>
  <conditionalFormatting sqref="I14:J26">
    <cfRule type="expression" dxfId="60" priority="426">
      <formula>I14&lt;0</formula>
    </cfRule>
  </conditionalFormatting>
  <conditionalFormatting sqref="K7:K27">
    <cfRule type="expression" dxfId="59" priority="9">
      <formula>K7&lt;0</formula>
    </cfRule>
    <cfRule type="expression" dxfId="58" priority="10">
      <formula>K7=0</formula>
    </cfRule>
  </conditionalFormatting>
  <conditionalFormatting sqref="K30:K47">
    <cfRule type="expression" dxfId="57" priority="22">
      <formula>K30=0</formula>
    </cfRule>
  </conditionalFormatting>
  <conditionalFormatting sqref="K47">
    <cfRule type="expression" dxfId="56" priority="21">
      <formula>K47&lt;0</formula>
    </cfRule>
  </conditionalFormatting>
  <conditionalFormatting sqref="K49">
    <cfRule type="expression" dxfId="55" priority="3">
      <formula>K49&lt;0</formula>
    </cfRule>
    <cfRule type="expression" dxfId="54" priority="4">
      <formula>K49=0</formula>
    </cfRule>
  </conditionalFormatting>
  <conditionalFormatting sqref="K53">
    <cfRule type="expression" dxfId="53" priority="282">
      <formula>K53&lt;0</formula>
    </cfRule>
    <cfRule type="expression" dxfId="52" priority="283">
      <formula>K53=0</formula>
    </cfRule>
  </conditionalFormatting>
  <conditionalFormatting sqref="L8">
    <cfRule type="expression" dxfId="51" priority="612">
      <formula>L8&lt;0</formula>
    </cfRule>
  </conditionalFormatting>
  <conditionalFormatting sqref="L14:L26">
    <cfRule type="expression" dxfId="50" priority="609">
      <formula>L14&lt;0</formula>
    </cfRule>
  </conditionalFormatting>
  <conditionalFormatting sqref="M7:O26">
    <cfRule type="expression" dxfId="49" priority="278">
      <formula>M7&lt;0</formula>
    </cfRule>
  </conditionalFormatting>
  <conditionalFormatting sqref="O38">
    <cfRule type="dataBar" priority="6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{510BD2E6-F6FB-4F3A-88D3-2634FDE3EC59}</x14:id>
        </ext>
      </extLst>
    </cfRule>
  </conditionalFormatting>
  <conditionalFormatting sqref="P51">
    <cfRule type="expression" dxfId="48" priority="438">
      <formula>P51&lt;0</formula>
    </cfRule>
  </conditionalFormatting>
  <conditionalFormatting sqref="P8:Q8">
    <cfRule type="expression" dxfId="47" priority="488">
      <formula>P8&lt;0</formula>
    </cfRule>
  </conditionalFormatting>
  <conditionalFormatting sqref="P14:Q26">
    <cfRule type="expression" dxfId="46" priority="468">
      <formula>P14&lt;0</formula>
    </cfRule>
  </conditionalFormatting>
  <conditionalFormatting sqref="P34:T46">
    <cfRule type="expression" dxfId="45" priority="350">
      <formula>P34&lt;0</formula>
    </cfRule>
  </conditionalFormatting>
  <conditionalFormatting sqref="R7:R27">
    <cfRule type="expression" dxfId="44" priority="7">
      <formula>R7&lt;0</formula>
    </cfRule>
    <cfRule type="expression" dxfId="43" priority="8">
      <formula>R7=0</formula>
    </cfRule>
  </conditionalFormatting>
  <conditionalFormatting sqref="R30:R47">
    <cfRule type="expression" dxfId="42" priority="19">
      <formula>R30=0</formula>
    </cfRule>
  </conditionalFormatting>
  <conditionalFormatting sqref="R47">
    <cfRule type="expression" dxfId="41" priority="20">
      <formula>R47&lt;0</formula>
    </cfRule>
  </conditionalFormatting>
  <conditionalFormatting sqref="R49">
    <cfRule type="expression" dxfId="40" priority="5">
      <formula>R49=0</formula>
    </cfRule>
    <cfRule type="expression" dxfId="39" priority="6">
      <formula>R49&lt;0</formula>
    </cfRule>
  </conditionalFormatting>
  <conditionalFormatting sqref="R53">
    <cfRule type="expression" dxfId="38" priority="289">
      <formula>R53&lt;0</formula>
    </cfRule>
    <cfRule type="expression" dxfId="37" priority="288">
      <formula>R53=0</formula>
    </cfRule>
  </conditionalFormatting>
  <conditionalFormatting sqref="S8:T8">
    <cfRule type="expression" dxfId="36" priority="461">
      <formula>S8&lt;0</formula>
    </cfRule>
  </conditionalFormatting>
  <conditionalFormatting sqref="S14:T26">
    <cfRule type="expression" dxfId="35" priority="457">
      <formula>S14&lt;0</formula>
    </cfRule>
  </conditionalFormatting>
  <conditionalFormatting sqref="W7">
    <cfRule type="expression" dxfId="34" priority="484">
      <formula>W7&lt;0</formula>
    </cfRule>
  </conditionalFormatting>
  <conditionalFormatting sqref="W8">
    <cfRule type="expression" dxfId="33" priority="335">
      <formula>W8&lt;0</formula>
    </cfRule>
    <cfRule type="expression" dxfId="32" priority="334">
      <formula>W8=0</formula>
    </cfRule>
  </conditionalFormatting>
  <conditionalFormatting sqref="W44:W47">
    <cfRule type="expression" dxfId="31" priority="65">
      <formula>W44=0</formula>
    </cfRule>
  </conditionalFormatting>
  <conditionalFormatting sqref="W44:Y47">
    <cfRule type="expression" dxfId="30" priority="62">
      <formula>W44&lt;0</formula>
    </cfRule>
  </conditionalFormatting>
  <conditionalFormatting sqref="W14:AB26">
    <cfRule type="expression" dxfId="29" priority="11">
      <formula>W14=0</formula>
    </cfRule>
    <cfRule type="expression" dxfId="28" priority="12">
      <formula>W14&lt;0</formula>
    </cfRule>
  </conditionalFormatting>
  <conditionalFormatting sqref="W10:AK12">
    <cfRule type="expression" dxfId="27" priority="56">
      <formula>W10&lt;0</formula>
    </cfRule>
    <cfRule type="expression" dxfId="26" priority="55">
      <formula>W10=0</formula>
    </cfRule>
  </conditionalFormatting>
  <conditionalFormatting sqref="W30:AK42">
    <cfRule type="expression" dxfId="25" priority="17">
      <formula>W30=0</formula>
    </cfRule>
    <cfRule type="expression" dxfId="24" priority="18">
      <formula>W30&lt;0</formula>
    </cfRule>
  </conditionalFormatting>
  <conditionalFormatting sqref="X43">
    <cfRule type="expression" dxfId="23" priority="452">
      <formula>X43&lt;0</formula>
    </cfRule>
  </conditionalFormatting>
  <conditionalFormatting sqref="X43:X47">
    <cfRule type="expression" dxfId="22" priority="63">
      <formula>X43=0</formula>
    </cfRule>
  </conditionalFormatting>
  <conditionalFormatting sqref="Y44:Z47">
    <cfRule type="expression" dxfId="21" priority="29">
      <formula>Y44=0</formula>
    </cfRule>
  </conditionalFormatting>
  <conditionalFormatting sqref="Z7:Z8">
    <cfRule type="expression" dxfId="20" priority="24">
      <formula>Z7&lt;0</formula>
    </cfRule>
    <cfRule type="expression" dxfId="19" priority="23">
      <formula>Z7=0</formula>
    </cfRule>
  </conditionalFormatting>
  <conditionalFormatting sqref="Z47:AA47">
    <cfRule type="expression" dxfId="18" priority="261">
      <formula>Z47&lt;0</formula>
    </cfRule>
  </conditionalFormatting>
  <conditionalFormatting sqref="Z44:AK46">
    <cfRule type="expression" dxfId="17" priority="26">
      <formula>Z44&lt;0</formula>
    </cfRule>
  </conditionalFormatting>
  <conditionalFormatting sqref="AA43">
    <cfRule type="expression" dxfId="16" priority="251">
      <formula>AA43&lt;0</formula>
    </cfRule>
  </conditionalFormatting>
  <conditionalFormatting sqref="AA43:AA47">
    <cfRule type="expression" dxfId="15" priority="27">
      <formula>AA43=0</formula>
    </cfRule>
  </conditionalFormatting>
  <conditionalFormatting sqref="AB44:AK46">
    <cfRule type="expression" dxfId="14" priority="25">
      <formula>AB44=0</formula>
    </cfRule>
  </conditionalFormatting>
  <conditionalFormatting sqref="AC7:AK8">
    <cfRule type="expression" dxfId="13" priority="224">
      <formula>AC7=0</formula>
    </cfRule>
    <cfRule type="expression" dxfId="12" priority="225">
      <formula>AC7&lt;0</formula>
    </cfRule>
  </conditionalFormatting>
  <conditionalFormatting sqref="AC14:AK24">
    <cfRule type="expression" dxfId="11" priority="209">
      <formula>AC14&lt;0</formula>
    </cfRule>
    <cfRule type="expression" dxfId="10" priority="208">
      <formula>AC14=0</formula>
    </cfRule>
  </conditionalFormatting>
  <conditionalFormatting sqref="AD25:AK26">
    <cfRule type="expression" dxfId="9" priority="2">
      <formula>AD25&lt;0</formula>
    </cfRule>
    <cfRule type="expression" dxfId="8" priority="1">
      <formula>AD25=0</formula>
    </cfRule>
  </conditionalFormatting>
  <conditionalFormatting sqref="AN8:AX8">
    <cfRule type="expression" dxfId="7" priority="359">
      <formula>AN8&lt;0</formula>
    </cfRule>
  </conditionalFormatting>
  <conditionalFormatting sqref="AN14:AX26">
    <cfRule type="expression" dxfId="6" priority="355">
      <formula>AN14&lt;0</formula>
    </cfRule>
  </conditionalFormatting>
  <conditionalFormatting sqref="AN31:AX46">
    <cfRule type="expression" dxfId="5" priority="354">
      <formula>AN31&lt;0</formula>
    </cfRule>
  </conditionalFormatting>
  <pageMargins left="0.7" right="0.7" top="0.75" bottom="0.75" header="0.3" footer="0.3"/>
  <pageSetup scale="61" orientation="landscape" r:id="rId1"/>
  <ignoredErrors>
    <ignoredError sqref="I13:L13 P13:T17 I9:T9 AN9:AX9 AC27:AK29 AE31:AK32 AC43:AK43 AE35:AK38 AN33 AE33:AK33 AE39:AK42 AN43:AX43 AN38 AN32 AN30 AP30:AX30 AN31 AP31:AX31 AP32:AX32 AP33:AX33 AN35 AP35:AX35 AN36 AP36:AX36 AN37 AP37:AX37 AP38:AX38 AN39 AP39:AX39 AN40 AP40:AX40 AN41 AP41:AX41 AN42 AP42:AX42 AN12:AX17 AN11 AP11:AX11 AN19:AX26 AN28:AX29 Q11:T11 Q12:T12 AN10 AP10:AX10 AD19:AK26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0BD2E6-F6FB-4F3A-88D3-2634FDE3EC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22D6-9D24-4B2C-BD99-CC41BF772F73}">
  <sheetPr codeName="Sheet5">
    <pageSetUpPr fitToPage="1"/>
  </sheetPr>
  <dimension ref="B2:O26"/>
  <sheetViews>
    <sheetView zoomScale="90" zoomScaleNormal="90" workbookViewId="0"/>
  </sheetViews>
  <sheetFormatPr defaultColWidth="9.109375" defaultRowHeight="15" customHeight="1" outlineLevelCol="1" x14ac:dyDescent="0.4"/>
  <cols>
    <col min="1" max="1" width="2" style="1" customWidth="1"/>
    <col min="2" max="2" width="10.5546875" style="1" hidden="1" customWidth="1" outlineLevel="1"/>
    <col min="3" max="3" width="11" style="1" hidden="1" customWidth="1" outlineLevel="1"/>
    <col min="4" max="4" width="2.44140625" style="1" customWidth="1" collapsed="1"/>
    <col min="5" max="5" width="14.21875" style="1" customWidth="1"/>
    <col min="6" max="6" width="12.77734375" style="1" customWidth="1"/>
    <col min="7" max="7" width="12.88671875" style="1" bestFit="1" customWidth="1"/>
    <col min="8" max="8" width="15.6640625" style="1" bestFit="1" customWidth="1"/>
    <col min="9" max="9" width="12.33203125" style="1" bestFit="1" customWidth="1"/>
    <col min="10" max="10" width="12.109375" style="1" bestFit="1" customWidth="1"/>
    <col min="11" max="11" width="12.33203125" style="1" bestFit="1" customWidth="1"/>
    <col min="12" max="12" width="12.109375" style="1" bestFit="1" customWidth="1"/>
    <col min="13" max="13" width="11.21875" style="1" bestFit="1" customWidth="1"/>
    <col min="14" max="14" width="1.77734375" style="1" customWidth="1"/>
    <col min="15" max="15" width="2" style="1" customWidth="1"/>
    <col min="16" max="23" width="12.77734375" style="1" customWidth="1"/>
    <col min="24" max="26" width="9.109375" style="1"/>
    <col min="27" max="27" width="10.33203125" style="1" bestFit="1" customWidth="1"/>
    <col min="28" max="28" width="9.109375" style="1"/>
    <col min="29" max="29" width="11.44140625" style="1" bestFit="1" customWidth="1"/>
    <col min="30" max="16384" width="9.109375" style="1"/>
  </cols>
  <sheetData>
    <row r="2" spans="2:15" ht="19.5" customHeight="1" x14ac:dyDescent="0.4">
      <c r="B2" s="2"/>
      <c r="C2" s="2"/>
      <c r="E2" s="1" t="s">
        <v>97</v>
      </c>
      <c r="H2" s="212">
        <f>Summary!C10</f>
        <v>0</v>
      </c>
      <c r="J2" s="1" t="s">
        <v>186</v>
      </c>
      <c r="K2" s="245" t="s">
        <v>187</v>
      </c>
    </row>
    <row r="3" spans="2:15" ht="15" customHeight="1" x14ac:dyDescent="0.4">
      <c r="B3" s="2"/>
      <c r="C3" s="2"/>
      <c r="E3" s="1" t="s">
        <v>133</v>
      </c>
      <c r="H3" s="114">
        <v>0</v>
      </c>
      <c r="K3" s="245" t="s">
        <v>187</v>
      </c>
    </row>
    <row r="4" spans="2:15" ht="15" customHeight="1" x14ac:dyDescent="0.4">
      <c r="B4" s="2"/>
      <c r="C4" s="2"/>
      <c r="E4" s="1" t="s">
        <v>134</v>
      </c>
      <c r="H4" s="107">
        <v>0</v>
      </c>
      <c r="K4" s="245" t="s">
        <v>187</v>
      </c>
    </row>
    <row r="5" spans="2:15" ht="15" customHeight="1" x14ac:dyDescent="0.4">
      <c r="B5" s="2"/>
      <c r="C5" s="2"/>
      <c r="E5" s="1" t="s">
        <v>135</v>
      </c>
      <c r="H5" s="114">
        <v>0</v>
      </c>
    </row>
    <row r="6" spans="2:15" ht="15" customHeight="1" x14ac:dyDescent="0.4">
      <c r="B6" s="2"/>
      <c r="C6" s="2"/>
    </row>
    <row r="7" spans="2:15" ht="15" customHeight="1" x14ac:dyDescent="0.4">
      <c r="B7" s="2"/>
      <c r="C7" s="2"/>
      <c r="E7" s="1" t="s">
        <v>188</v>
      </c>
    </row>
    <row r="8" spans="2:15" ht="45.75" customHeight="1" thickBot="1" x14ac:dyDescent="0.45">
      <c r="B8" s="2"/>
      <c r="C8" s="2"/>
      <c r="E8" s="262" t="s">
        <v>104</v>
      </c>
      <c r="F8" s="262" t="s">
        <v>105</v>
      </c>
      <c r="G8" s="262" t="s">
        <v>130</v>
      </c>
      <c r="H8" s="262" t="s">
        <v>103</v>
      </c>
      <c r="I8" s="262" t="s">
        <v>106</v>
      </c>
      <c r="J8" s="262" t="s">
        <v>131</v>
      </c>
      <c r="K8" s="262" t="s">
        <v>102</v>
      </c>
      <c r="L8" s="262" t="s">
        <v>132</v>
      </c>
    </row>
    <row r="9" spans="2:15" ht="15" customHeight="1" thickTop="1" x14ac:dyDescent="0.4">
      <c r="B9" s="2"/>
      <c r="C9" s="2" t="str">
        <f>IF(E9&lt;&gt;"",E9&amp;"/"&amp;F9,"")</f>
        <v>2021/2022</v>
      </c>
      <c r="E9" s="87">
        <v>2021</v>
      </c>
      <c r="F9" s="87">
        <v>2022</v>
      </c>
      <c r="G9" s="90">
        <v>0</v>
      </c>
      <c r="H9" s="90">
        <v>0</v>
      </c>
      <c r="I9" s="246" t="e">
        <f t="shared" ref="I9:I11" si="0">IF(G9&lt;&gt;"",IF(AND(G9&lt;&gt;"",H9&lt;&gt;""),H9/G9,I8),"")</f>
        <v>#DIV/0!</v>
      </c>
      <c r="J9" s="247">
        <v>0</v>
      </c>
      <c r="K9" s="90">
        <v>0</v>
      </c>
      <c r="L9" s="92">
        <f t="shared" ref="L9:L11" si="1">IF(G9&lt;&gt;"",IF(H9&lt;&gt;"",H9*(1-J9)+K9,I9*G9*(1-J9)+K9),"")</f>
        <v>0</v>
      </c>
    </row>
    <row r="10" spans="2:15" ht="15" customHeight="1" x14ac:dyDescent="0.4">
      <c r="B10" s="2"/>
      <c r="C10" s="2" t="str">
        <f>IF(E10&lt;&gt;"",E10&amp;"/"&amp;F10,"")</f>
        <v>2022/2023</v>
      </c>
      <c r="E10" s="87">
        <f>E9+1</f>
        <v>2022</v>
      </c>
      <c r="F10" s="87">
        <v>2023</v>
      </c>
      <c r="G10" s="90">
        <v>0</v>
      </c>
      <c r="H10" s="90">
        <v>0</v>
      </c>
      <c r="I10" s="246" t="e">
        <f t="shared" si="0"/>
        <v>#DIV/0!</v>
      </c>
      <c r="J10" s="247">
        <v>0</v>
      </c>
      <c r="K10" s="90">
        <v>0</v>
      </c>
      <c r="L10" s="92">
        <f t="shared" si="1"/>
        <v>0</v>
      </c>
    </row>
    <row r="11" spans="2:15" ht="15" customHeight="1" x14ac:dyDescent="0.4">
      <c r="B11" s="2"/>
      <c r="C11" s="2" t="str">
        <f>IF(E11&lt;&gt;"",E11&amp;"/"&amp;F11,"")</f>
        <v>2023/2024</v>
      </c>
      <c r="E11" s="87">
        <v>2023</v>
      </c>
      <c r="F11" s="87">
        <v>2024</v>
      </c>
      <c r="G11" s="90">
        <v>0</v>
      </c>
      <c r="H11" s="21"/>
      <c r="I11" s="246" t="e">
        <f t="shared" si="0"/>
        <v>#DIV/0!</v>
      </c>
      <c r="J11" s="247">
        <v>0</v>
      </c>
      <c r="K11" s="90">
        <v>0</v>
      </c>
      <c r="L11" s="92" t="e">
        <f t="shared" si="1"/>
        <v>#DIV/0!</v>
      </c>
    </row>
    <row r="12" spans="2:15" ht="15" customHeight="1" x14ac:dyDescent="0.4">
      <c r="B12" s="2"/>
      <c r="C12" s="2" t="str">
        <f>IF(E12&lt;&gt;"",E12&amp;"/"&amp;F12,"")</f>
        <v/>
      </c>
      <c r="E12" s="87"/>
      <c r="F12" s="87"/>
      <c r="G12" s="21"/>
      <c r="H12" s="21"/>
      <c r="I12" s="246" t="str">
        <f>IF(G12&lt;&gt;"",IF(AND(G12&lt;&gt;"",H12&lt;&gt;""),H12/G12,I11),"")</f>
        <v/>
      </c>
      <c r="J12" s="21"/>
      <c r="K12" s="21"/>
      <c r="L12" s="92" t="str">
        <f>IF(G12&lt;&gt;"",IF(H12&lt;&gt;"",H12*(1-J12)+K12,I12*G12*(1-J12)+K12),"")</f>
        <v/>
      </c>
    </row>
    <row r="13" spans="2:15" ht="15" customHeight="1" x14ac:dyDescent="0.4">
      <c r="B13" s="2"/>
      <c r="C13" s="2"/>
      <c r="E13" s="248"/>
      <c r="F13" s="248"/>
      <c r="G13" s="248"/>
      <c r="H13" s="248"/>
      <c r="I13" s="248"/>
      <c r="J13" s="248"/>
    </row>
    <row r="14" spans="2:15" ht="36" customHeight="1" thickBot="1" x14ac:dyDescent="0.45">
      <c r="B14" s="2"/>
      <c r="C14" s="2"/>
      <c r="E14" s="262" t="s">
        <v>136</v>
      </c>
      <c r="F14" s="262" t="s">
        <v>138</v>
      </c>
      <c r="G14" s="262" t="s">
        <v>108</v>
      </c>
      <c r="H14" s="262" t="s">
        <v>137</v>
      </c>
      <c r="I14" s="262" t="s">
        <v>106</v>
      </c>
      <c r="J14" s="262" t="s">
        <v>103</v>
      </c>
      <c r="K14" s="262" t="s">
        <v>131</v>
      </c>
      <c r="L14" s="262" t="s">
        <v>102</v>
      </c>
      <c r="M14" s="262" t="s">
        <v>132</v>
      </c>
      <c r="N14" s="263"/>
      <c r="O14" s="263"/>
    </row>
    <row r="15" spans="2:15" ht="15" customHeight="1" thickTop="1" x14ac:dyDescent="0.4">
      <c r="B15" s="2" t="str">
        <f>LEFT(F15,4)</f>
        <v>2022</v>
      </c>
      <c r="C15" s="2" t="str">
        <f>RIGHT(F15,4)</f>
        <v>2023</v>
      </c>
      <c r="E15" s="2">
        <v>1</v>
      </c>
      <c r="F15" s="107" t="s">
        <v>209</v>
      </c>
      <c r="G15" s="212">
        <f>VLOOKUP(F15,$C$9:$G$11,5,FALSE)</f>
        <v>0</v>
      </c>
      <c r="H15" s="112" t="e">
        <f>G15/G9-1</f>
        <v>#DIV/0!</v>
      </c>
      <c r="I15" s="162" t="str">
        <f t="shared" ref="I15:I16" si="2">IFERROR(VLOOKUP(F15,$C$9:$I$11,7,FALSE),I14)</f>
        <v>Tax Rate</v>
      </c>
      <c r="J15" s="4" t="e">
        <f>G15*I15</f>
        <v>#VALUE!</v>
      </c>
      <c r="K15" s="114">
        <f t="shared" ref="K15:K25" si="3">$J$9</f>
        <v>0</v>
      </c>
      <c r="L15" s="205">
        <f>$K$9</f>
        <v>0</v>
      </c>
      <c r="M15" s="4" t="e">
        <f>J15*(1-K15)+L15</f>
        <v>#VALUE!</v>
      </c>
    </row>
    <row r="16" spans="2:15" ht="15" customHeight="1" x14ac:dyDescent="0.4">
      <c r="B16" s="2">
        <f>B15+1</f>
        <v>2023</v>
      </c>
      <c r="C16" s="2">
        <f>C15+1</f>
        <v>2024</v>
      </c>
      <c r="E16" s="2">
        <v>2</v>
      </c>
      <c r="F16" s="2" t="str">
        <f>B16&amp;"/"&amp;C16</f>
        <v>2023/2024</v>
      </c>
      <c r="G16" s="212">
        <f>IFERROR(VLOOKUP(F16,$C$9:$G$11,5,FALSE),IF(E16=$H$4,$H$3*$H$2,G15*(1+$H$5)))</f>
        <v>0</v>
      </c>
      <c r="H16" s="112" t="e">
        <f t="shared" ref="H16:H25" si="4">G16/G15-1</f>
        <v>#DIV/0!</v>
      </c>
      <c r="I16" s="162" t="str">
        <f t="shared" si="2"/>
        <v>Tax Rate</v>
      </c>
      <c r="J16" s="4" t="e">
        <f t="shared" ref="J16:J25" si="5">G16*I16</f>
        <v>#VALUE!</v>
      </c>
      <c r="K16" s="114">
        <f t="shared" si="3"/>
        <v>0</v>
      </c>
      <c r="L16" s="205">
        <f t="shared" ref="L16:L25" si="6">$K$9</f>
        <v>0</v>
      </c>
      <c r="M16" s="4" t="e">
        <f t="shared" ref="M16:M25" si="7">J16*(1-K16)+L16</f>
        <v>#VALUE!</v>
      </c>
    </row>
    <row r="17" spans="2:13" ht="15" customHeight="1" x14ac:dyDescent="0.4">
      <c r="B17" s="2">
        <f t="shared" ref="B17:C25" si="8">B16+1</f>
        <v>2024</v>
      </c>
      <c r="C17" s="2">
        <f t="shared" si="8"/>
        <v>2025</v>
      </c>
      <c r="E17" s="2">
        <v>3</v>
      </c>
      <c r="F17" s="2" t="str">
        <f t="shared" ref="F17:F25" si="9">B17&amp;"/"&amp;C17</f>
        <v>2024/2025</v>
      </c>
      <c r="G17" s="212">
        <f>IFERROR(VLOOKUP(F17,$C$9:$G$11,5,FALSE),IF(E17=$H$4,$H$3*$H$2,G16*(1+$H$5)))</f>
        <v>0</v>
      </c>
      <c r="H17" s="112" t="e">
        <f t="shared" si="4"/>
        <v>#DIV/0!</v>
      </c>
      <c r="I17" s="162" t="str">
        <f>IFERROR(VLOOKUP(F17,$C$9:$I$11,7,FALSE),I16)</f>
        <v>Tax Rate</v>
      </c>
      <c r="J17" s="4" t="e">
        <f t="shared" si="5"/>
        <v>#VALUE!</v>
      </c>
      <c r="K17" s="114">
        <f t="shared" si="3"/>
        <v>0</v>
      </c>
      <c r="L17" s="205">
        <f t="shared" si="6"/>
        <v>0</v>
      </c>
      <c r="M17" s="4" t="e">
        <f t="shared" si="7"/>
        <v>#VALUE!</v>
      </c>
    </row>
    <row r="18" spans="2:13" ht="15" customHeight="1" x14ac:dyDescent="0.4">
      <c r="B18" s="2">
        <f t="shared" si="8"/>
        <v>2025</v>
      </c>
      <c r="C18" s="2">
        <f t="shared" si="8"/>
        <v>2026</v>
      </c>
      <c r="E18" s="2">
        <v>4</v>
      </c>
      <c r="F18" s="2" t="str">
        <f t="shared" si="9"/>
        <v>2025/2026</v>
      </c>
      <c r="G18" s="212">
        <f t="shared" ref="G18:G25" si="10">IFERROR(VLOOKUP(F18,$C$9:$G$11,5,FALSE),IF(E18=$H$4,$H$3*$H$2,G17*(1+$H$5)))</f>
        <v>0</v>
      </c>
      <c r="H18" s="112" t="e">
        <f t="shared" si="4"/>
        <v>#DIV/0!</v>
      </c>
      <c r="I18" s="162" t="str">
        <f t="shared" ref="I18:I25" si="11">IFERROR(VLOOKUP(F18,$C$9:$I$11,7,FALSE),I17)</f>
        <v>Tax Rate</v>
      </c>
      <c r="J18" s="4" t="e">
        <f t="shared" si="5"/>
        <v>#VALUE!</v>
      </c>
      <c r="K18" s="114">
        <f t="shared" si="3"/>
        <v>0</v>
      </c>
      <c r="L18" s="205">
        <f t="shared" si="6"/>
        <v>0</v>
      </c>
      <c r="M18" s="4" t="e">
        <f t="shared" si="7"/>
        <v>#VALUE!</v>
      </c>
    </row>
    <row r="19" spans="2:13" ht="15" customHeight="1" x14ac:dyDescent="0.4">
      <c r="B19" s="2">
        <f t="shared" si="8"/>
        <v>2026</v>
      </c>
      <c r="C19" s="2">
        <f t="shared" si="8"/>
        <v>2027</v>
      </c>
      <c r="E19" s="2">
        <v>5</v>
      </c>
      <c r="F19" s="2" t="str">
        <f t="shared" si="9"/>
        <v>2026/2027</v>
      </c>
      <c r="G19" s="212">
        <f t="shared" si="10"/>
        <v>0</v>
      </c>
      <c r="H19" s="112" t="e">
        <f t="shared" si="4"/>
        <v>#DIV/0!</v>
      </c>
      <c r="I19" s="162" t="str">
        <f t="shared" si="11"/>
        <v>Tax Rate</v>
      </c>
      <c r="J19" s="4" t="e">
        <f t="shared" si="5"/>
        <v>#VALUE!</v>
      </c>
      <c r="K19" s="114">
        <f t="shared" si="3"/>
        <v>0</v>
      </c>
      <c r="L19" s="205">
        <f t="shared" si="6"/>
        <v>0</v>
      </c>
      <c r="M19" s="4" t="e">
        <f t="shared" si="7"/>
        <v>#VALUE!</v>
      </c>
    </row>
    <row r="20" spans="2:13" ht="15" customHeight="1" x14ac:dyDescent="0.4">
      <c r="B20" s="2">
        <f t="shared" si="8"/>
        <v>2027</v>
      </c>
      <c r="C20" s="2">
        <f t="shared" si="8"/>
        <v>2028</v>
      </c>
      <c r="E20" s="2">
        <v>6</v>
      </c>
      <c r="F20" s="2" t="str">
        <f t="shared" si="9"/>
        <v>2027/2028</v>
      </c>
      <c r="G20" s="212">
        <f t="shared" si="10"/>
        <v>0</v>
      </c>
      <c r="H20" s="112" t="e">
        <f t="shared" si="4"/>
        <v>#DIV/0!</v>
      </c>
      <c r="I20" s="162" t="str">
        <f t="shared" si="11"/>
        <v>Tax Rate</v>
      </c>
      <c r="J20" s="4" t="e">
        <f t="shared" si="5"/>
        <v>#VALUE!</v>
      </c>
      <c r="K20" s="114">
        <f t="shared" si="3"/>
        <v>0</v>
      </c>
      <c r="L20" s="205">
        <f t="shared" si="6"/>
        <v>0</v>
      </c>
      <c r="M20" s="4" t="e">
        <f t="shared" si="7"/>
        <v>#VALUE!</v>
      </c>
    </row>
    <row r="21" spans="2:13" ht="15" customHeight="1" x14ac:dyDescent="0.4">
      <c r="B21" s="2">
        <f t="shared" si="8"/>
        <v>2028</v>
      </c>
      <c r="C21" s="2">
        <f t="shared" si="8"/>
        <v>2029</v>
      </c>
      <c r="E21" s="2">
        <v>7</v>
      </c>
      <c r="F21" s="2" t="str">
        <f t="shared" si="9"/>
        <v>2028/2029</v>
      </c>
      <c r="G21" s="212">
        <f t="shared" si="10"/>
        <v>0</v>
      </c>
      <c r="H21" s="112" t="e">
        <f t="shared" si="4"/>
        <v>#DIV/0!</v>
      </c>
      <c r="I21" s="162" t="str">
        <f t="shared" si="11"/>
        <v>Tax Rate</v>
      </c>
      <c r="J21" s="4" t="e">
        <f t="shared" si="5"/>
        <v>#VALUE!</v>
      </c>
      <c r="K21" s="114">
        <f t="shared" si="3"/>
        <v>0</v>
      </c>
      <c r="L21" s="205">
        <f t="shared" si="6"/>
        <v>0</v>
      </c>
      <c r="M21" s="4" t="e">
        <f t="shared" si="7"/>
        <v>#VALUE!</v>
      </c>
    </row>
    <row r="22" spans="2:13" ht="15" customHeight="1" x14ac:dyDescent="0.4">
      <c r="B22" s="2">
        <f t="shared" si="8"/>
        <v>2029</v>
      </c>
      <c r="C22" s="2">
        <f t="shared" si="8"/>
        <v>2030</v>
      </c>
      <c r="E22" s="2">
        <v>8</v>
      </c>
      <c r="F22" s="2" t="str">
        <f t="shared" si="9"/>
        <v>2029/2030</v>
      </c>
      <c r="G22" s="212">
        <f t="shared" si="10"/>
        <v>0</v>
      </c>
      <c r="H22" s="112" t="e">
        <f t="shared" si="4"/>
        <v>#DIV/0!</v>
      </c>
      <c r="I22" s="162" t="str">
        <f t="shared" si="11"/>
        <v>Tax Rate</v>
      </c>
      <c r="J22" s="4" t="e">
        <f t="shared" si="5"/>
        <v>#VALUE!</v>
      </c>
      <c r="K22" s="114">
        <f t="shared" si="3"/>
        <v>0</v>
      </c>
      <c r="L22" s="205">
        <f t="shared" si="6"/>
        <v>0</v>
      </c>
      <c r="M22" s="4" t="e">
        <f t="shared" si="7"/>
        <v>#VALUE!</v>
      </c>
    </row>
    <row r="23" spans="2:13" ht="15" customHeight="1" x14ac:dyDescent="0.4">
      <c r="B23" s="2">
        <f t="shared" si="8"/>
        <v>2030</v>
      </c>
      <c r="C23" s="2">
        <f t="shared" si="8"/>
        <v>2031</v>
      </c>
      <c r="E23" s="2">
        <v>9</v>
      </c>
      <c r="F23" s="2" t="str">
        <f t="shared" si="9"/>
        <v>2030/2031</v>
      </c>
      <c r="G23" s="212">
        <f t="shared" si="10"/>
        <v>0</v>
      </c>
      <c r="H23" s="112" t="e">
        <f t="shared" si="4"/>
        <v>#DIV/0!</v>
      </c>
      <c r="I23" s="162" t="str">
        <f t="shared" si="11"/>
        <v>Tax Rate</v>
      </c>
      <c r="J23" s="4" t="e">
        <f t="shared" si="5"/>
        <v>#VALUE!</v>
      </c>
      <c r="K23" s="114">
        <f t="shared" si="3"/>
        <v>0</v>
      </c>
      <c r="L23" s="205">
        <f t="shared" si="6"/>
        <v>0</v>
      </c>
      <c r="M23" s="4" t="e">
        <f t="shared" si="7"/>
        <v>#VALUE!</v>
      </c>
    </row>
    <row r="24" spans="2:13" ht="15" customHeight="1" x14ac:dyDescent="0.4">
      <c r="B24" s="2">
        <f t="shared" si="8"/>
        <v>2031</v>
      </c>
      <c r="C24" s="2">
        <f t="shared" si="8"/>
        <v>2032</v>
      </c>
      <c r="E24" s="2">
        <v>10</v>
      </c>
      <c r="F24" s="2" t="str">
        <f t="shared" si="9"/>
        <v>2031/2032</v>
      </c>
      <c r="G24" s="212">
        <f t="shared" si="10"/>
        <v>0</v>
      </c>
      <c r="H24" s="112" t="e">
        <f t="shared" si="4"/>
        <v>#DIV/0!</v>
      </c>
      <c r="I24" s="162" t="str">
        <f t="shared" si="11"/>
        <v>Tax Rate</v>
      </c>
      <c r="J24" s="4" t="e">
        <f t="shared" si="5"/>
        <v>#VALUE!</v>
      </c>
      <c r="K24" s="114">
        <f t="shared" si="3"/>
        <v>0</v>
      </c>
      <c r="L24" s="205">
        <f t="shared" si="6"/>
        <v>0</v>
      </c>
      <c r="M24" s="4" t="e">
        <f t="shared" si="7"/>
        <v>#VALUE!</v>
      </c>
    </row>
    <row r="25" spans="2:13" ht="15" customHeight="1" x14ac:dyDescent="0.4">
      <c r="B25" s="2">
        <f t="shared" si="8"/>
        <v>2032</v>
      </c>
      <c r="C25" s="2">
        <f t="shared" si="8"/>
        <v>2033</v>
      </c>
      <c r="E25" s="2">
        <v>11</v>
      </c>
      <c r="F25" s="2" t="str">
        <f t="shared" si="9"/>
        <v>2032/2033</v>
      </c>
      <c r="G25" s="212">
        <f t="shared" si="10"/>
        <v>0</v>
      </c>
      <c r="H25" s="112" t="e">
        <f t="shared" si="4"/>
        <v>#DIV/0!</v>
      </c>
      <c r="I25" s="162" t="str">
        <f t="shared" si="11"/>
        <v>Tax Rate</v>
      </c>
      <c r="J25" s="4" t="e">
        <f t="shared" si="5"/>
        <v>#VALUE!</v>
      </c>
      <c r="K25" s="114">
        <f t="shared" si="3"/>
        <v>0</v>
      </c>
      <c r="L25" s="205">
        <f t="shared" si="6"/>
        <v>0</v>
      </c>
      <c r="M25" s="4" t="e">
        <f t="shared" si="7"/>
        <v>#VALUE!</v>
      </c>
    </row>
    <row r="26" spans="2:13" ht="15" customHeight="1" x14ac:dyDescent="0.4">
      <c r="J26" s="113"/>
    </row>
  </sheetData>
  <phoneticPr fontId="18" type="noConversion"/>
  <conditionalFormatting sqref="H15:H25">
    <cfRule type="colorScale" priority="1">
      <colorScale>
        <cfvo type="min"/>
        <cfvo type="max"/>
        <color rgb="FFFCFCFF"/>
        <color rgb="FFF8696B"/>
      </colorScale>
    </cfRule>
  </conditionalFormatting>
  <dataValidations count="1">
    <dataValidation type="list" allowBlank="1" showInputMessage="1" showErrorMessage="1" sqref="F15" xr:uid="{96C1F016-AEAB-40C2-B822-8BFEB2EF8889}">
      <formula1>$C$9:$C$12</formula1>
    </dataValidation>
  </dataValidations>
  <pageMargins left="0.7" right="0.7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A5AA-47D6-4E2B-8098-02F7D98E2DFC}">
  <sheetPr codeName="Sheet4">
    <pageSetUpPr fitToPage="1"/>
  </sheetPr>
  <dimension ref="B1:T75"/>
  <sheetViews>
    <sheetView zoomScale="80" zoomScaleNormal="80" workbookViewId="0"/>
  </sheetViews>
  <sheetFormatPr defaultColWidth="9.109375" defaultRowHeight="15.9" customHeight="1" outlineLevelRow="1" x14ac:dyDescent="0.35"/>
  <cols>
    <col min="1" max="1" width="2" style="37" customWidth="1"/>
    <col min="2" max="2" width="26.21875" style="37" customWidth="1"/>
    <col min="3" max="3" width="15.88671875" style="78" bestFit="1" customWidth="1"/>
    <col min="4" max="4" width="1.44140625" style="37" customWidth="1"/>
    <col min="5" max="5" width="36" style="37" customWidth="1"/>
    <col min="6" max="6" width="14.6640625" style="37" customWidth="1"/>
    <col min="7" max="17" width="14.6640625" style="154" customWidth="1"/>
    <col min="18" max="18" width="2.109375" style="37" customWidth="1"/>
    <col min="19" max="19" width="14.88671875" style="37" bestFit="1" customWidth="1"/>
    <col min="20" max="20" width="12.5546875" style="37" bestFit="1" customWidth="1"/>
    <col min="21" max="16384" width="9.109375" style="37"/>
  </cols>
  <sheetData>
    <row r="1" spans="2:19" s="77" customFormat="1" ht="15.9" customHeight="1" x14ac:dyDescent="0.35">
      <c r="C1" s="147"/>
      <c r="G1" s="153">
        <v>1</v>
      </c>
      <c r="H1" s="153">
        <v>2</v>
      </c>
      <c r="I1" s="153">
        <v>3</v>
      </c>
      <c r="J1" s="153">
        <v>4</v>
      </c>
      <c r="K1" s="153">
        <v>5</v>
      </c>
      <c r="L1" s="153">
        <v>6</v>
      </c>
      <c r="M1" s="153">
        <v>7</v>
      </c>
      <c r="N1" s="153">
        <v>8</v>
      </c>
      <c r="O1" s="153">
        <v>9</v>
      </c>
      <c r="P1" s="153">
        <v>10</v>
      </c>
      <c r="Q1" s="153"/>
    </row>
    <row r="2" spans="2:19" ht="15.9" customHeight="1" x14ac:dyDescent="0.35">
      <c r="B2" s="37" t="s">
        <v>97</v>
      </c>
      <c r="C2" s="252">
        <f>Summary!C10</f>
        <v>0</v>
      </c>
      <c r="S2" s="251"/>
    </row>
    <row r="3" spans="2:19" ht="15.9" customHeight="1" x14ac:dyDescent="0.4">
      <c r="B3" s="77"/>
      <c r="C3" s="149"/>
      <c r="D3" s="78"/>
      <c r="E3" s="165" t="s">
        <v>109</v>
      </c>
      <c r="F3" s="166">
        <f>C2</f>
        <v>0</v>
      </c>
      <c r="G3" s="1"/>
      <c r="H3" s="167" t="s">
        <v>110</v>
      </c>
      <c r="I3" s="167"/>
      <c r="J3" s="167"/>
      <c r="K3" s="11"/>
      <c r="L3" s="167" t="s">
        <v>69</v>
      </c>
      <c r="M3" s="168" t="s">
        <v>113</v>
      </c>
      <c r="N3" s="11"/>
      <c r="O3" s="167" t="str">
        <f>L3</f>
        <v>Financing</v>
      </c>
      <c r="P3" s="168" t="s">
        <v>168</v>
      </c>
      <c r="Q3" s="11"/>
    </row>
    <row r="4" spans="2:19" ht="15.9" customHeight="1" x14ac:dyDescent="0.4">
      <c r="B4" s="37" t="s">
        <v>69</v>
      </c>
      <c r="C4" s="150"/>
      <c r="D4" s="78"/>
      <c r="E4" s="169" t="s">
        <v>98</v>
      </c>
      <c r="F4" s="73" t="e">
        <f>F3/Financials!$Q$1</f>
        <v>#DIV/0!</v>
      </c>
      <c r="G4" s="1"/>
      <c r="H4" s="7" t="s">
        <v>111</v>
      </c>
      <c r="I4" s="11"/>
      <c r="J4" s="73">
        <f>C10</f>
        <v>0</v>
      </c>
      <c r="K4" s="11"/>
      <c r="L4" s="7" t="str">
        <f>Debt!C3</f>
        <v>Debt Name:</v>
      </c>
      <c r="M4" s="11" t="str">
        <f>Debt!D3</f>
        <v>-</v>
      </c>
      <c r="N4" s="11"/>
      <c r="O4" s="7" t="str">
        <f t="shared" ref="O4:O11" si="0">L4</f>
        <v>Debt Name:</v>
      </c>
      <c r="P4" s="11">
        <f>Debt!X3</f>
        <v>0</v>
      </c>
      <c r="Q4" s="11"/>
    </row>
    <row r="5" spans="2:19" ht="15.9" customHeight="1" x14ac:dyDescent="0.4">
      <c r="B5" s="44" t="s">
        <v>88</v>
      </c>
      <c r="C5" s="150" t="s">
        <v>87</v>
      </c>
      <c r="D5" s="79"/>
      <c r="E5" s="169" t="str">
        <f>IF(Summary!F7="U.S.","Price Per SF:","Price Per SM:")</f>
        <v>Price Per SF:</v>
      </c>
      <c r="F5" s="74" t="e">
        <f>F3/'Unit Mix'!E10</f>
        <v>#DIV/0!</v>
      </c>
      <c r="G5" s="1"/>
      <c r="H5" s="7" t="s">
        <v>112</v>
      </c>
      <c r="I5" s="11"/>
      <c r="J5" s="11">
        <f>C11</f>
        <v>0</v>
      </c>
      <c r="K5" s="11"/>
      <c r="L5" s="7" t="str">
        <f>Debt!C5</f>
        <v>LTV:</v>
      </c>
      <c r="M5" s="170">
        <f>Debt!D5</f>
        <v>0</v>
      </c>
      <c r="N5" s="11"/>
      <c r="O5" s="7" t="str">
        <f t="shared" si="0"/>
        <v>LTV:</v>
      </c>
      <c r="P5" s="170">
        <f>Debt!X5</f>
        <v>0</v>
      </c>
      <c r="Q5" s="11"/>
    </row>
    <row r="6" spans="2:19" ht="15.9" customHeight="1" x14ac:dyDescent="0.4">
      <c r="B6" s="44" t="s">
        <v>89</v>
      </c>
      <c r="C6" s="150" t="s">
        <v>80</v>
      </c>
      <c r="D6" s="79"/>
      <c r="E6" s="1"/>
      <c r="F6" s="11"/>
      <c r="G6" s="1"/>
      <c r="H6" s="7"/>
      <c r="I6" s="11"/>
      <c r="J6" s="11"/>
      <c r="K6" s="11"/>
      <c r="L6" s="7" t="str">
        <f>Debt!C6</f>
        <v>Loan Amount:</v>
      </c>
      <c r="M6" s="73">
        <f>Debt!D6</f>
        <v>0</v>
      </c>
      <c r="N6" s="11"/>
      <c r="O6" s="7" t="str">
        <f t="shared" si="0"/>
        <v>Loan Amount:</v>
      </c>
      <c r="P6" s="73">
        <f>Debt!X6</f>
        <v>0</v>
      </c>
      <c r="Q6" s="11"/>
    </row>
    <row r="7" spans="2:19" ht="15.9" customHeight="1" x14ac:dyDescent="0.4">
      <c r="B7" s="44" t="s">
        <v>91</v>
      </c>
      <c r="C7" s="163" t="e">
        <f>-SUM(F40:F42)/F34</f>
        <v>#DIV/0!</v>
      </c>
      <c r="E7" s="167" t="s">
        <v>99</v>
      </c>
      <c r="F7" s="171"/>
      <c r="G7" s="1"/>
      <c r="H7" s="167" t="s">
        <v>165</v>
      </c>
      <c r="I7" s="167"/>
      <c r="J7" s="167"/>
      <c r="K7" s="11"/>
      <c r="L7" s="7" t="str">
        <f>Debt!C7</f>
        <v>Int. Rate:</v>
      </c>
      <c r="M7" s="172">
        <f>Debt!D7</f>
        <v>0</v>
      </c>
      <c r="N7" s="11"/>
      <c r="O7" s="7" t="str">
        <f t="shared" si="0"/>
        <v>Int. Rate:</v>
      </c>
      <c r="P7" s="172">
        <f>Debt!X7</f>
        <v>0</v>
      </c>
      <c r="Q7" s="11"/>
    </row>
    <row r="8" spans="2:19" ht="15.9" customHeight="1" x14ac:dyDescent="0.4">
      <c r="B8" s="44"/>
      <c r="C8" s="151"/>
      <c r="D8" s="80"/>
      <c r="E8" s="7" t="str">
        <f>Financials!G5&amp;":"</f>
        <v>T12:</v>
      </c>
      <c r="F8" s="173" t="e">
        <f>Financials!G53/-Valuation!F34</f>
        <v>#DIV/0!</v>
      </c>
      <c r="G8" s="1"/>
      <c r="H8" s="7" t="s">
        <v>174</v>
      </c>
      <c r="J8" s="73">
        <f>Summary!$F$11</f>
        <v>0</v>
      </c>
      <c r="K8" s="11"/>
      <c r="L8" s="7" t="str">
        <f>Debt!C8</f>
        <v>Term:</v>
      </c>
      <c r="M8" s="174">
        <f>Debt!D8</f>
        <v>0</v>
      </c>
      <c r="N8" s="11"/>
      <c r="O8" s="7" t="str">
        <f t="shared" si="0"/>
        <v>Term:</v>
      </c>
      <c r="P8" s="174">
        <f>Debt!X8</f>
        <v>0</v>
      </c>
      <c r="Q8" s="11"/>
    </row>
    <row r="9" spans="2:19" ht="15.9" customHeight="1" x14ac:dyDescent="0.4">
      <c r="B9" s="37" t="s">
        <v>119</v>
      </c>
      <c r="C9" s="150"/>
      <c r="D9" s="81"/>
      <c r="E9" s="7" t="str">
        <f>Financials!$I$5&amp;":"</f>
        <v>T3/T12:</v>
      </c>
      <c r="F9" s="173" t="e">
        <f>Financials!I53/-Valuation!F34</f>
        <v>#DIV/0!</v>
      </c>
      <c r="G9" s="1"/>
      <c r="H9" s="7" t="s">
        <v>114</v>
      </c>
      <c r="I9" s="11"/>
      <c r="J9" s="172">
        <f>Summary!F13</f>
        <v>0</v>
      </c>
      <c r="K9" s="11"/>
      <c r="L9" s="7" t="str">
        <f>Debt!C9</f>
        <v>Amortization:</v>
      </c>
      <c r="M9" s="174">
        <f>Debt!D9</f>
        <v>0</v>
      </c>
      <c r="N9" s="11"/>
      <c r="O9" s="7" t="str">
        <f t="shared" si="0"/>
        <v>Amortization:</v>
      </c>
      <c r="P9" s="174">
        <f>Debt!X9</f>
        <v>0</v>
      </c>
      <c r="Q9" s="11"/>
    </row>
    <row r="10" spans="2:19" ht="15.9" customHeight="1" x14ac:dyDescent="0.4">
      <c r="B10" s="44" t="s">
        <v>120</v>
      </c>
      <c r="C10" s="148">
        <v>0</v>
      </c>
      <c r="D10" s="80"/>
      <c r="E10" s="7" t="str">
        <f>Financials!$I$5&amp;" Adjusted: FY1 RE Tax:"</f>
        <v>T3/T12 Adjusted: FY1 RE Tax:</v>
      </c>
      <c r="F10" s="173" t="e">
        <f>(Financials!I53+(Financials!$I$43-Financials!$P$43))/-Valuation!F34</f>
        <v>#VALUE!</v>
      </c>
      <c r="G10" s="1"/>
      <c r="H10" s="7" t="s">
        <v>173</v>
      </c>
      <c r="I10" s="11"/>
      <c r="J10" s="175">
        <f>Summary!F14</f>
        <v>0</v>
      </c>
      <c r="K10" s="11"/>
      <c r="L10" s="7" t="str">
        <f>Debt!C10</f>
        <v>Loan Cost:</v>
      </c>
      <c r="M10" s="176">
        <f>Debt!D10</f>
        <v>0</v>
      </c>
      <c r="N10" s="11"/>
      <c r="O10" s="7" t="str">
        <f t="shared" si="0"/>
        <v>Loan Cost:</v>
      </c>
      <c r="P10" s="176">
        <f>Debt!X10</f>
        <v>0</v>
      </c>
      <c r="Q10" s="11"/>
    </row>
    <row r="11" spans="2:19" ht="15.9" customHeight="1" x14ac:dyDescent="0.4">
      <c r="B11" s="44" t="s">
        <v>90</v>
      </c>
      <c r="C11" s="150">
        <v>0</v>
      </c>
      <c r="D11" s="80"/>
      <c r="E11" s="7" t="str">
        <f>Financials!$I$5&amp;" Adjusted: Post-Sale RE Tax:"</f>
        <v>T3/T12 Adjusted: Post-Sale RE Tax:</v>
      </c>
      <c r="F11" s="173" t="e">
        <f>(Financials!I53-(VLOOKUP('Real Estate Tax'!$H$4,'Real Estate Tax'!$E$15:$J$25,6,FALSE)-Financials!I43))/Valuation!C2</f>
        <v>#N/A</v>
      </c>
      <c r="G11" s="1"/>
      <c r="H11" s="7" t="s">
        <v>179</v>
      </c>
      <c r="I11" s="11"/>
      <c r="J11" s="172">
        <f>Summary!F16</f>
        <v>0</v>
      </c>
      <c r="K11" s="11"/>
      <c r="L11" s="7" t="str">
        <f>Debt!F3</f>
        <v>Assumption:</v>
      </c>
      <c r="M11" s="174" t="str">
        <f>Debt!G3</f>
        <v>Yes</v>
      </c>
      <c r="N11" s="11"/>
      <c r="O11" s="7" t="str">
        <f t="shared" si="0"/>
        <v>Assumption:</v>
      </c>
      <c r="P11" s="174" t="str">
        <f>Debt!AA3</f>
        <v>Yes</v>
      </c>
      <c r="Q11" s="11"/>
    </row>
    <row r="12" spans="2:19" ht="15.9" customHeight="1" x14ac:dyDescent="0.4">
      <c r="B12" s="44"/>
      <c r="C12" s="152"/>
      <c r="E12" s="7" t="s">
        <v>100</v>
      </c>
      <c r="F12" s="173" t="e">
        <f>Financials!P53/-Valuation!F34</f>
        <v>#VALUE!</v>
      </c>
      <c r="G12" s="1"/>
      <c r="H12" s="7" t="s">
        <v>117</v>
      </c>
      <c r="I12" s="11"/>
      <c r="J12" s="172">
        <f>Summary!F17</f>
        <v>0</v>
      </c>
      <c r="K12" s="11"/>
      <c r="L12" s="7"/>
      <c r="M12" s="174"/>
      <c r="N12" s="11"/>
      <c r="O12" s="11"/>
      <c r="P12" s="11"/>
      <c r="Q12" s="11"/>
    </row>
    <row r="13" spans="2:19" ht="15.9" customHeight="1" x14ac:dyDescent="0.4">
      <c r="B13" s="44"/>
      <c r="C13" s="152"/>
      <c r="E13" s="7" t="s">
        <v>101</v>
      </c>
      <c r="F13" s="173" t="e">
        <f>(Financials!P53-(VLOOKUP('Real Estate Tax'!$H$4,'Real Estate Tax'!$E$15:$J$25,6,FALSE)-Financials!P43))/Valuation!C2</f>
        <v>#VALUE!</v>
      </c>
      <c r="G13" s="1"/>
      <c r="H13" s="11"/>
      <c r="I13" s="11"/>
      <c r="J13" s="11"/>
      <c r="K13" s="11"/>
      <c r="L13" s="7"/>
      <c r="M13" s="174"/>
      <c r="N13" s="11"/>
      <c r="O13" s="11"/>
      <c r="P13" s="11"/>
      <c r="Q13" s="11"/>
    </row>
    <row r="14" spans="2:19" ht="15.9" customHeight="1" x14ac:dyDescent="0.4">
      <c r="C14" s="150"/>
      <c r="D14" s="82"/>
      <c r="E14" s="1"/>
      <c r="F14" s="1"/>
      <c r="G14" s="11"/>
      <c r="H14" s="11"/>
      <c r="I14" s="11"/>
      <c r="J14" s="11"/>
      <c r="K14" s="11"/>
      <c r="L14" s="11"/>
      <c r="M14" s="177"/>
      <c r="N14" s="11"/>
      <c r="O14" s="11"/>
      <c r="P14" s="11"/>
      <c r="Q14" s="11"/>
    </row>
    <row r="15" spans="2:19" ht="15.9" customHeight="1" thickBot="1" x14ac:dyDescent="0.45">
      <c r="E15" s="120"/>
      <c r="F15" s="120" t="s">
        <v>68</v>
      </c>
      <c r="G15" s="120" t="s">
        <v>40</v>
      </c>
      <c r="H15" s="120" t="s">
        <v>55</v>
      </c>
      <c r="I15" s="120" t="s">
        <v>46</v>
      </c>
      <c r="J15" s="120" t="s">
        <v>47</v>
      </c>
      <c r="K15" s="120" t="s">
        <v>48</v>
      </c>
      <c r="L15" s="120" t="s">
        <v>49</v>
      </c>
      <c r="M15" s="120" t="s">
        <v>50</v>
      </c>
      <c r="N15" s="120" t="s">
        <v>51</v>
      </c>
      <c r="O15" s="120" t="s">
        <v>52</v>
      </c>
      <c r="P15" s="120" t="s">
        <v>53</v>
      </c>
      <c r="Q15" s="120" t="s">
        <v>54</v>
      </c>
    </row>
    <row r="16" spans="2:19" ht="15.9" customHeight="1" thickTop="1" x14ac:dyDescent="0.4">
      <c r="B16" s="44"/>
      <c r="C16" s="148"/>
      <c r="E16" s="178" t="s">
        <v>25</v>
      </c>
      <c r="F16" s="178"/>
      <c r="G16" s="179">
        <f>Financials!AN27</f>
        <v>0</v>
      </c>
      <c r="H16" s="180">
        <f>Financials!AO27</f>
        <v>0</v>
      </c>
      <c r="I16" s="180">
        <f>Financials!AP27</f>
        <v>0</v>
      </c>
      <c r="J16" s="201">
        <f>Financials!AQ27</f>
        <v>0</v>
      </c>
      <c r="K16" s="201">
        <f>Financials!AR27</f>
        <v>0</v>
      </c>
      <c r="L16" s="202">
        <f>Financials!AS27</f>
        <v>0</v>
      </c>
      <c r="M16" s="201">
        <f>Financials!AT27</f>
        <v>0</v>
      </c>
      <c r="N16" s="201">
        <f>Financials!AU27</f>
        <v>0</v>
      </c>
      <c r="O16" s="201">
        <f>Financials!AV27</f>
        <v>0</v>
      </c>
      <c r="P16" s="179">
        <f>Financials!AW27</f>
        <v>0</v>
      </c>
      <c r="Q16" s="180">
        <f>Financials!AX27</f>
        <v>0</v>
      </c>
    </row>
    <row r="17" spans="3:17" ht="15.9" customHeight="1" x14ac:dyDescent="0.4">
      <c r="C17" s="150"/>
      <c r="E17" s="178" t="s">
        <v>36</v>
      </c>
      <c r="F17" s="178"/>
      <c r="G17" s="179" t="e">
        <f>Financials!AN47</f>
        <v>#VALUE!</v>
      </c>
      <c r="H17" s="180" t="e">
        <f>Financials!AO47</f>
        <v>#VALUE!</v>
      </c>
      <c r="I17" s="180" t="e">
        <f>Financials!AP47</f>
        <v>#VALUE!</v>
      </c>
      <c r="J17" s="180" t="e">
        <f>Financials!AQ47</f>
        <v>#VALUE!</v>
      </c>
      <c r="K17" s="180" t="e">
        <f>Financials!AR47</f>
        <v>#VALUE!</v>
      </c>
      <c r="L17" s="179" t="e">
        <f>Financials!AS47</f>
        <v>#VALUE!</v>
      </c>
      <c r="M17" s="180" t="e">
        <f>Financials!AT47</f>
        <v>#VALUE!</v>
      </c>
      <c r="N17" s="180" t="e">
        <f>Financials!AU47</f>
        <v>#VALUE!</v>
      </c>
      <c r="O17" s="180" t="e">
        <f>Financials!AV47</f>
        <v>#VALUE!</v>
      </c>
      <c r="P17" s="179" t="e">
        <f>Financials!AW47</f>
        <v>#VALUE!</v>
      </c>
      <c r="Q17" s="180" t="e">
        <f>Financials!AX47</f>
        <v>#VALUE!</v>
      </c>
    </row>
    <row r="18" spans="3:17" ht="15.9" customHeight="1" x14ac:dyDescent="0.4">
      <c r="C18" s="152"/>
      <c r="E18" s="178" t="s">
        <v>44</v>
      </c>
      <c r="F18" s="181"/>
      <c r="G18" s="182">
        <f>Financials!AN51</f>
        <v>0</v>
      </c>
      <c r="H18" s="180">
        <f>Financials!AO51</f>
        <v>0</v>
      </c>
      <c r="I18" s="180">
        <f>Financials!AP51</f>
        <v>0</v>
      </c>
      <c r="J18" s="180">
        <f>Financials!AQ51</f>
        <v>0</v>
      </c>
      <c r="K18" s="180">
        <f>Financials!AR51</f>
        <v>0</v>
      </c>
      <c r="L18" s="179">
        <f>Financials!AS51</f>
        <v>0</v>
      </c>
      <c r="M18" s="180">
        <f>Financials!AT51</f>
        <v>0</v>
      </c>
      <c r="N18" s="180">
        <f>Financials!AU51</f>
        <v>0</v>
      </c>
      <c r="O18" s="180">
        <f>Financials!AV51</f>
        <v>0</v>
      </c>
      <c r="P18" s="179">
        <f>Financials!AW51</f>
        <v>0</v>
      </c>
      <c r="Q18" s="180">
        <f>Financials!AX51</f>
        <v>0</v>
      </c>
    </row>
    <row r="19" spans="3:17" ht="15.9" customHeight="1" x14ac:dyDescent="0.4">
      <c r="E19" s="167" t="s">
        <v>45</v>
      </c>
      <c r="F19" s="167"/>
      <c r="G19" s="183" t="e">
        <f>Financials!AN53</f>
        <v>#VALUE!</v>
      </c>
      <c r="H19" s="184" t="e">
        <f>Financials!AO53</f>
        <v>#VALUE!</v>
      </c>
      <c r="I19" s="184" t="e">
        <f>Financials!AP53</f>
        <v>#VALUE!</v>
      </c>
      <c r="J19" s="184" t="e">
        <f>Financials!AQ53</f>
        <v>#VALUE!</v>
      </c>
      <c r="K19" s="184" t="e">
        <f>Financials!AR53</f>
        <v>#VALUE!</v>
      </c>
      <c r="L19" s="183" t="e">
        <f>Financials!AS53</f>
        <v>#VALUE!</v>
      </c>
      <c r="M19" s="184" t="e">
        <f>Financials!AT53</f>
        <v>#VALUE!</v>
      </c>
      <c r="N19" s="184" t="e">
        <f>Financials!AU53</f>
        <v>#VALUE!</v>
      </c>
      <c r="O19" s="184" t="e">
        <f>Financials!AV53</f>
        <v>#VALUE!</v>
      </c>
      <c r="P19" s="183" t="e">
        <f>Financials!AW53</f>
        <v>#VALUE!</v>
      </c>
      <c r="Q19" s="184" t="e">
        <f>Financials!AX53</f>
        <v>#VALUE!</v>
      </c>
    </row>
    <row r="20" spans="3:17" ht="15.9" customHeight="1" x14ac:dyDescent="0.4">
      <c r="E20" s="1"/>
      <c r="F20" s="1"/>
      <c r="G20" s="64"/>
      <c r="H20" s="195"/>
      <c r="I20" s="195"/>
      <c r="J20" s="195"/>
      <c r="K20" s="195"/>
      <c r="L20" s="64"/>
      <c r="M20" s="195"/>
      <c r="N20" s="195"/>
      <c r="O20" s="195"/>
      <c r="P20" s="11"/>
      <c r="Q20" s="11"/>
    </row>
    <row r="21" spans="3:17" ht="15.9" customHeight="1" x14ac:dyDescent="0.4">
      <c r="E21" s="21" t="s">
        <v>62</v>
      </c>
      <c r="F21" s="21"/>
      <c r="G21" s="98"/>
      <c r="H21" s="99"/>
      <c r="I21" s="99"/>
      <c r="J21" s="99"/>
      <c r="K21" s="99"/>
      <c r="L21" s="98"/>
      <c r="M21" s="99"/>
      <c r="N21" s="99"/>
      <c r="O21" s="99"/>
      <c r="P21" s="100"/>
      <c r="Q21" s="11"/>
    </row>
    <row r="22" spans="3:17" ht="15.9" customHeight="1" x14ac:dyDescent="0.4">
      <c r="E22" s="58" t="s">
        <v>118</v>
      </c>
      <c r="F22" s="58"/>
      <c r="G22" s="190">
        <f t="shared" ref="G22:P22" si="1">IF(G1&lt;=$C$11,-$C$10/$C$11,0)</f>
        <v>0</v>
      </c>
      <c r="H22" s="196">
        <f t="shared" si="1"/>
        <v>0</v>
      </c>
      <c r="I22" s="196">
        <f t="shared" si="1"/>
        <v>0</v>
      </c>
      <c r="J22" s="196">
        <f t="shared" si="1"/>
        <v>0</v>
      </c>
      <c r="K22" s="196">
        <f t="shared" si="1"/>
        <v>0</v>
      </c>
      <c r="L22" s="190">
        <f t="shared" si="1"/>
        <v>0</v>
      </c>
      <c r="M22" s="196">
        <f t="shared" si="1"/>
        <v>0</v>
      </c>
      <c r="N22" s="196">
        <f t="shared" si="1"/>
        <v>0</v>
      </c>
      <c r="O22" s="196">
        <f t="shared" si="1"/>
        <v>0</v>
      </c>
      <c r="P22" s="185">
        <f t="shared" si="1"/>
        <v>0</v>
      </c>
      <c r="Q22" s="11"/>
    </row>
    <row r="23" spans="3:17" ht="15.9" customHeight="1" x14ac:dyDescent="0.4">
      <c r="E23" s="167" t="s">
        <v>63</v>
      </c>
      <c r="F23" s="167"/>
      <c r="G23" s="183" t="e">
        <f t="shared" ref="G23:P23" si="2">SUM(G22:G22)+G19</f>
        <v>#VALUE!</v>
      </c>
      <c r="H23" s="184" t="e">
        <f t="shared" si="2"/>
        <v>#VALUE!</v>
      </c>
      <c r="I23" s="184" t="e">
        <f t="shared" si="2"/>
        <v>#VALUE!</v>
      </c>
      <c r="J23" s="184" t="e">
        <f t="shared" si="2"/>
        <v>#VALUE!</v>
      </c>
      <c r="K23" s="184" t="e">
        <f t="shared" si="2"/>
        <v>#VALUE!</v>
      </c>
      <c r="L23" s="183" t="e">
        <f t="shared" si="2"/>
        <v>#VALUE!</v>
      </c>
      <c r="M23" s="184" t="e">
        <f t="shared" si="2"/>
        <v>#VALUE!</v>
      </c>
      <c r="N23" s="184" t="e">
        <f t="shared" si="2"/>
        <v>#VALUE!</v>
      </c>
      <c r="O23" s="184" t="e">
        <f t="shared" si="2"/>
        <v>#VALUE!</v>
      </c>
      <c r="P23" s="183" t="e">
        <f t="shared" si="2"/>
        <v>#VALUE!</v>
      </c>
      <c r="Q23" s="11"/>
    </row>
    <row r="24" spans="3:17" ht="15.9" customHeight="1" x14ac:dyDescent="0.4">
      <c r="E24" s="1"/>
      <c r="F24" s="1"/>
      <c r="G24" s="64"/>
      <c r="H24" s="195"/>
      <c r="I24" s="195"/>
      <c r="J24" s="195"/>
      <c r="K24" s="195"/>
      <c r="L24" s="64"/>
      <c r="M24" s="195"/>
      <c r="N24" s="195"/>
      <c r="O24" s="195"/>
      <c r="P24" s="11"/>
      <c r="Q24" s="11"/>
    </row>
    <row r="25" spans="3:17" ht="15.9" customHeight="1" x14ac:dyDescent="0.4">
      <c r="E25" s="21" t="s">
        <v>69</v>
      </c>
      <c r="F25" s="21"/>
      <c r="G25" s="98"/>
      <c r="H25" s="99"/>
      <c r="I25" s="99"/>
      <c r="J25" s="99"/>
      <c r="K25" s="99"/>
      <c r="L25" s="98"/>
      <c r="M25" s="99"/>
      <c r="N25" s="99"/>
      <c r="O25" s="99"/>
      <c r="P25" s="100"/>
      <c r="Q25" s="11"/>
    </row>
    <row r="26" spans="3:17" ht="15.9" customHeight="1" x14ac:dyDescent="0.4">
      <c r="E26" s="58" t="str">
        <f>Debt!$D$3&amp;" Loan Principal"</f>
        <v>- Loan Principal</v>
      </c>
      <c r="F26" s="21"/>
      <c r="G26" s="190" t="e">
        <f ca="1">IF($C$5&lt;&gt;"Yes",0,-IF(Debt!$G$10=1,Debt!L4,IF(Debt!$G$10=2,Debt!L10,Debt!L16)))</f>
        <v>#NUM!</v>
      </c>
      <c r="H26" s="190" t="e">
        <f ca="1">IF($C$5&lt;&gt;"Yes",0,-IF(Debt!$G$10=1,Debt!M4,IF(Debt!$G$10=2,Debt!M10,Debt!M16)))</f>
        <v>#NUM!</v>
      </c>
      <c r="I26" s="190" t="e">
        <f ca="1">IF($C$5&lt;&gt;"Yes",0,-IF(Debt!$G$10=1,Debt!N4,IF(Debt!$G$10=2,Debt!N10,Debt!N16)))</f>
        <v>#NUM!</v>
      </c>
      <c r="J26" s="190" t="e">
        <f ca="1">IF($C$5&lt;&gt;"Yes",0,-IF(Debt!$G$10=1,Debt!O4,IF(Debt!$G$10=2,Debt!O10,Debt!O16)))</f>
        <v>#NUM!</v>
      </c>
      <c r="K26" s="190" t="e">
        <f ca="1">IF($C$5&lt;&gt;"Yes",0,-IF(Debt!$G$10=1,Debt!P4,IF(Debt!$G$10=2,Debt!P10,Debt!P16)))</f>
        <v>#NUM!</v>
      </c>
      <c r="L26" s="190" t="e">
        <f ca="1">IF($C$5&lt;&gt;"Yes",0,-IF(Debt!$G$10=1,Debt!Q4,IF(Debt!$G$10=2,Debt!Q10,Debt!Q16)))</f>
        <v>#NUM!</v>
      </c>
      <c r="M26" s="190" t="e">
        <f ca="1">IF($C$5&lt;&gt;"Yes",0,-IF(Debt!$G$10=1,Debt!R4,IF(Debt!$G$10=2,Debt!R10,Debt!R16)))</f>
        <v>#NUM!</v>
      </c>
      <c r="N26" s="190" t="e">
        <f ca="1">IF($C$5&lt;&gt;"Yes",0,-IF(Debt!$G$10=1,Debt!S4,IF(Debt!$G$10=2,Debt!S10,Debt!S16)))</f>
        <v>#NUM!</v>
      </c>
      <c r="O26" s="190" t="e">
        <f ca="1">IF($C$5&lt;&gt;"Yes",0,-IF(Debt!$G$10=1,Debt!T4,IF(Debt!$G$10=2,Debt!T10,Debt!T16)))</f>
        <v>#NUM!</v>
      </c>
      <c r="P26" s="190" t="e">
        <f ca="1">IF($C$5&lt;&gt;"Yes",0,-IF(Debt!$G$10=1,Debt!U4,IF(Debt!$G$10=2,Debt!U10,Debt!U16)))</f>
        <v>#NUM!</v>
      </c>
      <c r="Q26" s="11"/>
    </row>
    <row r="27" spans="3:17" ht="15.9" customHeight="1" x14ac:dyDescent="0.4">
      <c r="E27" s="58" t="str">
        <f>Debt!$D$3&amp;" Loan Interest"</f>
        <v>- Loan Interest</v>
      </c>
      <c r="F27" s="21"/>
      <c r="G27" s="190" t="e">
        <f ca="1">IF($C$5&lt;&gt;"Yes",0,-IF(Debt!$G$10=1,Debt!L5,IF(Debt!$G$10=2,Debt!L11,Debt!L17)))</f>
        <v>#NUM!</v>
      </c>
      <c r="H27" s="190" t="e">
        <f ca="1">IF($C$5&lt;&gt;"Yes",0,-IF(Debt!$G$10=1,Debt!M5,IF(Debt!$G$10=2,Debt!M11,Debt!M17)))</f>
        <v>#NUM!</v>
      </c>
      <c r="I27" s="190" t="e">
        <f ca="1">IF($C$5&lt;&gt;"Yes",0,-IF(Debt!$G$10=1,Debt!N5,IF(Debt!$G$10=2,Debt!N11,Debt!N17)))</f>
        <v>#NUM!</v>
      </c>
      <c r="J27" s="190" t="e">
        <f ca="1">IF($C$5&lt;&gt;"Yes",0,-IF(Debt!$G$10=1,Debt!O5,IF(Debt!$G$10=2,Debt!O11,Debt!O17)))</f>
        <v>#NUM!</v>
      </c>
      <c r="K27" s="190" t="e">
        <f ca="1">IF($C$5&lt;&gt;"Yes",0,-IF(Debt!$G$10=1,Debt!P5,IF(Debt!$G$10=2,Debt!P11,Debt!P17)))</f>
        <v>#NUM!</v>
      </c>
      <c r="L27" s="190" t="e">
        <f ca="1">IF($C$5&lt;&gt;"Yes",0,-IF(Debt!$G$10=1,Debt!Q5,IF(Debt!$G$10=2,Debt!Q11,Debt!Q17)))</f>
        <v>#NUM!</v>
      </c>
      <c r="M27" s="190" t="e">
        <f ca="1">IF($C$5&lt;&gt;"Yes",0,-IF(Debt!$G$10=1,Debt!R5,IF(Debt!$G$10=2,Debt!R11,Debt!R17)))</f>
        <v>#NUM!</v>
      </c>
      <c r="N27" s="190" t="e">
        <f ca="1">IF($C$5&lt;&gt;"Yes",0,-IF(Debt!$G$10=1,Debt!S5,IF(Debt!$G$10=2,Debt!S11,Debt!S17)))</f>
        <v>#NUM!</v>
      </c>
      <c r="O27" s="190" t="e">
        <f ca="1">IF($C$5&lt;&gt;"Yes",0,-IF(Debt!$G$10=1,Debt!T5,IF(Debt!$G$10=2,Debt!T11,Debt!T17)))</f>
        <v>#NUM!</v>
      </c>
      <c r="P27" s="190" t="e">
        <f ca="1">IF($C$5&lt;&gt;"Yes",0,-IF(Debt!$G$10=1,Debt!U5,IF(Debt!$G$10=2,Debt!U11,Debt!U17)))</f>
        <v>#NUM!</v>
      </c>
      <c r="Q27" s="11"/>
    </row>
    <row r="28" spans="3:17" ht="15.9" customHeight="1" outlineLevel="1" x14ac:dyDescent="0.4">
      <c r="E28" s="58" t="str">
        <f>Debt!$X$3&amp;" Loan Principal"</f>
        <v>0 Loan Principal</v>
      </c>
      <c r="F28" s="21"/>
      <c r="G28" s="190">
        <f>IF($C$6&lt;&gt;"Yes",0,-IF(Debt!$AA$10=1,Debt!AF4,IF(Debt!$AA$10=2,Debt!AF10,Debt!AF16)))</f>
        <v>0</v>
      </c>
      <c r="H28" s="190">
        <f>IF($C$6&lt;&gt;"Yes",0,-IF(Debt!$AA$10=1,Debt!AG4,IF(Debt!$AA$10=2,Debt!AG10,Debt!AG16)))</f>
        <v>0</v>
      </c>
      <c r="I28" s="190">
        <f>IF($C$6&lt;&gt;"Yes",0,-IF(Debt!$AA$10=1,Debt!AH4,IF(Debt!$AA$10=2,Debt!AH10,Debt!AH16)))</f>
        <v>0</v>
      </c>
      <c r="J28" s="190">
        <f>IF($C$6&lt;&gt;"Yes",0,-IF(Debt!$AA$10=1,Debt!AI4,IF(Debt!$AA$10=2,Debt!AI10,Debt!AI16)))</f>
        <v>0</v>
      </c>
      <c r="K28" s="190">
        <f>IF($C$6&lt;&gt;"Yes",0,-IF(Debt!$AA$10=1,Debt!AJ4,IF(Debt!$AA$10=2,Debt!AJ10,Debt!AJ16)))</f>
        <v>0</v>
      </c>
      <c r="L28" s="190">
        <f>IF($C$6&lt;&gt;"Yes",0,-IF(Debt!$AA$10=1,Debt!AK4,IF(Debt!$AA$10=2,Debt!AK10,Debt!AK16)))</f>
        <v>0</v>
      </c>
      <c r="M28" s="190">
        <f>IF($C$6&lt;&gt;"Yes",0,-IF(Debt!$AA$10=1,Debt!AL4,IF(Debt!$AA$10=2,Debt!AL10,Debt!AL16)))</f>
        <v>0</v>
      </c>
      <c r="N28" s="190">
        <f>IF($C$6&lt;&gt;"Yes",0,-IF(Debt!$AA$10=1,Debt!AM4,IF(Debt!$AA$10=2,Debt!AM10,Debt!AM16)))</f>
        <v>0</v>
      </c>
      <c r="O28" s="190">
        <f>IF($C$6&lt;&gt;"Yes",0,-IF(Debt!$AA$10=1,Debt!AN4,IF(Debt!$AA$10=2,Debt!AN10,Debt!AN16)))</f>
        <v>0</v>
      </c>
      <c r="P28" s="190">
        <f>IF($C$6&lt;&gt;"Yes",0,-IF(Debt!$AA$10=1,Debt!AO4,IF(Debt!$AA$10=2,Debt!AO10,Debt!AO16)))</f>
        <v>0</v>
      </c>
      <c r="Q28" s="11"/>
    </row>
    <row r="29" spans="3:17" ht="15.9" customHeight="1" outlineLevel="1" x14ac:dyDescent="0.4">
      <c r="E29" s="58" t="str">
        <f>Debt!$X$3&amp;" Loan Interest"</f>
        <v>0 Loan Interest</v>
      </c>
      <c r="F29" s="21"/>
      <c r="G29" s="190">
        <f>IF($C$6&lt;&gt;"Yes",0,-IF(Debt!$AA$10=1,Debt!AF5,IF(Debt!$AA$10=2,Debt!AF11,Debt!AF17)))</f>
        <v>0</v>
      </c>
      <c r="H29" s="190">
        <f>IF($C$6&lt;&gt;"Yes",0,-IF(Debt!$AA$10=1,Debt!AG5,IF(Debt!$AA$10=2,Debt!AG11,Debt!AG17)))</f>
        <v>0</v>
      </c>
      <c r="I29" s="190">
        <f>IF($C$6&lt;&gt;"Yes",0,-IF(Debt!$AA$10=1,Debt!AH5,IF(Debt!$AA$10=2,Debt!AH11,Debt!AH17)))</f>
        <v>0</v>
      </c>
      <c r="J29" s="190">
        <f>IF($C$6&lt;&gt;"Yes",0,-IF(Debt!$AA$10=1,Debt!AI5,IF(Debt!$AA$10=2,Debt!AI11,Debt!AI17)))</f>
        <v>0</v>
      </c>
      <c r="K29" s="190">
        <f>IF($C$6&lt;&gt;"Yes",0,-IF(Debt!$AA$10=1,Debt!AJ5,IF(Debt!$AA$10=2,Debt!AJ11,Debt!AJ17)))</f>
        <v>0</v>
      </c>
      <c r="L29" s="190">
        <f>IF($C$6&lt;&gt;"Yes",0,-IF(Debt!$AA$10=1,Debt!AK5,IF(Debt!$AA$10=2,Debt!AK11,Debt!AK17)))</f>
        <v>0</v>
      </c>
      <c r="M29" s="190">
        <f>IF($C$6&lt;&gt;"Yes",0,-IF(Debt!$AA$10=1,Debt!AL5,IF(Debt!$AA$10=2,Debt!AL11,Debt!AL17)))</f>
        <v>0</v>
      </c>
      <c r="N29" s="190">
        <f>IF($C$6&lt;&gt;"Yes",0,-IF(Debt!$AA$10=1,Debt!AM5,IF(Debt!$AA$10=2,Debt!AM11,Debt!AM17)))</f>
        <v>0</v>
      </c>
      <c r="O29" s="190">
        <f>IF($C$6&lt;&gt;"Yes",0,-IF(Debt!$AA$10=1,Debt!AN5,IF(Debt!$AA$10=2,Debt!AN11,Debt!AN17)))</f>
        <v>0</v>
      </c>
      <c r="P29" s="190">
        <f>IF($C$6&lt;&gt;"Yes",0,-IF(Debt!$AA$10=1,Debt!AO5,IF(Debt!$AA$10=2,Debt!AO11,Debt!AO17)))</f>
        <v>0</v>
      </c>
      <c r="Q29" s="11"/>
    </row>
    <row r="30" spans="3:17" ht="15.9" customHeight="1" x14ac:dyDescent="0.4">
      <c r="E30" s="167" t="s">
        <v>73</v>
      </c>
      <c r="F30" s="167"/>
      <c r="G30" s="183" t="e">
        <f ca="1">SUM(G25:G29)+G23</f>
        <v>#NUM!</v>
      </c>
      <c r="H30" s="184" t="e">
        <f t="shared" ref="H30:P30" ca="1" si="3">SUM(H25:H29)+H23</f>
        <v>#NUM!</v>
      </c>
      <c r="I30" s="184" t="e">
        <f t="shared" ca="1" si="3"/>
        <v>#NUM!</v>
      </c>
      <c r="J30" s="184" t="e">
        <f t="shared" ca="1" si="3"/>
        <v>#NUM!</v>
      </c>
      <c r="K30" s="184" t="e">
        <f t="shared" ca="1" si="3"/>
        <v>#NUM!</v>
      </c>
      <c r="L30" s="183" t="e">
        <f t="shared" ca="1" si="3"/>
        <v>#NUM!</v>
      </c>
      <c r="M30" s="184" t="e">
        <f t="shared" ca="1" si="3"/>
        <v>#NUM!</v>
      </c>
      <c r="N30" s="184" t="e">
        <f t="shared" ca="1" si="3"/>
        <v>#NUM!</v>
      </c>
      <c r="O30" s="184" t="e">
        <f t="shared" ca="1" si="3"/>
        <v>#NUM!</v>
      </c>
      <c r="P30" s="183" t="e">
        <f t="shared" ca="1" si="3"/>
        <v>#NUM!</v>
      </c>
      <c r="Q30" s="11"/>
    </row>
    <row r="31" spans="3:17" ht="15.9" customHeight="1" x14ac:dyDescent="0.4">
      <c r="E31" s="1" t="s">
        <v>92</v>
      </c>
      <c r="F31" s="1"/>
      <c r="G31" s="191" t="e">
        <f>G19/(IF($C$5="yes",Debt!$D$15,0)+IF($C$6="yes",Debt!$X$15,0))</f>
        <v>#VALUE!</v>
      </c>
      <c r="H31" s="197" t="e">
        <f>H19/(IF($C$5="yes",Debt!$D$15,0)+IF($C$6="yes",Debt!$X$15,0))</f>
        <v>#VALUE!</v>
      </c>
      <c r="I31" s="197" t="e">
        <f>I19/(IF($C$5="yes",Debt!$D$15,0)+IF($C$6="yes",Debt!$X$15,0))</f>
        <v>#VALUE!</v>
      </c>
      <c r="J31" s="197" t="e">
        <f>J19/(IF($C$5="yes",Debt!$D$15,0)+IF($C$6="yes",Debt!$X$15,0))</f>
        <v>#VALUE!</v>
      </c>
      <c r="K31" s="197" t="e">
        <f>K19/(IF($C$5="yes",Debt!$D$15,0)+IF($C$6="yes",Debt!$X$15,0))</f>
        <v>#VALUE!</v>
      </c>
      <c r="L31" s="191" t="e">
        <f>L19/(IF($C$5="yes",Debt!$D$15,0)+IF($C$6="yes",Debt!$X$15,0))</f>
        <v>#VALUE!</v>
      </c>
      <c r="M31" s="197" t="e">
        <f>M19/(IF($C$5="yes",Debt!$D$15,0)+IF($C$6="yes",Debt!$X$15,0))</f>
        <v>#VALUE!</v>
      </c>
      <c r="N31" s="197" t="e">
        <f>N19/(IF($C$5="yes",Debt!$D$15,0)+IF($C$6="yes",Debt!$X$15,0))</f>
        <v>#VALUE!</v>
      </c>
      <c r="O31" s="197" t="e">
        <f>O19/(IF($C$5="yes",Debt!$D$15,0)+IF($C$6="yes",Debt!$X$15,0))</f>
        <v>#VALUE!</v>
      </c>
      <c r="P31" s="186" t="e">
        <f>P19/(IF($C$5="yes",Debt!$D$15,0)+IF($C$6="yes",Debt!$X$15,0))</f>
        <v>#VALUE!</v>
      </c>
      <c r="Q31" s="11"/>
    </row>
    <row r="32" spans="3:17" ht="15.9" customHeight="1" x14ac:dyDescent="0.4">
      <c r="E32" s="1"/>
      <c r="F32" s="1"/>
      <c r="G32" s="191"/>
      <c r="H32" s="197"/>
      <c r="I32" s="197"/>
      <c r="J32" s="197"/>
      <c r="K32" s="197"/>
      <c r="L32" s="191"/>
      <c r="M32" s="197"/>
      <c r="N32" s="197"/>
      <c r="O32" s="197"/>
      <c r="P32" s="186"/>
      <c r="Q32" s="11"/>
    </row>
    <row r="33" spans="5:20" ht="15.9" customHeight="1" x14ac:dyDescent="0.4">
      <c r="E33" s="21" t="s">
        <v>64</v>
      </c>
      <c r="F33" s="21"/>
      <c r="G33" s="98"/>
      <c r="H33" s="99"/>
      <c r="I33" s="99"/>
      <c r="J33" s="99"/>
      <c r="K33" s="99"/>
      <c r="L33" s="98"/>
      <c r="M33" s="99"/>
      <c r="N33" s="99"/>
      <c r="O33" s="99"/>
      <c r="P33" s="100"/>
      <c r="Q33" s="11"/>
    </row>
    <row r="34" spans="5:20" ht="15.9" customHeight="1" x14ac:dyDescent="0.4">
      <c r="E34" s="58" t="s">
        <v>65</v>
      </c>
      <c r="F34" s="185">
        <f>-$C$2</f>
        <v>0</v>
      </c>
      <c r="G34" s="48"/>
      <c r="H34" s="54"/>
      <c r="I34" s="54"/>
      <c r="J34" s="54"/>
      <c r="K34" s="54"/>
      <c r="L34" s="48"/>
      <c r="M34" s="54"/>
      <c r="N34" s="54"/>
      <c r="O34" s="54"/>
      <c r="P34" s="29"/>
      <c r="Q34" s="11"/>
    </row>
    <row r="35" spans="5:20" ht="15.9" customHeight="1" x14ac:dyDescent="0.4">
      <c r="E35" s="58" t="s">
        <v>139</v>
      </c>
      <c r="F35" s="185">
        <f>-Summary!F11</f>
        <v>0</v>
      </c>
      <c r="G35" s="48"/>
      <c r="H35" s="54"/>
      <c r="I35" s="54"/>
      <c r="J35" s="54"/>
      <c r="K35" s="54"/>
      <c r="L35" s="48"/>
      <c r="M35" s="54"/>
      <c r="N35" s="54"/>
      <c r="O35" s="54"/>
      <c r="P35" s="29"/>
      <c r="Q35" s="11"/>
    </row>
    <row r="36" spans="5:20" ht="15.9" customHeight="1" x14ac:dyDescent="0.4">
      <c r="E36" s="58" t="s">
        <v>81</v>
      </c>
      <c r="F36" s="187"/>
      <c r="G36" s="192">
        <f>Summary!F13+Summary!F14</f>
        <v>0</v>
      </c>
      <c r="H36" s="198">
        <f>G36+Summary!$F$14</f>
        <v>0</v>
      </c>
      <c r="I36" s="198">
        <f>H36+Summary!$F$14</f>
        <v>0</v>
      </c>
      <c r="J36" s="198">
        <f>I36+Summary!$F$14</f>
        <v>0</v>
      </c>
      <c r="K36" s="198">
        <f>J36+Summary!$F$14</f>
        <v>0</v>
      </c>
      <c r="L36" s="192">
        <f>K36+Summary!$F$14</f>
        <v>0</v>
      </c>
      <c r="M36" s="198">
        <f>L36+Summary!$F$14</f>
        <v>0</v>
      </c>
      <c r="N36" s="198">
        <f>M36+Summary!$F$14</f>
        <v>0</v>
      </c>
      <c r="O36" s="198">
        <f>N36+Summary!$F$14</f>
        <v>0</v>
      </c>
      <c r="P36" s="188">
        <f>O36+Summary!$F$14</f>
        <v>0</v>
      </c>
      <c r="Q36" s="11"/>
    </row>
    <row r="37" spans="5:20" ht="15.9" customHeight="1" x14ac:dyDescent="0.4">
      <c r="E37" s="58" t="s">
        <v>66</v>
      </c>
      <c r="F37" s="58"/>
      <c r="G37" s="48" t="e">
        <f t="shared" ref="G37:P37" si="4">H19/G36</f>
        <v>#VALUE!</v>
      </c>
      <c r="H37" s="54" t="e">
        <f t="shared" si="4"/>
        <v>#VALUE!</v>
      </c>
      <c r="I37" s="54" t="e">
        <f t="shared" si="4"/>
        <v>#VALUE!</v>
      </c>
      <c r="J37" s="54" t="e">
        <f t="shared" si="4"/>
        <v>#VALUE!</v>
      </c>
      <c r="K37" s="54" t="e">
        <f t="shared" si="4"/>
        <v>#VALUE!</v>
      </c>
      <c r="L37" s="48" t="e">
        <f t="shared" si="4"/>
        <v>#VALUE!</v>
      </c>
      <c r="M37" s="54" t="e">
        <f t="shared" si="4"/>
        <v>#VALUE!</v>
      </c>
      <c r="N37" s="54" t="e">
        <f t="shared" si="4"/>
        <v>#VALUE!</v>
      </c>
      <c r="O37" s="54" t="e">
        <f t="shared" si="4"/>
        <v>#VALUE!</v>
      </c>
      <c r="P37" s="29" t="e">
        <f t="shared" si="4"/>
        <v>#VALUE!</v>
      </c>
      <c r="Q37" s="11"/>
    </row>
    <row r="38" spans="5:20" ht="15.9" customHeight="1" x14ac:dyDescent="0.4">
      <c r="E38" s="58" t="s">
        <v>67</v>
      </c>
      <c r="F38" s="264"/>
      <c r="G38" s="190" t="e">
        <f>-(Summary!$F$18*Valuation!G37)</f>
        <v>#VALUE!</v>
      </c>
      <c r="H38" s="196" t="e">
        <f>-(Summary!$F$18*Valuation!H37)</f>
        <v>#VALUE!</v>
      </c>
      <c r="I38" s="196" t="e">
        <f>-(Summary!$F$18*Valuation!I37)</f>
        <v>#VALUE!</v>
      </c>
      <c r="J38" s="196" t="e">
        <f>-(Summary!$F$18*Valuation!J37)</f>
        <v>#VALUE!</v>
      </c>
      <c r="K38" s="196" t="e">
        <f>-(Summary!$F$18*Valuation!K37)</f>
        <v>#VALUE!</v>
      </c>
      <c r="L38" s="190" t="e">
        <f>-(Summary!$F$18*Valuation!L37)</f>
        <v>#VALUE!</v>
      </c>
      <c r="M38" s="196" t="e">
        <f>-(Summary!$F$18*Valuation!M37)</f>
        <v>#VALUE!</v>
      </c>
      <c r="N38" s="196" t="e">
        <f>-(Summary!$F$18*Valuation!N37)</f>
        <v>#VALUE!</v>
      </c>
      <c r="O38" s="196" t="e">
        <f>-(Summary!$F$18*Valuation!O37)</f>
        <v>#VALUE!</v>
      </c>
      <c r="P38" s="185" t="e">
        <f>-(Summary!$F$18*Valuation!P37)</f>
        <v>#VALUE!</v>
      </c>
      <c r="Q38" s="11"/>
      <c r="R38" s="65"/>
      <c r="S38" s="240"/>
      <c r="T38" s="65"/>
    </row>
    <row r="39" spans="5:20" ht="15.9" customHeight="1" x14ac:dyDescent="0.4">
      <c r="E39" s="58" t="str">
        <f>Debt!$D$3&amp;" Loan Cost"</f>
        <v>- Loan Cost</v>
      </c>
      <c r="F39" s="185">
        <f>IF($C$5&lt;&gt;"Yes",0,F40*-Summary!$C$28)</f>
        <v>0</v>
      </c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1"/>
      <c r="T39" s="241"/>
    </row>
    <row r="40" spans="5:20" ht="15.9" customHeight="1" x14ac:dyDescent="0.4">
      <c r="E40" s="58" t="str">
        <f>Debt!$D$3&amp;" Loan Payoff"</f>
        <v>- Loan Payoff</v>
      </c>
      <c r="F40" s="29">
        <f>IF($C$5&lt;&gt;"Yes",0,IF(Debt!$G$10=1,Debt!K4,IF(Debt!$G$10=2,Debt!K10,Debt!K16)))</f>
        <v>0</v>
      </c>
      <c r="G40" s="190" t="e">
        <f ca="1">IF($C$5&lt;&gt;"Yes",0,IF(Debt!$G$10=1,Debt!L6,IF(Debt!$G$10=2,Debt!L12,Debt!L18)))</f>
        <v>#NUM!</v>
      </c>
      <c r="H40" s="190" t="e">
        <f ca="1">IF($C$5&lt;&gt;"Yes",0,IF(Debt!$G$10=1,Debt!M6,IF(Debt!$G$10=2,Debt!M12,Debt!M18)))</f>
        <v>#NUM!</v>
      </c>
      <c r="I40" s="190" t="e">
        <f ca="1">IF($C$5&lt;&gt;"Yes",0,IF(Debt!$G$10=1,Debt!N6,IF(Debt!$G$10=2,Debt!N12,Debt!N18)))</f>
        <v>#NUM!</v>
      </c>
      <c r="J40" s="190" t="e">
        <f ca="1">IF($C$5&lt;&gt;"Yes",0,IF(Debt!$G$10=1,Debt!O6,IF(Debt!$G$10=2,Debt!O12,Debt!O18)))</f>
        <v>#NUM!</v>
      </c>
      <c r="K40" s="190" t="e">
        <f ca="1">IF($C$5&lt;&gt;"Yes",0,IF(Debt!$G$10=1,Debt!P6,IF(Debt!$G$10=2,Debt!P12,Debt!P18)))</f>
        <v>#NUM!</v>
      </c>
      <c r="L40" s="190" t="e">
        <f ca="1">IF($C$5&lt;&gt;"Yes",0,IF(Debt!$G$10=1,Debt!Q6,IF(Debt!$G$10=2,Debt!Q12,Debt!Q18)))</f>
        <v>#NUM!</v>
      </c>
      <c r="M40" s="190" t="e">
        <f ca="1">IF($C$5&lt;&gt;"Yes",0,IF(Debt!$G$10=1,Debt!R6,IF(Debt!$G$10=2,Debt!R12,Debt!R18)))</f>
        <v>#NUM!</v>
      </c>
      <c r="N40" s="190" t="e">
        <f ca="1">IF($C$5&lt;&gt;"Yes",0,IF(Debt!$G$10=1,Debt!S6,IF(Debt!$G$10=2,Debt!S12,Debt!S18)))</f>
        <v>#NUM!</v>
      </c>
      <c r="O40" s="190" t="e">
        <f ca="1">IF($C$5&lt;&gt;"Yes",0,IF(Debt!$G$10=1,Debt!T6,IF(Debt!$G$10=2,Debt!T12,Debt!T18)))</f>
        <v>#NUM!</v>
      </c>
      <c r="P40" s="190" t="e">
        <f ca="1">IF($C$5&lt;&gt;"Yes",0,IF(Debt!$G$10=1,Debt!U6,IF(Debt!$G$10=2,Debt!U12,Debt!U18)))</f>
        <v>#NUM!</v>
      </c>
      <c r="Q40" s="11"/>
    </row>
    <row r="41" spans="5:20" ht="15.9" hidden="1" customHeight="1" outlineLevel="1" x14ac:dyDescent="0.4">
      <c r="E41" s="58" t="str">
        <f>Debt!$X$3&amp;" Loan Cost"</f>
        <v>0 Loan Cost</v>
      </c>
      <c r="F41" s="185">
        <f>IF($C$5&lt;&gt;"Yes",0,F42*-Summary!$C$40)</f>
        <v>0</v>
      </c>
      <c r="G41" s="190"/>
      <c r="H41" s="196"/>
      <c r="I41" s="196"/>
      <c r="J41" s="196"/>
      <c r="K41" s="196"/>
      <c r="L41" s="190"/>
      <c r="M41" s="196"/>
      <c r="N41" s="196"/>
      <c r="O41" s="196"/>
      <c r="P41" s="185"/>
      <c r="Q41" s="11"/>
    </row>
    <row r="42" spans="5:20" ht="15.9" hidden="1" customHeight="1" outlineLevel="1" x14ac:dyDescent="0.4">
      <c r="E42" s="58" t="str">
        <f>Debt!$X$3&amp;" Loan Payoff"</f>
        <v>0 Loan Payoff</v>
      </c>
      <c r="F42" s="29">
        <f>IF($C$6&lt;&gt;"Yes",0,IF(Debt!$AA$10=1,Debt!AE4,IF(Debt!$AA$10=2,Debt!$AE$10,Debt!$AE$16)))</f>
        <v>0</v>
      </c>
      <c r="G42" s="190">
        <f>IF($C$6&lt;&gt;"Yes",0,IF(Debt!$AA$10=1,Debt!AF6,IF(Debt!$AA$10=2,Debt!AF12,Debt!AF18)))</f>
        <v>0</v>
      </c>
      <c r="H42" s="190">
        <f>IF($C$6&lt;&gt;"Yes",0,IF(Debt!$AA$10=1,Debt!AG6,IF(Debt!$AA$10=2,Debt!AG12,Debt!AG18)))</f>
        <v>0</v>
      </c>
      <c r="I42" s="190">
        <f>IF($C$6&lt;&gt;"Yes",0,IF(Debt!$AA$10=1,Debt!AH6,IF(Debt!$AA$10=2,Debt!AH12,Debt!AH18)))</f>
        <v>0</v>
      </c>
      <c r="J42" s="190">
        <f>IF($C$6&lt;&gt;"Yes",0,IF(Debt!$AA$10=1,Debt!AI6,IF(Debt!$AA$10=2,Debt!AI12,Debt!AI18)))</f>
        <v>0</v>
      </c>
      <c r="K42" s="190">
        <f>IF($C$6&lt;&gt;"Yes",0,IF(Debt!$AA$10=1,Debt!AJ6,IF(Debt!$AA$10=2,Debt!AJ12,Debt!AJ18)))</f>
        <v>0</v>
      </c>
      <c r="L42" s="190">
        <f>IF($C$6&lt;&gt;"Yes",0,IF(Debt!$AA$10=1,Debt!AK6,IF(Debt!$AA$10=2,Debt!AK12,Debt!AK18)))</f>
        <v>0</v>
      </c>
      <c r="M42" s="190">
        <f>IF($C$6&lt;&gt;"Yes",0,IF(Debt!$AA$10=1,Debt!AL6,IF(Debt!$AA$10=2,Debt!AL12,Debt!AL18)))</f>
        <v>0</v>
      </c>
      <c r="N42" s="190">
        <f>IF($C$6&lt;&gt;"Yes",0,IF(Debt!$AA$10=1,Debt!AM6,IF(Debt!$AA$10=2,Debt!AM12,Debt!AM18)))</f>
        <v>0</v>
      </c>
      <c r="O42" s="190">
        <f>IF($C$6&lt;&gt;"Yes",0,IF(Debt!$AA$10=1,Debt!AN6,IF(Debt!$AA$10=2,Debt!AN12,Debt!AN18)))</f>
        <v>0</v>
      </c>
      <c r="P42" s="190">
        <f>IF($C$6&lt;&gt;"Yes",0,IF(Debt!$AA$10=1,Debt!AO6,IF(Debt!$AA$10=2,Debt!AO12,Debt!AO18)))</f>
        <v>0</v>
      </c>
      <c r="Q42" s="11"/>
    </row>
    <row r="43" spans="5:20" ht="15.9" customHeight="1" collapsed="1" x14ac:dyDescent="0.4">
      <c r="E43" s="167" t="s">
        <v>82</v>
      </c>
      <c r="F43" s="183">
        <f>SUM(F34:F42)</f>
        <v>0</v>
      </c>
      <c r="G43" s="183" t="e">
        <f t="shared" ref="G43:P43" si="5">SUM(G37:G42)</f>
        <v>#VALUE!</v>
      </c>
      <c r="H43" s="184" t="e">
        <f t="shared" si="5"/>
        <v>#VALUE!</v>
      </c>
      <c r="I43" s="184" t="e">
        <f t="shared" si="5"/>
        <v>#VALUE!</v>
      </c>
      <c r="J43" s="184" t="e">
        <f t="shared" si="5"/>
        <v>#VALUE!</v>
      </c>
      <c r="K43" s="184" t="e">
        <f t="shared" si="5"/>
        <v>#VALUE!</v>
      </c>
      <c r="L43" s="183" t="e">
        <f t="shared" si="5"/>
        <v>#VALUE!</v>
      </c>
      <c r="M43" s="184" t="e">
        <f t="shared" si="5"/>
        <v>#VALUE!</v>
      </c>
      <c r="N43" s="184" t="e">
        <f t="shared" si="5"/>
        <v>#VALUE!</v>
      </c>
      <c r="O43" s="184" t="e">
        <f t="shared" si="5"/>
        <v>#VALUE!</v>
      </c>
      <c r="P43" s="183" t="e">
        <f t="shared" si="5"/>
        <v>#VALUE!</v>
      </c>
      <c r="Q43" s="11"/>
    </row>
    <row r="44" spans="5:20" ht="15.9" customHeight="1" x14ac:dyDescent="0.4">
      <c r="E44" s="1"/>
      <c r="F44" s="1"/>
      <c r="G44" s="193"/>
      <c r="H44" s="199"/>
      <c r="I44" s="199"/>
      <c r="J44" s="199"/>
      <c r="K44" s="199"/>
      <c r="L44" s="193"/>
      <c r="M44" s="199"/>
      <c r="N44" s="199"/>
      <c r="O44" s="199"/>
      <c r="P44" s="189"/>
      <c r="Q44" s="11"/>
    </row>
    <row r="45" spans="5:20" ht="15.9" customHeight="1" x14ac:dyDescent="0.4">
      <c r="E45" s="1" t="s">
        <v>175</v>
      </c>
      <c r="F45" s="1"/>
      <c r="G45" s="192" t="e">
        <f t="shared" ref="G45:P45" si="6">IRR(G46:G56)</f>
        <v>#VALUE!</v>
      </c>
      <c r="H45" s="198" t="e">
        <f t="shared" si="6"/>
        <v>#VALUE!</v>
      </c>
      <c r="I45" s="198" t="e">
        <f t="shared" si="6"/>
        <v>#VALUE!</v>
      </c>
      <c r="J45" s="198" t="e">
        <f t="shared" si="6"/>
        <v>#VALUE!</v>
      </c>
      <c r="K45" s="198" t="e">
        <f t="shared" si="6"/>
        <v>#VALUE!</v>
      </c>
      <c r="L45" s="192" t="e">
        <f t="shared" si="6"/>
        <v>#VALUE!</v>
      </c>
      <c r="M45" s="198" t="e">
        <f t="shared" si="6"/>
        <v>#VALUE!</v>
      </c>
      <c r="N45" s="198" t="e">
        <f t="shared" si="6"/>
        <v>#VALUE!</v>
      </c>
      <c r="O45" s="198" t="e">
        <f t="shared" si="6"/>
        <v>#VALUE!</v>
      </c>
      <c r="P45" s="188" t="e">
        <f t="shared" si="6"/>
        <v>#VALUE!</v>
      </c>
      <c r="Q45" s="11"/>
    </row>
    <row r="46" spans="5:20" ht="15.9" hidden="1" customHeight="1" outlineLevel="1" x14ac:dyDescent="0.4">
      <c r="E46" s="1"/>
      <c r="F46" s="1">
        <v>0</v>
      </c>
      <c r="G46" s="194">
        <f>SUM($F$34:$F$35)</f>
        <v>0</v>
      </c>
      <c r="H46" s="194">
        <f t="shared" ref="H46:P46" si="7">SUM($F$34:$F$35)</f>
        <v>0</v>
      </c>
      <c r="I46" s="194">
        <f t="shared" si="7"/>
        <v>0</v>
      </c>
      <c r="J46" s="194">
        <f t="shared" si="7"/>
        <v>0</v>
      </c>
      <c r="K46" s="194">
        <f t="shared" si="7"/>
        <v>0</v>
      </c>
      <c r="L46" s="194">
        <f t="shared" si="7"/>
        <v>0</v>
      </c>
      <c r="M46" s="194">
        <f t="shared" si="7"/>
        <v>0</v>
      </c>
      <c r="N46" s="194">
        <f t="shared" si="7"/>
        <v>0</v>
      </c>
      <c r="O46" s="194">
        <f t="shared" si="7"/>
        <v>0</v>
      </c>
      <c r="P46" s="194">
        <f t="shared" si="7"/>
        <v>0</v>
      </c>
      <c r="Q46" s="11"/>
    </row>
    <row r="47" spans="5:20" ht="15.9" hidden="1" customHeight="1" outlineLevel="1" x14ac:dyDescent="0.4">
      <c r="E47" s="1"/>
      <c r="F47" s="1">
        <v>1</v>
      </c>
      <c r="G47" s="194" t="e">
        <f>$G$23+G37+G38</f>
        <v>#VALUE!</v>
      </c>
      <c r="H47" s="200" t="e">
        <f t="shared" ref="H47:P47" si="8">$G$23</f>
        <v>#VALUE!</v>
      </c>
      <c r="I47" s="200" t="e">
        <f t="shared" si="8"/>
        <v>#VALUE!</v>
      </c>
      <c r="J47" s="200" t="e">
        <f t="shared" si="8"/>
        <v>#VALUE!</v>
      </c>
      <c r="K47" s="200" t="e">
        <f t="shared" si="8"/>
        <v>#VALUE!</v>
      </c>
      <c r="L47" s="194" t="e">
        <f t="shared" si="8"/>
        <v>#VALUE!</v>
      </c>
      <c r="M47" s="200" t="e">
        <f t="shared" si="8"/>
        <v>#VALUE!</v>
      </c>
      <c r="N47" s="200" t="e">
        <f t="shared" si="8"/>
        <v>#VALUE!</v>
      </c>
      <c r="O47" s="200" t="e">
        <f t="shared" si="8"/>
        <v>#VALUE!</v>
      </c>
      <c r="P47" s="73" t="e">
        <f t="shared" si="8"/>
        <v>#VALUE!</v>
      </c>
      <c r="Q47" s="11"/>
    </row>
    <row r="48" spans="5:20" ht="15.9" hidden="1" customHeight="1" outlineLevel="1" x14ac:dyDescent="0.4">
      <c r="E48" s="1"/>
      <c r="F48" s="1">
        <v>2</v>
      </c>
      <c r="G48" s="64"/>
      <c r="H48" s="200" t="e">
        <f>$H$23+H37+H38</f>
        <v>#VALUE!</v>
      </c>
      <c r="I48" s="200" t="e">
        <f t="shared" ref="I48:P48" si="9">$H$23</f>
        <v>#VALUE!</v>
      </c>
      <c r="J48" s="200" t="e">
        <f t="shared" si="9"/>
        <v>#VALUE!</v>
      </c>
      <c r="K48" s="200" t="e">
        <f t="shared" si="9"/>
        <v>#VALUE!</v>
      </c>
      <c r="L48" s="194" t="e">
        <f t="shared" si="9"/>
        <v>#VALUE!</v>
      </c>
      <c r="M48" s="200" t="e">
        <f t="shared" si="9"/>
        <v>#VALUE!</v>
      </c>
      <c r="N48" s="200" t="e">
        <f t="shared" si="9"/>
        <v>#VALUE!</v>
      </c>
      <c r="O48" s="200" t="e">
        <f t="shared" si="9"/>
        <v>#VALUE!</v>
      </c>
      <c r="P48" s="73" t="e">
        <f t="shared" si="9"/>
        <v>#VALUE!</v>
      </c>
      <c r="Q48" s="11"/>
    </row>
    <row r="49" spans="5:17" ht="15.9" hidden="1" customHeight="1" outlineLevel="1" x14ac:dyDescent="0.4">
      <c r="E49" s="1"/>
      <c r="F49" s="1">
        <v>3</v>
      </c>
      <c r="G49" s="64"/>
      <c r="H49" s="195"/>
      <c r="I49" s="200" t="e">
        <f>$I$23+I37+I38</f>
        <v>#VALUE!</v>
      </c>
      <c r="J49" s="200" t="e">
        <f t="shared" ref="J49:P49" si="10">$I$23</f>
        <v>#VALUE!</v>
      </c>
      <c r="K49" s="200" t="e">
        <f t="shared" si="10"/>
        <v>#VALUE!</v>
      </c>
      <c r="L49" s="194" t="e">
        <f t="shared" si="10"/>
        <v>#VALUE!</v>
      </c>
      <c r="M49" s="200" t="e">
        <f t="shared" si="10"/>
        <v>#VALUE!</v>
      </c>
      <c r="N49" s="200" t="e">
        <f t="shared" si="10"/>
        <v>#VALUE!</v>
      </c>
      <c r="O49" s="200" t="e">
        <f t="shared" si="10"/>
        <v>#VALUE!</v>
      </c>
      <c r="P49" s="73" t="e">
        <f t="shared" si="10"/>
        <v>#VALUE!</v>
      </c>
      <c r="Q49" s="11"/>
    </row>
    <row r="50" spans="5:17" ht="15.9" hidden="1" customHeight="1" outlineLevel="1" x14ac:dyDescent="0.4">
      <c r="E50" s="1"/>
      <c r="F50" s="1">
        <v>4</v>
      </c>
      <c r="G50" s="64"/>
      <c r="H50" s="195"/>
      <c r="I50" s="195"/>
      <c r="J50" s="200" t="e">
        <f>$J$23+J37+J38</f>
        <v>#VALUE!</v>
      </c>
      <c r="K50" s="200" t="e">
        <f t="shared" ref="K50:P50" si="11">$J$23</f>
        <v>#VALUE!</v>
      </c>
      <c r="L50" s="194" t="e">
        <f t="shared" si="11"/>
        <v>#VALUE!</v>
      </c>
      <c r="M50" s="200" t="e">
        <f t="shared" si="11"/>
        <v>#VALUE!</v>
      </c>
      <c r="N50" s="200" t="e">
        <f t="shared" si="11"/>
        <v>#VALUE!</v>
      </c>
      <c r="O50" s="200" t="e">
        <f t="shared" si="11"/>
        <v>#VALUE!</v>
      </c>
      <c r="P50" s="73" t="e">
        <f t="shared" si="11"/>
        <v>#VALUE!</v>
      </c>
      <c r="Q50" s="11"/>
    </row>
    <row r="51" spans="5:17" ht="15.9" hidden="1" customHeight="1" outlineLevel="1" x14ac:dyDescent="0.4">
      <c r="E51" s="1"/>
      <c r="F51" s="1">
        <v>5</v>
      </c>
      <c r="G51" s="64"/>
      <c r="H51" s="195"/>
      <c r="I51" s="195"/>
      <c r="J51" s="195"/>
      <c r="K51" s="200" t="e">
        <f>$K$23+K37+K38</f>
        <v>#VALUE!</v>
      </c>
      <c r="L51" s="194" t="e">
        <f>$K$23</f>
        <v>#VALUE!</v>
      </c>
      <c r="M51" s="200" t="e">
        <f>$K$23</f>
        <v>#VALUE!</v>
      </c>
      <c r="N51" s="200" t="e">
        <f>$K$23</f>
        <v>#VALUE!</v>
      </c>
      <c r="O51" s="200" t="e">
        <f>$K$23</f>
        <v>#VALUE!</v>
      </c>
      <c r="P51" s="73" t="e">
        <f>$K$23</f>
        <v>#VALUE!</v>
      </c>
      <c r="Q51" s="11"/>
    </row>
    <row r="52" spans="5:17" ht="15.9" hidden="1" customHeight="1" outlineLevel="1" x14ac:dyDescent="0.4">
      <c r="E52" s="1"/>
      <c r="F52" s="1">
        <v>6</v>
      </c>
      <c r="G52" s="64"/>
      <c r="H52" s="195"/>
      <c r="I52" s="195"/>
      <c r="J52" s="195"/>
      <c r="K52" s="195"/>
      <c r="L52" s="194" t="e">
        <f>$L$23+L37+L38</f>
        <v>#VALUE!</v>
      </c>
      <c r="M52" s="200" t="e">
        <f t="shared" ref="M52:P52" si="12">$L$23</f>
        <v>#VALUE!</v>
      </c>
      <c r="N52" s="200" t="e">
        <f t="shared" si="12"/>
        <v>#VALUE!</v>
      </c>
      <c r="O52" s="200" t="e">
        <f t="shared" si="12"/>
        <v>#VALUE!</v>
      </c>
      <c r="P52" s="73" t="e">
        <f t="shared" si="12"/>
        <v>#VALUE!</v>
      </c>
      <c r="Q52" s="11"/>
    </row>
    <row r="53" spans="5:17" ht="15.9" hidden="1" customHeight="1" outlineLevel="1" x14ac:dyDescent="0.4">
      <c r="E53" s="1"/>
      <c r="F53" s="1">
        <v>7</v>
      </c>
      <c r="G53" s="64"/>
      <c r="H53" s="195"/>
      <c r="I53" s="195"/>
      <c r="J53" s="195"/>
      <c r="K53" s="195"/>
      <c r="L53" s="64"/>
      <c r="M53" s="200" t="e">
        <f>$M$23+M37+M38</f>
        <v>#VALUE!</v>
      </c>
      <c r="N53" s="200" t="e">
        <f t="shared" ref="N53:P53" si="13">$M$23</f>
        <v>#VALUE!</v>
      </c>
      <c r="O53" s="200" t="e">
        <f t="shared" si="13"/>
        <v>#VALUE!</v>
      </c>
      <c r="P53" s="73" t="e">
        <f t="shared" si="13"/>
        <v>#VALUE!</v>
      </c>
      <c r="Q53" s="11"/>
    </row>
    <row r="54" spans="5:17" ht="15.9" hidden="1" customHeight="1" outlineLevel="1" x14ac:dyDescent="0.4">
      <c r="E54" s="1"/>
      <c r="F54" s="1">
        <v>8</v>
      </c>
      <c r="G54" s="64"/>
      <c r="H54" s="195"/>
      <c r="I54" s="195"/>
      <c r="J54" s="195"/>
      <c r="K54" s="195"/>
      <c r="L54" s="64"/>
      <c r="M54" s="195"/>
      <c r="N54" s="200" t="e">
        <f>$N$23+N37+N38</f>
        <v>#VALUE!</v>
      </c>
      <c r="O54" s="200" t="e">
        <f t="shared" ref="O54:P54" si="14">$N$23</f>
        <v>#VALUE!</v>
      </c>
      <c r="P54" s="73" t="e">
        <f t="shared" si="14"/>
        <v>#VALUE!</v>
      </c>
      <c r="Q54" s="11"/>
    </row>
    <row r="55" spans="5:17" ht="15.9" hidden="1" customHeight="1" outlineLevel="1" x14ac:dyDescent="0.4">
      <c r="E55" s="1"/>
      <c r="F55" s="1">
        <v>9</v>
      </c>
      <c r="G55" s="64"/>
      <c r="H55" s="195"/>
      <c r="I55" s="195"/>
      <c r="J55" s="195"/>
      <c r="K55" s="195"/>
      <c r="L55" s="64"/>
      <c r="M55" s="195"/>
      <c r="N55" s="195"/>
      <c r="O55" s="200" t="e">
        <f>$O$23+O37+O38</f>
        <v>#VALUE!</v>
      </c>
      <c r="P55" s="73" t="e">
        <f>$O$23</f>
        <v>#VALUE!</v>
      </c>
      <c r="Q55" s="11"/>
    </row>
    <row r="56" spans="5:17" ht="15.9" hidden="1" customHeight="1" outlineLevel="1" x14ac:dyDescent="0.4">
      <c r="E56" s="1"/>
      <c r="F56" s="1">
        <v>10</v>
      </c>
      <c r="G56" s="64"/>
      <c r="H56" s="195"/>
      <c r="I56" s="195"/>
      <c r="J56" s="195"/>
      <c r="K56" s="195"/>
      <c r="L56" s="64"/>
      <c r="M56" s="195"/>
      <c r="N56" s="195"/>
      <c r="O56" s="195"/>
      <c r="P56" s="73" t="e">
        <f>$P$23+P37+P38</f>
        <v>#VALUE!</v>
      </c>
      <c r="Q56" s="11"/>
    </row>
    <row r="57" spans="5:17" ht="15.9" customHeight="1" collapsed="1" x14ac:dyDescent="0.4">
      <c r="E57" s="1" t="s">
        <v>176</v>
      </c>
      <c r="F57" s="1"/>
      <c r="G57" s="192" t="e">
        <f t="shared" ref="G57:P57" ca="1" si="15">IRR(G58:G68)</f>
        <v>#VALUE!</v>
      </c>
      <c r="H57" s="198" t="e">
        <f t="shared" ca="1" si="15"/>
        <v>#VALUE!</v>
      </c>
      <c r="I57" s="198" t="e">
        <f t="shared" ca="1" si="15"/>
        <v>#VALUE!</v>
      </c>
      <c r="J57" s="198" t="e">
        <f t="shared" ca="1" si="15"/>
        <v>#VALUE!</v>
      </c>
      <c r="K57" s="198" t="e">
        <f t="shared" ca="1" si="15"/>
        <v>#VALUE!</v>
      </c>
      <c r="L57" s="192" t="e">
        <f t="shared" ca="1" si="15"/>
        <v>#VALUE!</v>
      </c>
      <c r="M57" s="198" t="e">
        <f t="shared" ca="1" si="15"/>
        <v>#VALUE!</v>
      </c>
      <c r="N57" s="198" t="e">
        <f t="shared" ca="1" si="15"/>
        <v>#VALUE!</v>
      </c>
      <c r="O57" s="198" t="e">
        <f t="shared" ca="1" si="15"/>
        <v>#VALUE!</v>
      </c>
      <c r="P57" s="188" t="e">
        <f t="shared" ca="1" si="15"/>
        <v>#VALUE!</v>
      </c>
      <c r="Q57" s="11"/>
    </row>
    <row r="58" spans="5:17" ht="15.9" hidden="1" customHeight="1" outlineLevel="1" x14ac:dyDescent="0.4">
      <c r="E58" s="1"/>
      <c r="F58" s="1">
        <v>0</v>
      </c>
      <c r="G58" s="194">
        <f>$F$43</f>
        <v>0</v>
      </c>
      <c r="H58" s="200">
        <f t="shared" ref="H58:P58" si="16">$F$43</f>
        <v>0</v>
      </c>
      <c r="I58" s="200">
        <f t="shared" si="16"/>
        <v>0</v>
      </c>
      <c r="J58" s="200">
        <f t="shared" si="16"/>
        <v>0</v>
      </c>
      <c r="K58" s="200">
        <f t="shared" si="16"/>
        <v>0</v>
      </c>
      <c r="L58" s="194">
        <f t="shared" si="16"/>
        <v>0</v>
      </c>
      <c r="M58" s="200">
        <f t="shared" si="16"/>
        <v>0</v>
      </c>
      <c r="N58" s="200">
        <f t="shared" si="16"/>
        <v>0</v>
      </c>
      <c r="O58" s="200">
        <f t="shared" si="16"/>
        <v>0</v>
      </c>
      <c r="P58" s="73">
        <f t="shared" si="16"/>
        <v>0</v>
      </c>
      <c r="Q58" s="11"/>
    </row>
    <row r="59" spans="5:17" ht="15.9" hidden="1" customHeight="1" outlineLevel="1" x14ac:dyDescent="0.4">
      <c r="E59" s="1"/>
      <c r="F59" s="1">
        <v>1</v>
      </c>
      <c r="G59" s="194" t="e">
        <f ca="1">$G$30+G43</f>
        <v>#NUM!</v>
      </c>
      <c r="H59" s="200" t="e">
        <f t="shared" ref="H59:P59" ca="1" si="17">$G$30</f>
        <v>#NUM!</v>
      </c>
      <c r="I59" s="200" t="e">
        <f t="shared" ca="1" si="17"/>
        <v>#NUM!</v>
      </c>
      <c r="J59" s="200" t="e">
        <f t="shared" ca="1" si="17"/>
        <v>#NUM!</v>
      </c>
      <c r="K59" s="200" t="e">
        <f t="shared" ca="1" si="17"/>
        <v>#NUM!</v>
      </c>
      <c r="L59" s="194" t="e">
        <f t="shared" ca="1" si="17"/>
        <v>#NUM!</v>
      </c>
      <c r="M59" s="200" t="e">
        <f t="shared" ca="1" si="17"/>
        <v>#NUM!</v>
      </c>
      <c r="N59" s="200" t="e">
        <f t="shared" ca="1" si="17"/>
        <v>#NUM!</v>
      </c>
      <c r="O59" s="200" t="e">
        <f t="shared" ca="1" si="17"/>
        <v>#NUM!</v>
      </c>
      <c r="P59" s="73" t="e">
        <f t="shared" ca="1" si="17"/>
        <v>#NUM!</v>
      </c>
      <c r="Q59" s="11"/>
    </row>
    <row r="60" spans="5:17" ht="15.9" hidden="1" customHeight="1" outlineLevel="1" x14ac:dyDescent="0.4">
      <c r="E60" s="1"/>
      <c r="F60" s="1">
        <v>2</v>
      </c>
      <c r="G60" s="64"/>
      <c r="H60" s="200" t="e">
        <f ca="1">$H$30+H43</f>
        <v>#NUM!</v>
      </c>
      <c r="I60" s="200" t="e">
        <f t="shared" ref="I60:P60" ca="1" si="18">$H$30</f>
        <v>#NUM!</v>
      </c>
      <c r="J60" s="200" t="e">
        <f t="shared" ca="1" si="18"/>
        <v>#NUM!</v>
      </c>
      <c r="K60" s="200" t="e">
        <f t="shared" ca="1" si="18"/>
        <v>#NUM!</v>
      </c>
      <c r="L60" s="194" t="e">
        <f t="shared" ca="1" si="18"/>
        <v>#NUM!</v>
      </c>
      <c r="M60" s="200" t="e">
        <f t="shared" ca="1" si="18"/>
        <v>#NUM!</v>
      </c>
      <c r="N60" s="200" t="e">
        <f t="shared" ca="1" si="18"/>
        <v>#NUM!</v>
      </c>
      <c r="O60" s="200" t="e">
        <f t="shared" ca="1" si="18"/>
        <v>#NUM!</v>
      </c>
      <c r="P60" s="73" t="e">
        <f t="shared" ca="1" si="18"/>
        <v>#NUM!</v>
      </c>
      <c r="Q60" s="11"/>
    </row>
    <row r="61" spans="5:17" ht="15.9" hidden="1" customHeight="1" outlineLevel="1" x14ac:dyDescent="0.4">
      <c r="E61" s="1"/>
      <c r="F61" s="1">
        <v>3</v>
      </c>
      <c r="G61" s="64"/>
      <c r="H61" s="195"/>
      <c r="I61" s="200" t="e">
        <f ca="1">$I$30+I43</f>
        <v>#NUM!</v>
      </c>
      <c r="J61" s="200" t="e">
        <f t="shared" ref="J61:P61" ca="1" si="19">$I$30</f>
        <v>#NUM!</v>
      </c>
      <c r="K61" s="200" t="e">
        <f t="shared" ca="1" si="19"/>
        <v>#NUM!</v>
      </c>
      <c r="L61" s="194" t="e">
        <f t="shared" ca="1" si="19"/>
        <v>#NUM!</v>
      </c>
      <c r="M61" s="200" t="e">
        <f t="shared" ca="1" si="19"/>
        <v>#NUM!</v>
      </c>
      <c r="N61" s="200" t="e">
        <f t="shared" ca="1" si="19"/>
        <v>#NUM!</v>
      </c>
      <c r="O61" s="200" t="e">
        <f t="shared" ca="1" si="19"/>
        <v>#NUM!</v>
      </c>
      <c r="P61" s="73" t="e">
        <f t="shared" ca="1" si="19"/>
        <v>#NUM!</v>
      </c>
      <c r="Q61" s="11"/>
    </row>
    <row r="62" spans="5:17" ht="15.9" hidden="1" customHeight="1" outlineLevel="1" x14ac:dyDescent="0.4">
      <c r="E62" s="1"/>
      <c r="F62" s="1">
        <v>4</v>
      </c>
      <c r="G62" s="64"/>
      <c r="H62" s="195"/>
      <c r="I62" s="195"/>
      <c r="J62" s="200" t="e">
        <f ca="1">$J$30+J43</f>
        <v>#NUM!</v>
      </c>
      <c r="K62" s="200" t="e">
        <f t="shared" ref="K62:P62" ca="1" si="20">$J$30</f>
        <v>#NUM!</v>
      </c>
      <c r="L62" s="194" t="e">
        <f t="shared" ca="1" si="20"/>
        <v>#NUM!</v>
      </c>
      <c r="M62" s="200" t="e">
        <f t="shared" ca="1" si="20"/>
        <v>#NUM!</v>
      </c>
      <c r="N62" s="200" t="e">
        <f t="shared" ca="1" si="20"/>
        <v>#NUM!</v>
      </c>
      <c r="O62" s="200" t="e">
        <f t="shared" ca="1" si="20"/>
        <v>#NUM!</v>
      </c>
      <c r="P62" s="73" t="e">
        <f t="shared" ca="1" si="20"/>
        <v>#NUM!</v>
      </c>
      <c r="Q62" s="11"/>
    </row>
    <row r="63" spans="5:17" ht="15.9" hidden="1" customHeight="1" outlineLevel="1" x14ac:dyDescent="0.4">
      <c r="E63" s="1"/>
      <c r="F63" s="1">
        <v>5</v>
      </c>
      <c r="G63" s="64"/>
      <c r="H63" s="195"/>
      <c r="I63" s="195"/>
      <c r="J63" s="195"/>
      <c r="K63" s="200" t="e">
        <f ca="1">$K$30+K43</f>
        <v>#NUM!</v>
      </c>
      <c r="L63" s="194" t="e">
        <f ca="1">$K$30</f>
        <v>#NUM!</v>
      </c>
      <c r="M63" s="200" t="e">
        <f ca="1">$K$30</f>
        <v>#NUM!</v>
      </c>
      <c r="N63" s="200" t="e">
        <f ca="1">$K$30</f>
        <v>#NUM!</v>
      </c>
      <c r="O63" s="200" t="e">
        <f ca="1">$K$30</f>
        <v>#NUM!</v>
      </c>
      <c r="P63" s="73" t="e">
        <f ca="1">$K$30</f>
        <v>#NUM!</v>
      </c>
      <c r="Q63" s="11"/>
    </row>
    <row r="64" spans="5:17" ht="15.9" hidden="1" customHeight="1" outlineLevel="1" x14ac:dyDescent="0.4">
      <c r="E64" s="1"/>
      <c r="F64" s="1">
        <v>6</v>
      </c>
      <c r="G64" s="64"/>
      <c r="H64" s="195"/>
      <c r="I64" s="195"/>
      <c r="J64" s="195"/>
      <c r="K64" s="195"/>
      <c r="L64" s="194" t="e">
        <f ca="1">$L$30+L43</f>
        <v>#NUM!</v>
      </c>
      <c r="M64" s="200" t="e">
        <f t="shared" ref="M64:P64" ca="1" si="21">$L$30</f>
        <v>#NUM!</v>
      </c>
      <c r="N64" s="200" t="e">
        <f t="shared" ca="1" si="21"/>
        <v>#NUM!</v>
      </c>
      <c r="O64" s="200" t="e">
        <f t="shared" ca="1" si="21"/>
        <v>#NUM!</v>
      </c>
      <c r="P64" s="73" t="e">
        <f t="shared" ca="1" si="21"/>
        <v>#NUM!</v>
      </c>
      <c r="Q64" s="11"/>
    </row>
    <row r="65" spans="5:20" ht="15.9" hidden="1" customHeight="1" outlineLevel="1" x14ac:dyDescent="0.4">
      <c r="E65" s="1"/>
      <c r="F65" s="1">
        <v>7</v>
      </c>
      <c r="G65" s="64"/>
      <c r="H65" s="195"/>
      <c r="I65" s="195"/>
      <c r="J65" s="195"/>
      <c r="K65" s="195"/>
      <c r="L65" s="194"/>
      <c r="M65" s="200" t="e">
        <f ca="1">$M$30+M43</f>
        <v>#NUM!</v>
      </c>
      <c r="N65" s="200" t="e">
        <f t="shared" ref="N65:P65" ca="1" si="22">$M$30</f>
        <v>#NUM!</v>
      </c>
      <c r="O65" s="200" t="e">
        <f t="shared" ca="1" si="22"/>
        <v>#NUM!</v>
      </c>
      <c r="P65" s="73" t="e">
        <f t="shared" ca="1" si="22"/>
        <v>#NUM!</v>
      </c>
      <c r="Q65" s="11"/>
    </row>
    <row r="66" spans="5:20" ht="15.9" hidden="1" customHeight="1" outlineLevel="1" x14ac:dyDescent="0.4">
      <c r="E66" s="1"/>
      <c r="F66" s="1">
        <v>8</v>
      </c>
      <c r="G66" s="64"/>
      <c r="H66" s="195"/>
      <c r="I66" s="195"/>
      <c r="J66" s="195"/>
      <c r="K66" s="195"/>
      <c r="L66" s="194"/>
      <c r="M66" s="200"/>
      <c r="N66" s="200" t="e">
        <f ca="1">$N$30+N43</f>
        <v>#NUM!</v>
      </c>
      <c r="O66" s="200" t="e">
        <f t="shared" ref="O66:P66" ca="1" si="23">$N$30</f>
        <v>#NUM!</v>
      </c>
      <c r="P66" s="73" t="e">
        <f t="shared" ca="1" si="23"/>
        <v>#NUM!</v>
      </c>
      <c r="Q66" s="11"/>
    </row>
    <row r="67" spans="5:20" ht="15.9" hidden="1" customHeight="1" outlineLevel="1" x14ac:dyDescent="0.4">
      <c r="E67" s="1"/>
      <c r="F67" s="1">
        <v>9</v>
      </c>
      <c r="G67" s="64"/>
      <c r="H67" s="195"/>
      <c r="I67" s="195"/>
      <c r="J67" s="195"/>
      <c r="K67" s="195"/>
      <c r="L67" s="64"/>
      <c r="M67" s="195"/>
      <c r="N67" s="200"/>
      <c r="O67" s="200" t="e">
        <f ca="1">$O$30+O43</f>
        <v>#NUM!</v>
      </c>
      <c r="P67" s="73" t="e">
        <f ca="1">$O$30</f>
        <v>#NUM!</v>
      </c>
      <c r="Q67" s="11"/>
    </row>
    <row r="68" spans="5:20" ht="15.9" hidden="1" customHeight="1" outlineLevel="1" x14ac:dyDescent="0.4">
      <c r="E68" s="1"/>
      <c r="F68" s="1">
        <v>10</v>
      </c>
      <c r="G68" s="64"/>
      <c r="H68" s="195"/>
      <c r="I68" s="195"/>
      <c r="J68" s="195"/>
      <c r="K68" s="195"/>
      <c r="L68" s="64"/>
      <c r="M68" s="195"/>
      <c r="N68" s="195"/>
      <c r="O68" s="195"/>
      <c r="P68" s="73" t="e">
        <f ca="1">$P$30+P43</f>
        <v>#NUM!</v>
      </c>
      <c r="Q68" s="11"/>
    </row>
    <row r="69" spans="5:20" ht="15.9" customHeight="1" collapsed="1" x14ac:dyDescent="0.4">
      <c r="E69" s="1" t="s">
        <v>140</v>
      </c>
      <c r="F69" s="1"/>
      <c r="G69" s="191" t="e">
        <f ca="1">(SUM($G$30:G30)+G43)/-$F$43</f>
        <v>#NUM!</v>
      </c>
      <c r="H69" s="197" t="e">
        <f ca="1">(SUM($G$30:H30)+H43)/-$F$43</f>
        <v>#NUM!</v>
      </c>
      <c r="I69" s="197" t="e">
        <f ca="1">(SUM($G$30:I30)+I43)/-$F$43</f>
        <v>#NUM!</v>
      </c>
      <c r="J69" s="197" t="e">
        <f ca="1">(SUM($G$30:J30)+J43)/-$F$43</f>
        <v>#NUM!</v>
      </c>
      <c r="K69" s="197" t="e">
        <f ca="1">(SUM($G$30:K30)+K43)/-$F$43</f>
        <v>#NUM!</v>
      </c>
      <c r="L69" s="191" t="e">
        <f ca="1">(SUM($G$30:L30)+L43)/-$F$43</f>
        <v>#NUM!</v>
      </c>
      <c r="M69" s="197" t="e">
        <f ca="1">(SUM($G$30:M30)+M43)/-$F$43</f>
        <v>#NUM!</v>
      </c>
      <c r="N69" s="197" t="e">
        <f ca="1">(SUM($G$30:N30)+N43)/-$F$43</f>
        <v>#NUM!</v>
      </c>
      <c r="O69" s="197" t="e">
        <f ca="1">(SUM($G$30:O30)+O43)/-$F$43</f>
        <v>#NUM!</v>
      </c>
      <c r="P69" s="186" t="e">
        <f ca="1">(SUM($G$30:P30)+P43)/-$F$43</f>
        <v>#NUM!</v>
      </c>
      <c r="Q69" s="11"/>
    </row>
    <row r="70" spans="5:20" ht="15.9" customHeight="1" x14ac:dyDescent="0.4">
      <c r="E70" s="1"/>
      <c r="F70" s="1"/>
      <c r="G70" s="64"/>
      <c r="H70" s="195"/>
      <c r="I70" s="195"/>
      <c r="J70" s="195"/>
      <c r="K70" s="195"/>
      <c r="L70" s="64"/>
      <c r="M70" s="195"/>
      <c r="N70" s="195"/>
      <c r="O70" s="195"/>
      <c r="P70" s="11"/>
      <c r="Q70" s="11"/>
    </row>
    <row r="71" spans="5:20" ht="15.9" customHeight="1" x14ac:dyDescent="0.4">
      <c r="E71" s="1" t="s">
        <v>177</v>
      </c>
      <c r="F71" s="1"/>
      <c r="G71" s="192" t="e">
        <f t="shared" ref="G71:P71" si="24">G19/G73</f>
        <v>#VALUE!</v>
      </c>
      <c r="H71" s="198" t="e">
        <f t="shared" si="24"/>
        <v>#VALUE!</v>
      </c>
      <c r="I71" s="198" t="e">
        <f t="shared" si="24"/>
        <v>#VALUE!</v>
      </c>
      <c r="J71" s="198" t="e">
        <f t="shared" si="24"/>
        <v>#VALUE!</v>
      </c>
      <c r="K71" s="198" t="e">
        <f t="shared" si="24"/>
        <v>#VALUE!</v>
      </c>
      <c r="L71" s="192" t="e">
        <f t="shared" si="24"/>
        <v>#VALUE!</v>
      </c>
      <c r="M71" s="198" t="e">
        <f t="shared" si="24"/>
        <v>#VALUE!</v>
      </c>
      <c r="N71" s="198" t="e">
        <f t="shared" si="24"/>
        <v>#VALUE!</v>
      </c>
      <c r="O71" s="198" t="e">
        <f t="shared" si="24"/>
        <v>#VALUE!</v>
      </c>
      <c r="P71" s="188" t="e">
        <f t="shared" si="24"/>
        <v>#VALUE!</v>
      </c>
      <c r="Q71" s="11"/>
    </row>
    <row r="72" spans="5:20" ht="15.9" customHeight="1" x14ac:dyDescent="0.4">
      <c r="E72" s="1" t="s">
        <v>178</v>
      </c>
      <c r="F72" s="1"/>
      <c r="G72" s="192" t="e">
        <f t="shared" ref="G72:P72" ca="1" si="25">(G30-G22)/G74</f>
        <v>#NUM!</v>
      </c>
      <c r="H72" s="198" t="e">
        <f t="shared" ca="1" si="25"/>
        <v>#NUM!</v>
      </c>
      <c r="I72" s="198" t="e">
        <f t="shared" ca="1" si="25"/>
        <v>#NUM!</v>
      </c>
      <c r="J72" s="198" t="e">
        <f t="shared" ca="1" si="25"/>
        <v>#NUM!</v>
      </c>
      <c r="K72" s="198" t="e">
        <f t="shared" ca="1" si="25"/>
        <v>#NUM!</v>
      </c>
      <c r="L72" s="192" t="e">
        <f t="shared" ca="1" si="25"/>
        <v>#NUM!</v>
      </c>
      <c r="M72" s="198" t="e">
        <f t="shared" ca="1" si="25"/>
        <v>#NUM!</v>
      </c>
      <c r="N72" s="198" t="e">
        <f t="shared" ca="1" si="25"/>
        <v>#NUM!</v>
      </c>
      <c r="O72" s="198" t="e">
        <f t="shared" ca="1" si="25"/>
        <v>#NUM!</v>
      </c>
      <c r="P72" s="188" t="e">
        <f t="shared" ca="1" si="25"/>
        <v>#NUM!</v>
      </c>
      <c r="Q72" s="11"/>
    </row>
    <row r="73" spans="5:20" ht="15.9" hidden="1" customHeight="1" outlineLevel="1" x14ac:dyDescent="0.35">
      <c r="E73" s="37" t="s">
        <v>95</v>
      </c>
      <c r="F73" s="65">
        <f>-F34-F35</f>
        <v>0</v>
      </c>
      <c r="G73" s="38">
        <f t="shared" ref="G73:P73" si="26">F73-SUM(G22:G22)</f>
        <v>0</v>
      </c>
      <c r="H73" s="38">
        <f t="shared" si="26"/>
        <v>0</v>
      </c>
      <c r="I73" s="38">
        <f t="shared" si="26"/>
        <v>0</v>
      </c>
      <c r="J73" s="38">
        <f t="shared" si="26"/>
        <v>0</v>
      </c>
      <c r="K73" s="38">
        <f t="shared" si="26"/>
        <v>0</v>
      </c>
      <c r="L73" s="164">
        <f t="shared" si="26"/>
        <v>0</v>
      </c>
      <c r="M73" s="38">
        <f t="shared" si="26"/>
        <v>0</v>
      </c>
      <c r="N73" s="38">
        <f t="shared" si="26"/>
        <v>0</v>
      </c>
      <c r="O73" s="38">
        <f t="shared" si="26"/>
        <v>0</v>
      </c>
      <c r="P73" s="38">
        <f t="shared" si="26"/>
        <v>0</v>
      </c>
      <c r="T73" s="65"/>
    </row>
    <row r="74" spans="5:20" ht="15.9" hidden="1" customHeight="1" outlineLevel="1" x14ac:dyDescent="0.35">
      <c r="E74" s="37" t="s">
        <v>96</v>
      </c>
      <c r="F74" s="65">
        <f>-F43</f>
        <v>0</v>
      </c>
      <c r="G74" s="38">
        <f t="shared" ref="G74:P74" si="27">F74-SUM(G22:G22)</f>
        <v>0</v>
      </c>
      <c r="H74" s="38">
        <f t="shared" si="27"/>
        <v>0</v>
      </c>
      <c r="I74" s="38">
        <f t="shared" si="27"/>
        <v>0</v>
      </c>
      <c r="J74" s="38">
        <f t="shared" si="27"/>
        <v>0</v>
      </c>
      <c r="K74" s="38">
        <f t="shared" si="27"/>
        <v>0</v>
      </c>
      <c r="L74" s="164">
        <f t="shared" si="27"/>
        <v>0</v>
      </c>
      <c r="M74" s="38">
        <f t="shared" si="27"/>
        <v>0</v>
      </c>
      <c r="N74" s="38">
        <f t="shared" si="27"/>
        <v>0</v>
      </c>
      <c r="O74" s="38">
        <f t="shared" si="27"/>
        <v>0</v>
      </c>
      <c r="P74" s="38">
        <f t="shared" si="27"/>
        <v>0</v>
      </c>
      <c r="T74" s="65"/>
    </row>
    <row r="75" spans="5:20" ht="15.9" customHeight="1" collapsed="1" x14ac:dyDescent="0.35">
      <c r="E75" s="65"/>
      <c r="F75" s="65"/>
      <c r="L75" s="203"/>
    </row>
  </sheetData>
  <conditionalFormatting sqref="F8:F13">
    <cfRule type="colorScale" priority="8">
      <colorScale>
        <cfvo type="min"/>
        <cfvo type="max"/>
        <color rgb="FFF8696B"/>
        <color rgb="FFFCFCFF"/>
      </colorScale>
    </cfRule>
  </conditionalFormatting>
  <conditionalFormatting sqref="F39:F42">
    <cfRule type="expression" dxfId="4" priority="1">
      <formula>F39&lt;0</formula>
    </cfRule>
  </conditionalFormatting>
  <conditionalFormatting sqref="F34:P35">
    <cfRule type="expression" dxfId="3" priority="2">
      <formula>F34&lt;0</formula>
    </cfRule>
  </conditionalFormatting>
  <conditionalFormatting sqref="G22:P22 G26:P29">
    <cfRule type="expression" dxfId="2" priority="59">
      <formula>G22&lt;0</formula>
    </cfRule>
  </conditionalFormatting>
  <conditionalFormatting sqref="G37:P39 F40:P40 G41:P42">
    <cfRule type="expression" dxfId="1" priority="6">
      <formula>F37&lt;0</formula>
    </cfRule>
  </conditionalFormatting>
  <conditionalFormatting sqref="G45:P45">
    <cfRule type="colorScale" priority="46">
      <colorScale>
        <cfvo type="min"/>
        <cfvo type="max"/>
        <color rgb="FFFCFCFF"/>
        <color rgb="FF63BE7B"/>
      </colorScale>
    </cfRule>
  </conditionalFormatting>
  <conditionalFormatting sqref="G57:P57">
    <cfRule type="colorScale" priority="47">
      <colorScale>
        <cfvo type="min"/>
        <cfvo type="max"/>
        <color rgb="FFFCFCFF"/>
        <color rgb="FF63BE7B"/>
      </colorScale>
    </cfRule>
  </conditionalFormatting>
  <conditionalFormatting sqref="G69:P69">
    <cfRule type="colorScale" priority="12">
      <colorScale>
        <cfvo type="min"/>
        <cfvo type="max"/>
        <color rgb="FFFCFCFF"/>
        <color rgb="FF63BE7B"/>
      </colorScale>
    </cfRule>
  </conditionalFormatting>
  <conditionalFormatting sqref="G71:P71">
    <cfRule type="colorScale" priority="11">
      <colorScale>
        <cfvo type="min"/>
        <cfvo type="max"/>
        <color rgb="FFFCFCFF"/>
        <color rgb="FF63BE7B"/>
      </colorScale>
    </cfRule>
  </conditionalFormatting>
  <conditionalFormatting sqref="G72:P72">
    <cfRule type="colorScale" priority="10">
      <colorScale>
        <cfvo type="min"/>
        <cfvo type="max"/>
        <color rgb="FFFCFCFF"/>
        <color rgb="FF63BE7B"/>
      </colorScale>
    </cfRule>
  </conditionalFormatting>
  <conditionalFormatting sqref="O3:P11">
    <cfRule type="expression" dxfId="0" priority="9">
      <formula>$C$6="No"</formula>
    </cfRule>
  </conditionalFormatting>
  <dataValidations disablePrompts="1" count="1">
    <dataValidation type="list" allowBlank="1" showInputMessage="1" showErrorMessage="1" sqref="D3:D4 C5:C6" xr:uid="{4D470A74-5F9D-455D-B05D-FE2BF2DF2E89}">
      <formula1>"Yes,No"</formula1>
    </dataValidation>
  </dataValidations>
  <pageMargins left="0.7" right="0.7" top="0.75" bottom="0.75" header="0.3" footer="0.3"/>
  <pageSetup scale="5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0517-35CE-4195-940E-C06DC0D92F19}">
  <sheetPr codeName="Sheet6"/>
  <dimension ref="B1:AP643"/>
  <sheetViews>
    <sheetView zoomScale="80" zoomScaleNormal="80" workbookViewId="0"/>
  </sheetViews>
  <sheetFormatPr defaultColWidth="9.109375" defaultRowHeight="16.8" outlineLevelCol="1" x14ac:dyDescent="0.4"/>
  <cols>
    <col min="1" max="1" width="1.109375" style="1" customWidth="1"/>
    <col min="2" max="2" width="7.5546875" style="7" customWidth="1"/>
    <col min="3" max="3" width="14.44140625" style="1" customWidth="1"/>
    <col min="4" max="4" width="13.77734375" style="2" customWidth="1"/>
    <col min="5" max="5" width="12.44140625" style="2" bestFit="1" customWidth="1"/>
    <col min="6" max="6" width="18.109375" style="2" customWidth="1"/>
    <col min="7" max="7" width="14.44140625" style="2" customWidth="1"/>
    <col min="8" max="8" width="9.44140625" style="2" customWidth="1"/>
    <col min="9" max="9" width="1.88671875" style="2" customWidth="1"/>
    <col min="10" max="10" width="19.6640625" style="1" hidden="1" customWidth="1" outlineLevel="1"/>
    <col min="11" max="21" width="10.6640625" style="1" hidden="1" customWidth="1" outlineLevel="1"/>
    <col min="22" max="22" width="4.77734375" style="1" customWidth="1" collapsed="1"/>
    <col min="23" max="23" width="14.77734375" style="1" bestFit="1" customWidth="1"/>
    <col min="24" max="24" width="14.21875" style="1" bestFit="1" customWidth="1"/>
    <col min="25" max="25" width="12.77734375" style="1" customWidth="1"/>
    <col min="26" max="26" width="17.21875" style="1" customWidth="1"/>
    <col min="27" max="27" width="14.77734375" style="1" bestFit="1" customWidth="1"/>
    <col min="28" max="28" width="9.44140625" style="1" customWidth="1"/>
    <col min="29" max="29" width="2.109375" style="1" customWidth="1"/>
    <col min="30" max="30" width="19.77734375" style="1" hidden="1" customWidth="1" outlineLevel="1"/>
    <col min="31" max="41" width="9.77734375" style="1" hidden="1" customWidth="1" outlineLevel="1"/>
    <col min="42" max="42" width="9.109375" style="1" collapsed="1"/>
    <col min="43" max="16384" width="9.109375" style="1"/>
  </cols>
  <sheetData>
    <row r="1" spans="2:41" x14ac:dyDescent="0.4">
      <c r="B1" s="66" t="s">
        <v>84</v>
      </c>
      <c r="C1" s="21"/>
      <c r="D1" s="8"/>
      <c r="E1" s="8"/>
      <c r="F1" s="8"/>
      <c r="G1" s="8"/>
      <c r="H1" s="8"/>
      <c r="I1" s="8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67" t="s">
        <v>85</v>
      </c>
      <c r="W1" s="68"/>
      <c r="X1" s="69"/>
      <c r="Y1" s="69"/>
      <c r="Z1" s="69"/>
      <c r="AA1" s="69"/>
      <c r="AB1" s="69"/>
    </row>
    <row r="2" spans="2:41" x14ac:dyDescent="0.4">
      <c r="J2" s="1" t="s">
        <v>193</v>
      </c>
      <c r="V2" s="7"/>
      <c r="X2" s="2"/>
      <c r="Y2" s="2"/>
      <c r="Z2" s="2"/>
      <c r="AA2" s="2"/>
      <c r="AB2" s="2"/>
      <c r="AD2" s="1" t="s">
        <v>193</v>
      </c>
    </row>
    <row r="3" spans="2:41" x14ac:dyDescent="0.4">
      <c r="C3" s="1" t="s">
        <v>151</v>
      </c>
      <c r="D3" s="159" t="str">
        <f>Summary!C22</f>
        <v>-</v>
      </c>
      <c r="F3" s="2" t="s">
        <v>169</v>
      </c>
      <c r="G3" s="159" t="str">
        <f>Summary!C30</f>
        <v>Yes</v>
      </c>
      <c r="J3" s="21"/>
      <c r="K3" s="61">
        <v>0</v>
      </c>
      <c r="L3" s="61">
        <v>1</v>
      </c>
      <c r="M3" s="61">
        <v>2</v>
      </c>
      <c r="N3" s="61">
        <v>3</v>
      </c>
      <c r="O3" s="61">
        <v>4</v>
      </c>
      <c r="P3" s="61">
        <v>5</v>
      </c>
      <c r="Q3" s="61">
        <v>6</v>
      </c>
      <c r="R3" s="61">
        <v>7</v>
      </c>
      <c r="S3" s="61">
        <v>8</v>
      </c>
      <c r="T3" s="61">
        <v>9</v>
      </c>
      <c r="U3" s="61">
        <v>10</v>
      </c>
      <c r="V3" s="7"/>
      <c r="W3" s="1" t="s">
        <v>151</v>
      </c>
      <c r="X3" s="159">
        <f>Summary!C34</f>
        <v>0</v>
      </c>
      <c r="Y3" s="2"/>
      <c r="Z3" s="2" t="s">
        <v>169</v>
      </c>
      <c r="AA3" s="159" t="str">
        <f>Summary!C42</f>
        <v>Yes</v>
      </c>
      <c r="AB3" s="2"/>
      <c r="AD3" s="68"/>
      <c r="AE3" s="70">
        <v>0</v>
      </c>
      <c r="AF3" s="70">
        <v>1</v>
      </c>
      <c r="AG3" s="70">
        <v>2</v>
      </c>
      <c r="AH3" s="70">
        <v>3</v>
      </c>
      <c r="AI3" s="70">
        <v>4</v>
      </c>
      <c r="AJ3" s="70">
        <v>5</v>
      </c>
      <c r="AK3" s="70">
        <v>6</v>
      </c>
      <c r="AL3" s="70">
        <v>7</v>
      </c>
      <c r="AM3" s="70">
        <v>8</v>
      </c>
      <c r="AN3" s="70">
        <v>9</v>
      </c>
      <c r="AO3" s="70">
        <v>10</v>
      </c>
    </row>
    <row r="4" spans="2:41" x14ac:dyDescent="0.4">
      <c r="C4" s="1" t="s">
        <v>97</v>
      </c>
      <c r="D4" s="160">
        <f>Valuation!C2</f>
        <v>0</v>
      </c>
      <c r="F4" s="2" t="s">
        <v>170</v>
      </c>
      <c r="G4" s="159">
        <f>Summary!C31</f>
        <v>0</v>
      </c>
      <c r="J4" s="58" t="s">
        <v>71</v>
      </c>
      <c r="K4" s="62">
        <f>G14</f>
        <v>0</v>
      </c>
      <c r="L4" s="62" t="e">
        <f ca="1">IF(L3*12&lt;=$G$6,0,IF(AND($G$6&gt;K3*12,$G$6&lt;M3*12),SUM(OFFSET($F$57,,,(L3*12)-$G$6+1,)),SUM(OFFSET($F$57,K3*12-$G$6+1,,12,))))</f>
        <v>#NUM!</v>
      </c>
      <c r="M4" s="62" t="e">
        <f t="shared" ref="M4:N4" ca="1" si="0">IF(M3*12&lt;=$G$6,0,IF(AND($G$6&gt;L3*12,$G$6&lt;N3*12),SUM(OFFSET($F$57,,,(M3*12)-$G$6+1,)),SUM(OFFSET($F$57,L3*12-$G$6+1,,12,))))</f>
        <v>#NUM!</v>
      </c>
      <c r="N4" s="62" t="e">
        <f t="shared" ca="1" si="0"/>
        <v>#NUM!</v>
      </c>
      <c r="O4" s="62" t="e">
        <f ca="1">IF(O3*12&lt;=$G$6,0,IF(AND($G$6&gt;N3*12,$G$6&lt;P3*12),SUM(OFFSET($F$57,,,(O3*12)-$G$6+1,)),SUM(OFFSET($F$57,N3*12-$G$6+1,,12,))))</f>
        <v>#NUM!</v>
      </c>
      <c r="P4" s="62" t="e">
        <f ca="1">IF(P3*12&lt;=$G$6,0,IF(AND($G$6&gt;O3*12,$G$6&lt;Q3*12),SUM(OFFSET($F$57,,,(P3*12)-$G$6+1,)),SUM(OFFSET($F$57,O3*12-$G$6+1,,12,))))</f>
        <v>#NUM!</v>
      </c>
      <c r="Q4" s="62" t="e">
        <f t="shared" ref="Q4:T4" ca="1" si="1">IF(Q3*12&lt;=$G$6,0,IF(AND($G$6&gt;P3*12,$G$6&lt;R3*12),SUM(OFFSET($F$57,,,(Q3*12)-$G$6+1,)),SUM(OFFSET($F$57,P3*12-$G$6+1,,12,))))</f>
        <v>#NUM!</v>
      </c>
      <c r="R4" s="62" t="e">
        <f t="shared" ca="1" si="1"/>
        <v>#NUM!</v>
      </c>
      <c r="S4" s="62" t="e">
        <f t="shared" ca="1" si="1"/>
        <v>#NUM!</v>
      </c>
      <c r="T4" s="62" t="e">
        <f t="shared" ca="1" si="1"/>
        <v>#NUM!</v>
      </c>
      <c r="U4" s="62" t="e">
        <f ca="1">IF(U3*12&lt;=$G$6,0,IF(AND($G$6&gt;T3*12,$G$6&lt;V3*12),SUM(OFFSET($F$57,,,(U3*12)-$G$6+1,)),SUM(OFFSET($F$57,T3*12-$G$6+1,,12,))))</f>
        <v>#NUM!</v>
      </c>
      <c r="V4" s="7"/>
      <c r="W4" s="1" t="s">
        <v>97</v>
      </c>
      <c r="X4" s="160">
        <f>D4</f>
        <v>0</v>
      </c>
      <c r="Y4" s="2"/>
      <c r="Z4" s="2" t="s">
        <v>170</v>
      </c>
      <c r="AA4" s="159">
        <f>Summary!C43</f>
        <v>0</v>
      </c>
      <c r="AB4" s="2"/>
      <c r="AD4" s="71" t="s">
        <v>71</v>
      </c>
      <c r="AE4" s="72">
        <f>AA14</f>
        <v>0</v>
      </c>
      <c r="AF4" s="72" t="e">
        <f ca="1">IF(AF3*12&lt;=$AA$6,0,IF(AND($AA$6&gt;AE3*12,$AA$6&lt;AG3*12),SUM(OFFSET($Z$57,,,(AF3*12)-$AA$6+1,)),SUM(OFFSET($Z$57,AE3*12-$AA$6+1,,12,))))</f>
        <v>#NUM!</v>
      </c>
      <c r="AG4" s="72" t="e">
        <f t="shared" ref="AG4:AO4" ca="1" si="2">IF(AG3*12&lt;=$AA$6,0,IF(AND($AA$6&gt;AF3*12,$AA$6&lt;AH3*12),SUM(OFFSET($Z$57,,,(AG3*12)-$AA$6+1,)),SUM(OFFSET($Z$57,AF3*12-$AA$6+1,,12,))))</f>
        <v>#NUM!</v>
      </c>
      <c r="AH4" s="72" t="e">
        <f t="shared" ca="1" si="2"/>
        <v>#NUM!</v>
      </c>
      <c r="AI4" s="72" t="e">
        <f t="shared" ca="1" si="2"/>
        <v>#NUM!</v>
      </c>
      <c r="AJ4" s="72" t="e">
        <f t="shared" ca="1" si="2"/>
        <v>#NUM!</v>
      </c>
      <c r="AK4" s="72" t="e">
        <f t="shared" ca="1" si="2"/>
        <v>#NUM!</v>
      </c>
      <c r="AL4" s="72" t="e">
        <f t="shared" ca="1" si="2"/>
        <v>#NUM!</v>
      </c>
      <c r="AM4" s="72" t="e">
        <f t="shared" ca="1" si="2"/>
        <v>#NUM!</v>
      </c>
      <c r="AN4" s="72" t="e">
        <f t="shared" ca="1" si="2"/>
        <v>#NUM!</v>
      </c>
      <c r="AO4" s="72" t="e">
        <f t="shared" ca="1" si="2"/>
        <v>#NUM!</v>
      </c>
    </row>
    <row r="5" spans="2:41" x14ac:dyDescent="0.4">
      <c r="C5" s="1" t="s">
        <v>152</v>
      </c>
      <c r="D5" s="161">
        <f>Summary!C23</f>
        <v>0</v>
      </c>
      <c r="G5" s="159"/>
      <c r="J5" s="58" t="s">
        <v>72</v>
      </c>
      <c r="K5" s="21"/>
      <c r="L5" s="62" t="e">
        <f ca="1">IF(L3*12&lt;=$G$6,$G$7*12,IF(AND($G$6&gt;K3*12,$G$6&lt;M3*12),($G$6-(K3*12))*$G$7+SUM(OFFSET($E$57,,,(L3*12)-$G$6+1,)),SUM(OFFSET($E$57,K3*12-$G$6+1,,12,))))</f>
        <v>#NUM!</v>
      </c>
      <c r="M5" s="62" t="e">
        <f ca="1">IF(M3*12&lt;=$G$6,$G$7*12,IF(AND($G$6&gt;L3*12,$G$6&lt;N3*12),($G$6-(L3*12))*$G$7+SUM(OFFSET($E$57,,,(M3*12)-$G$6+1,)),SUM(OFFSET($E$57,L3*12-$G$6+1,,12,))))</f>
        <v>#NUM!</v>
      </c>
      <c r="N5" s="62" t="e">
        <f ca="1">IF(N3*12&lt;=$G$6,$G$7*12,IF(AND($G$6&gt;M3*12,$G$6&lt;O3*12),($G$6-(M3*12))*$G$7+SUM(OFFSET($E$57,,,(N3*12)-$G$6+1,)),SUM(OFFSET($E$57,M3*12-$G$6+1,,12,))))</f>
        <v>#NUM!</v>
      </c>
      <c r="O5" s="62" t="e">
        <f t="shared" ref="O5:T5" ca="1" si="3">IF(O3*12&lt;=$G$6,$G$7*12,IF(AND($G$6&gt;N3*12,$G$6&lt;P3*12),($G$6-(N3*12))*$G$7+SUM(OFFSET($E$57,,,(O3*12)-$G$6+1,)),SUM(OFFSET($E$57,N3*12-$G$6+1,,12,))))</f>
        <v>#NUM!</v>
      </c>
      <c r="P5" s="62" t="e">
        <f t="shared" ca="1" si="3"/>
        <v>#NUM!</v>
      </c>
      <c r="Q5" s="62" t="e">
        <f t="shared" ca="1" si="3"/>
        <v>#NUM!</v>
      </c>
      <c r="R5" s="62" t="e">
        <f t="shared" ca="1" si="3"/>
        <v>#NUM!</v>
      </c>
      <c r="S5" s="62" t="e">
        <f t="shared" ca="1" si="3"/>
        <v>#NUM!</v>
      </c>
      <c r="T5" s="62" t="e">
        <f t="shared" ca="1" si="3"/>
        <v>#NUM!</v>
      </c>
      <c r="U5" s="62" t="e">
        <f ca="1">IF(U3*12&lt;=$G$6,$G$7*12,IF(AND($G$6&gt;T3*12,$G$6&lt;V3*12),($G$6-(T3*12))*$G$7+SUM(OFFSET($E$57,,,(U3*12)-$G$6+1,)),SUM(OFFSET($E$57,T3*12-$G$6+1,,12,))))</f>
        <v>#NUM!</v>
      </c>
      <c r="V5" s="7"/>
      <c r="W5" s="1" t="s">
        <v>152</v>
      </c>
      <c r="X5" s="161">
        <f>Summary!C35</f>
        <v>0</v>
      </c>
      <c r="Y5" s="2"/>
      <c r="Z5" s="2"/>
      <c r="AA5" s="2"/>
      <c r="AB5" s="2"/>
      <c r="AD5" s="71" t="s">
        <v>72</v>
      </c>
      <c r="AE5" s="68"/>
      <c r="AF5" s="72" t="e">
        <f ca="1">IF(AF3*12&lt;=$AA$6,$AA$7*12,IF(AND($AA$6&gt;AE3*12,$AA$6&lt;AG3*12),($AA$6-(AE3*12))*$AA$7+SUM(OFFSET($Y$57,,,(AF3*12)-$AA$6+1,)),SUM(OFFSET($Y$57,AE3*12-$AA$6+1,,12,))))</f>
        <v>#NUM!</v>
      </c>
      <c r="AG5" s="72" t="e">
        <f t="shared" ref="AG5:AO5" ca="1" si="4">IF(AG3*12&lt;=$AA$6,$AA$7*12,IF(AND($AA$6&gt;AF3*12,$AA$6&lt;AH3*12),($AA$6-(AF3*12))*$AA$7+SUM(OFFSET($Y$57,,,(AG3*12)-$AA$6+1,)),SUM(OFFSET($Y$57,AF3*12-$AA$6+1,,12,))))</f>
        <v>#NUM!</v>
      </c>
      <c r="AH5" s="72" t="e">
        <f t="shared" ca="1" si="4"/>
        <v>#NUM!</v>
      </c>
      <c r="AI5" s="72" t="e">
        <f t="shared" ca="1" si="4"/>
        <v>#NUM!</v>
      </c>
      <c r="AJ5" s="72" t="e">
        <f t="shared" ca="1" si="4"/>
        <v>#NUM!</v>
      </c>
      <c r="AK5" s="72" t="e">
        <f t="shared" ca="1" si="4"/>
        <v>#NUM!</v>
      </c>
      <c r="AL5" s="72" t="e">
        <f t="shared" ca="1" si="4"/>
        <v>#NUM!</v>
      </c>
      <c r="AM5" s="72" t="e">
        <f t="shared" ca="1" si="4"/>
        <v>#NUM!</v>
      </c>
      <c r="AN5" s="72" t="e">
        <f t="shared" ca="1" si="4"/>
        <v>#NUM!</v>
      </c>
      <c r="AO5" s="72" t="e">
        <f t="shared" ca="1" si="4"/>
        <v>#NUM!</v>
      </c>
    </row>
    <row r="6" spans="2:41" x14ac:dyDescent="0.4">
      <c r="C6" s="1" t="s">
        <v>153</v>
      </c>
      <c r="D6" s="160">
        <f>Summary!C24</f>
        <v>0</v>
      </c>
      <c r="F6" s="2" t="s">
        <v>171</v>
      </c>
      <c r="G6" s="159">
        <f>Summary!C29</f>
        <v>0</v>
      </c>
      <c r="J6" s="58" t="s">
        <v>70</v>
      </c>
      <c r="K6" s="62">
        <f ca="1">-OFFSET($G$14,K3,,,)</f>
        <v>0</v>
      </c>
      <c r="L6" s="62" t="e">
        <f ca="1">IF(L4=0,K6,K6+L4)</f>
        <v>#NUM!</v>
      </c>
      <c r="M6" s="62" t="e">
        <f t="shared" ref="M6:U6" ca="1" si="5">IF(M4=0,L6,L6+M4)</f>
        <v>#NUM!</v>
      </c>
      <c r="N6" s="62" t="e">
        <f t="shared" ca="1" si="5"/>
        <v>#NUM!</v>
      </c>
      <c r="O6" s="62" t="e">
        <f t="shared" ca="1" si="5"/>
        <v>#NUM!</v>
      </c>
      <c r="P6" s="62" t="e">
        <f t="shared" ca="1" si="5"/>
        <v>#NUM!</v>
      </c>
      <c r="Q6" s="62" t="e">
        <f t="shared" ca="1" si="5"/>
        <v>#NUM!</v>
      </c>
      <c r="R6" s="62" t="e">
        <f t="shared" ca="1" si="5"/>
        <v>#NUM!</v>
      </c>
      <c r="S6" s="62" t="e">
        <f t="shared" ca="1" si="5"/>
        <v>#NUM!</v>
      </c>
      <c r="T6" s="62" t="e">
        <f t="shared" ca="1" si="5"/>
        <v>#NUM!</v>
      </c>
      <c r="U6" s="62" t="e">
        <f t="shared" ca="1" si="5"/>
        <v>#NUM!</v>
      </c>
      <c r="V6" s="7"/>
      <c r="W6" s="1" t="s">
        <v>153</v>
      </c>
      <c r="X6" s="160">
        <f>X5*X4</f>
        <v>0</v>
      </c>
      <c r="Y6" s="2"/>
      <c r="Z6" s="2" t="s">
        <v>171</v>
      </c>
      <c r="AA6" s="2">
        <f>Summary!C41</f>
        <v>0</v>
      </c>
      <c r="AB6" s="2"/>
      <c r="AD6" s="71" t="s">
        <v>70</v>
      </c>
      <c r="AE6" s="72">
        <f ca="1">-OFFSET($AA$14,AE3,,,)</f>
        <v>0</v>
      </c>
      <c r="AF6" s="72" t="e">
        <f ca="1">IF(AF4=0,AE6,AE6+AF4)</f>
        <v>#NUM!</v>
      </c>
      <c r="AG6" s="72" t="e">
        <f t="shared" ref="AG6:AO6" ca="1" si="6">IF(AG4=0,AF6,AF6+AG4)</f>
        <v>#NUM!</v>
      </c>
      <c r="AH6" s="72" t="e">
        <f t="shared" ca="1" si="6"/>
        <v>#NUM!</v>
      </c>
      <c r="AI6" s="72" t="e">
        <f t="shared" ca="1" si="6"/>
        <v>#NUM!</v>
      </c>
      <c r="AJ6" s="72" t="e">
        <f t="shared" ca="1" si="6"/>
        <v>#NUM!</v>
      </c>
      <c r="AK6" s="72" t="e">
        <f t="shared" ca="1" si="6"/>
        <v>#NUM!</v>
      </c>
      <c r="AL6" s="72" t="e">
        <f t="shared" ca="1" si="6"/>
        <v>#NUM!</v>
      </c>
      <c r="AM6" s="72" t="e">
        <f t="shared" ca="1" si="6"/>
        <v>#NUM!</v>
      </c>
      <c r="AN6" s="72" t="e">
        <f t="shared" ca="1" si="6"/>
        <v>#NUM!</v>
      </c>
      <c r="AO6" s="72" t="e">
        <f t="shared" ca="1" si="6"/>
        <v>#NUM!</v>
      </c>
    </row>
    <row r="7" spans="2:41" x14ac:dyDescent="0.4">
      <c r="C7" s="1" t="s">
        <v>154</v>
      </c>
      <c r="D7" s="162">
        <f>Summary!C25</f>
        <v>0</v>
      </c>
      <c r="F7" s="2" t="s">
        <v>172</v>
      </c>
      <c r="G7" s="6">
        <f>D7/12*D6</f>
        <v>0</v>
      </c>
      <c r="V7" s="7"/>
      <c r="W7" s="1" t="s">
        <v>154</v>
      </c>
      <c r="X7" s="162">
        <f>Summary!C37</f>
        <v>0</v>
      </c>
      <c r="Y7" s="2"/>
      <c r="Z7" s="2" t="s">
        <v>172</v>
      </c>
      <c r="AA7" s="6">
        <f>X7/12*X6</f>
        <v>0</v>
      </c>
      <c r="AB7" s="2"/>
    </row>
    <row r="8" spans="2:41" x14ac:dyDescent="0.4">
      <c r="C8" s="1" t="s">
        <v>155</v>
      </c>
      <c r="D8" s="159">
        <f>Summary!C26</f>
        <v>0</v>
      </c>
      <c r="F8" s="7" t="s">
        <v>189</v>
      </c>
      <c r="G8" s="2">
        <f>MAX(G6-G4+1,0)</f>
        <v>1</v>
      </c>
      <c r="J8" s="1" t="s">
        <v>194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7"/>
      <c r="W8" s="1" t="s">
        <v>155</v>
      </c>
      <c r="X8" s="159">
        <f>Summary!C38</f>
        <v>0</v>
      </c>
      <c r="Y8" s="2"/>
      <c r="Z8" s="2" t="s">
        <v>189</v>
      </c>
      <c r="AA8" s="2">
        <f>MAX(AA6-AA4+1,0)</f>
        <v>1</v>
      </c>
      <c r="AB8" s="2"/>
      <c r="AD8" s="1" t="s">
        <v>194</v>
      </c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</row>
    <row r="9" spans="2:41" x14ac:dyDescent="0.4">
      <c r="C9" s="1" t="s">
        <v>156</v>
      </c>
      <c r="D9" s="159">
        <f>Summary!C27</f>
        <v>0</v>
      </c>
      <c r="F9" s="1"/>
      <c r="J9" s="21"/>
      <c r="K9" s="61">
        <v>0</v>
      </c>
      <c r="L9" s="61">
        <v>1</v>
      </c>
      <c r="M9" s="61">
        <v>2</v>
      </c>
      <c r="N9" s="61">
        <v>3</v>
      </c>
      <c r="O9" s="61">
        <v>4</v>
      </c>
      <c r="P9" s="61">
        <v>5</v>
      </c>
      <c r="Q9" s="61">
        <v>6</v>
      </c>
      <c r="R9" s="61">
        <v>7</v>
      </c>
      <c r="S9" s="61">
        <v>8</v>
      </c>
      <c r="T9" s="61">
        <v>9</v>
      </c>
      <c r="U9" s="61">
        <v>10</v>
      </c>
      <c r="V9" s="7"/>
      <c r="W9" s="1" t="s">
        <v>156</v>
      </c>
      <c r="X9" s="159">
        <f>Summary!C39</f>
        <v>0</v>
      </c>
      <c r="Y9" s="2"/>
      <c r="Z9" s="2"/>
      <c r="AA9" s="2"/>
      <c r="AB9" s="2"/>
      <c r="AD9" s="68"/>
      <c r="AE9" s="70">
        <v>0</v>
      </c>
      <c r="AF9" s="70">
        <v>1</v>
      </c>
      <c r="AG9" s="70">
        <v>2</v>
      </c>
      <c r="AH9" s="70">
        <v>3</v>
      </c>
      <c r="AI9" s="70">
        <v>4</v>
      </c>
      <c r="AJ9" s="70">
        <v>5</v>
      </c>
      <c r="AK9" s="70">
        <v>6</v>
      </c>
      <c r="AL9" s="70">
        <v>7</v>
      </c>
      <c r="AM9" s="70">
        <v>8</v>
      </c>
      <c r="AN9" s="70">
        <v>9</v>
      </c>
      <c r="AO9" s="70">
        <v>10</v>
      </c>
    </row>
    <row r="10" spans="2:41" x14ac:dyDescent="0.4">
      <c r="C10" s="1" t="s">
        <v>157</v>
      </c>
      <c r="D10" s="161">
        <f>Summary!C28</f>
        <v>0</v>
      </c>
      <c r="F10" s="7" t="s">
        <v>190</v>
      </c>
      <c r="G10" s="2">
        <f>IF(Summary!$C$30="No",1,IF(Summary!$C$29&lt;Summary!$C$31,2,3))</f>
        <v>3</v>
      </c>
      <c r="J10" s="58" t="s">
        <v>71</v>
      </c>
      <c r="K10" s="62">
        <f ca="1">IF($G$4&lt;1,K4,OFFSET($G$57,G4-G6-1,,,))</f>
        <v>0</v>
      </c>
      <c r="L10" s="62" t="e">
        <f ca="1">IF($G$4&lt;1,L4,SUM(OFFSET($F$57,(L9*12)+($G$4-$G$6-12),,12,)))</f>
        <v>#NUM!</v>
      </c>
      <c r="M10" s="62" t="e">
        <f t="shared" ref="M10:U10" ca="1" si="7">IF($G$4&lt;1,M4,SUM(OFFSET($F$57,(M9*12)+($G$4-$G$6-12),,12,)))</f>
        <v>#NUM!</v>
      </c>
      <c r="N10" s="62" t="e">
        <f t="shared" ca="1" si="7"/>
        <v>#NUM!</v>
      </c>
      <c r="O10" s="62" t="e">
        <f t="shared" ca="1" si="7"/>
        <v>#NUM!</v>
      </c>
      <c r="P10" s="62" t="e">
        <f t="shared" ca="1" si="7"/>
        <v>#NUM!</v>
      </c>
      <c r="Q10" s="62" t="e">
        <f t="shared" ca="1" si="7"/>
        <v>#NUM!</v>
      </c>
      <c r="R10" s="62" t="e">
        <f t="shared" ca="1" si="7"/>
        <v>#NUM!</v>
      </c>
      <c r="S10" s="62" t="e">
        <f t="shared" ca="1" si="7"/>
        <v>#NUM!</v>
      </c>
      <c r="T10" s="62" t="e">
        <f t="shared" ca="1" si="7"/>
        <v>#NUM!</v>
      </c>
      <c r="U10" s="62" t="e">
        <f t="shared" ca="1" si="7"/>
        <v>#NUM!</v>
      </c>
      <c r="V10" s="7"/>
      <c r="W10" s="1" t="s">
        <v>157</v>
      </c>
      <c r="X10" s="161">
        <f>Summary!C40</f>
        <v>0</v>
      </c>
      <c r="Y10" s="2"/>
      <c r="Z10" s="2" t="s">
        <v>190</v>
      </c>
      <c r="AA10" s="2">
        <f>IF(Summary!$C$42="No",1,IF(Summary!$C$41&lt;Summary!$C$43,2,3))</f>
        <v>3</v>
      </c>
      <c r="AB10" s="2"/>
      <c r="AD10" s="71" t="s">
        <v>71</v>
      </c>
      <c r="AE10" s="72">
        <f ca="1">IF($AA$4&lt;1,AE4,OFFSET($AA$57,AA4-AA6-1,,,))</f>
        <v>0</v>
      </c>
      <c r="AF10" s="72" t="e">
        <f ca="1">IF($AA$4&lt;1,AF4,SUM(OFFSET($Z$57,(AF9*12)+($AA$4-$AA$6-12),,12,)))</f>
        <v>#NUM!</v>
      </c>
      <c r="AG10" s="72" t="e">
        <f t="shared" ref="AG10:AO10" ca="1" si="8">IF($AA$4&lt;1,AG4,SUM(OFFSET($Z$57,(AG9*12)+($AA$4-$AA$6-12),,12,)))</f>
        <v>#NUM!</v>
      </c>
      <c r="AH10" s="72" t="e">
        <f t="shared" ca="1" si="8"/>
        <v>#NUM!</v>
      </c>
      <c r="AI10" s="72" t="e">
        <f t="shared" ca="1" si="8"/>
        <v>#NUM!</v>
      </c>
      <c r="AJ10" s="72" t="e">
        <f t="shared" ca="1" si="8"/>
        <v>#NUM!</v>
      </c>
      <c r="AK10" s="72" t="e">
        <f t="shared" ca="1" si="8"/>
        <v>#NUM!</v>
      </c>
      <c r="AL10" s="72" t="e">
        <f t="shared" ca="1" si="8"/>
        <v>#NUM!</v>
      </c>
      <c r="AM10" s="72" t="e">
        <f t="shared" ca="1" si="8"/>
        <v>#NUM!</v>
      </c>
      <c r="AN10" s="72" t="e">
        <f t="shared" ca="1" si="8"/>
        <v>#NUM!</v>
      </c>
      <c r="AO10" s="72" t="e">
        <f t="shared" ca="1" si="8"/>
        <v>#NUM!</v>
      </c>
    </row>
    <row r="11" spans="2:41" x14ac:dyDescent="0.4">
      <c r="E11" s="6"/>
      <c r="F11" s="249" t="s">
        <v>191</v>
      </c>
      <c r="G11" s="76"/>
      <c r="J11" s="58" t="s">
        <v>72</v>
      </c>
      <c r="K11" s="21"/>
      <c r="L11" s="62" t="e">
        <f ca="1">IF($G$4&lt;1,L5,SUM(OFFSET($E$57,(L9*12+$G$4-$G$6-12),,12,)))</f>
        <v>#NUM!</v>
      </c>
      <c r="M11" s="62" t="e">
        <f t="shared" ref="M11:U11" ca="1" si="9">IF($G$4&lt;1,M5,SUM(OFFSET($E$57,(M9*12+$G$4-$G$6-12),,12,)))</f>
        <v>#NUM!</v>
      </c>
      <c r="N11" s="62" t="e">
        <f t="shared" ca="1" si="9"/>
        <v>#NUM!</v>
      </c>
      <c r="O11" s="62" t="e">
        <f t="shared" ca="1" si="9"/>
        <v>#NUM!</v>
      </c>
      <c r="P11" s="62" t="e">
        <f t="shared" ca="1" si="9"/>
        <v>#NUM!</v>
      </c>
      <c r="Q11" s="62" t="e">
        <f t="shared" ca="1" si="9"/>
        <v>#NUM!</v>
      </c>
      <c r="R11" s="62" t="e">
        <f t="shared" ca="1" si="9"/>
        <v>#NUM!</v>
      </c>
      <c r="S11" s="62" t="e">
        <f t="shared" ca="1" si="9"/>
        <v>#NUM!</v>
      </c>
      <c r="T11" s="62" t="e">
        <f t="shared" ca="1" si="9"/>
        <v>#NUM!</v>
      </c>
      <c r="U11" s="62" t="e">
        <f t="shared" ca="1" si="9"/>
        <v>#NUM!</v>
      </c>
      <c r="V11" s="7"/>
      <c r="X11" s="2"/>
      <c r="Y11" s="6"/>
      <c r="Z11" s="249" t="s">
        <v>191</v>
      </c>
      <c r="AA11" s="76"/>
      <c r="AB11" s="2"/>
      <c r="AD11" s="71" t="s">
        <v>72</v>
      </c>
      <c r="AE11" s="68"/>
      <c r="AF11" s="72" t="e">
        <f ca="1">IF($AA$4&lt;1,AF5,SUM(OFFSET($Y$58,(AF9*12+$AA$4-$AA$6-12),,12,)))</f>
        <v>#NUM!</v>
      </c>
      <c r="AG11" s="72" t="e">
        <f t="shared" ref="AG11:AO11" ca="1" si="10">IF($AA$4&lt;1,AG5,SUM(OFFSET($Y$58,(AG9*12+$AA$4-$AA$6-12),,12,)))</f>
        <v>#NUM!</v>
      </c>
      <c r="AH11" s="72" t="e">
        <f t="shared" ca="1" si="10"/>
        <v>#NUM!</v>
      </c>
      <c r="AI11" s="72" t="e">
        <f t="shared" ca="1" si="10"/>
        <v>#NUM!</v>
      </c>
      <c r="AJ11" s="72" t="e">
        <f t="shared" ca="1" si="10"/>
        <v>#NUM!</v>
      </c>
      <c r="AK11" s="72" t="e">
        <f t="shared" ca="1" si="10"/>
        <v>#NUM!</v>
      </c>
      <c r="AL11" s="72" t="e">
        <f t="shared" ca="1" si="10"/>
        <v>#NUM!</v>
      </c>
      <c r="AM11" s="72" t="e">
        <f t="shared" ca="1" si="10"/>
        <v>#NUM!</v>
      </c>
      <c r="AN11" s="72" t="e">
        <f t="shared" ca="1" si="10"/>
        <v>#NUM!</v>
      </c>
      <c r="AO11" s="72" t="e">
        <f t="shared" ca="1" si="10"/>
        <v>#NUM!</v>
      </c>
    </row>
    <row r="12" spans="2:41" x14ac:dyDescent="0.4">
      <c r="J12" s="58" t="s">
        <v>70</v>
      </c>
      <c r="K12" s="62">
        <f ca="1">IF(G4&lt;1,K6,-OFFSET($G$57,G4-G6-1,,,))</f>
        <v>0</v>
      </c>
      <c r="L12" s="62" t="e">
        <f ca="1">IF(L10=0,K12,K12+L10)</f>
        <v>#NUM!</v>
      </c>
      <c r="M12" s="62" t="e">
        <f t="shared" ref="M12:U12" ca="1" si="11">IF(M10=0,L12,L12+M10)</f>
        <v>#NUM!</v>
      </c>
      <c r="N12" s="62" t="e">
        <f t="shared" ca="1" si="11"/>
        <v>#NUM!</v>
      </c>
      <c r="O12" s="62" t="e">
        <f t="shared" ca="1" si="11"/>
        <v>#NUM!</v>
      </c>
      <c r="P12" s="62" t="e">
        <f t="shared" ca="1" si="11"/>
        <v>#NUM!</v>
      </c>
      <c r="Q12" s="62" t="e">
        <f t="shared" ca="1" si="11"/>
        <v>#NUM!</v>
      </c>
      <c r="R12" s="62" t="e">
        <f t="shared" ca="1" si="11"/>
        <v>#NUM!</v>
      </c>
      <c r="S12" s="62" t="e">
        <f t="shared" ca="1" si="11"/>
        <v>#NUM!</v>
      </c>
      <c r="T12" s="62" t="e">
        <f t="shared" ca="1" si="11"/>
        <v>#NUM!</v>
      </c>
      <c r="U12" s="62" t="e">
        <f t="shared" ca="1" si="11"/>
        <v>#NUM!</v>
      </c>
      <c r="V12" s="7"/>
      <c r="X12" s="2"/>
      <c r="Y12" s="2"/>
      <c r="Z12" s="2"/>
      <c r="AA12" s="2"/>
      <c r="AB12" s="2"/>
      <c r="AD12" s="71" t="s">
        <v>70</v>
      </c>
      <c r="AE12" s="72">
        <f ca="1">IF(AA4&lt;1,AE6,-OFFSET($AA$57,AA4-AA6-1,,,))</f>
        <v>0</v>
      </c>
      <c r="AF12" s="72" t="e">
        <f ca="1">IF(AF10=0,AE12,AE12+AF10)</f>
        <v>#NUM!</v>
      </c>
      <c r="AG12" s="72" t="e">
        <f t="shared" ref="AG12:AO12" ca="1" si="12">IF(AG10=0,AF12,AF12+AG10)</f>
        <v>#NUM!</v>
      </c>
      <c r="AH12" s="72" t="e">
        <f t="shared" ca="1" si="12"/>
        <v>#NUM!</v>
      </c>
      <c r="AI12" s="72" t="e">
        <f t="shared" ca="1" si="12"/>
        <v>#NUM!</v>
      </c>
      <c r="AJ12" s="72" t="e">
        <f t="shared" ca="1" si="12"/>
        <v>#NUM!</v>
      </c>
      <c r="AK12" s="72" t="e">
        <f t="shared" ca="1" si="12"/>
        <v>#NUM!</v>
      </c>
      <c r="AL12" s="72" t="e">
        <f t="shared" ca="1" si="12"/>
        <v>#NUM!</v>
      </c>
      <c r="AM12" s="72" t="e">
        <f t="shared" ca="1" si="12"/>
        <v>#NUM!</v>
      </c>
      <c r="AN12" s="72" t="e">
        <f t="shared" ca="1" si="12"/>
        <v>#NUM!</v>
      </c>
      <c r="AO12" s="72" t="e">
        <f t="shared" ca="1" si="12"/>
        <v>#NUM!</v>
      </c>
    </row>
    <row r="13" spans="2:41" x14ac:dyDescent="0.4">
      <c r="B13" s="7" t="s">
        <v>83</v>
      </c>
      <c r="C13" s="1" t="s">
        <v>74</v>
      </c>
      <c r="D13" s="2" t="s">
        <v>75</v>
      </c>
      <c r="E13" s="2" t="s">
        <v>76</v>
      </c>
      <c r="F13" s="2" t="s">
        <v>77</v>
      </c>
      <c r="G13" s="2" t="s">
        <v>78</v>
      </c>
      <c r="H13" s="2" t="s">
        <v>86</v>
      </c>
      <c r="V13" s="7" t="s">
        <v>83</v>
      </c>
      <c r="W13" s="1" t="s">
        <v>74</v>
      </c>
      <c r="X13" s="2" t="s">
        <v>75</v>
      </c>
      <c r="Y13" s="2" t="s">
        <v>76</v>
      </c>
      <c r="Z13" s="2" t="s">
        <v>77</v>
      </c>
      <c r="AA13" s="2" t="s">
        <v>78</v>
      </c>
      <c r="AB13" s="2" t="s">
        <v>86</v>
      </c>
    </row>
    <row r="14" spans="2:41" x14ac:dyDescent="0.4">
      <c r="B14" s="7">
        <v>0</v>
      </c>
      <c r="F14" s="6"/>
      <c r="G14" s="6">
        <f>D6</f>
        <v>0</v>
      </c>
      <c r="H14" s="5">
        <f>D9*12</f>
        <v>0</v>
      </c>
      <c r="I14" s="5"/>
      <c r="J14" s="1" t="s">
        <v>192</v>
      </c>
      <c r="M14" s="9"/>
      <c r="N14" s="9"/>
      <c r="O14" s="9"/>
      <c r="P14" s="9"/>
      <c r="V14" s="7">
        <v>0</v>
      </c>
      <c r="X14" s="2"/>
      <c r="Y14" s="2"/>
      <c r="Z14" s="6"/>
      <c r="AA14" s="6">
        <f>X6</f>
        <v>0</v>
      </c>
      <c r="AB14" s="5">
        <f>X9*12</f>
        <v>0</v>
      </c>
      <c r="AD14" s="1" t="s">
        <v>192</v>
      </c>
      <c r="AG14" s="9"/>
      <c r="AH14" s="9"/>
      <c r="AI14" s="9"/>
      <c r="AJ14" s="9"/>
    </row>
    <row r="15" spans="2:41" x14ac:dyDescent="0.4">
      <c r="B15" s="7">
        <v>1</v>
      </c>
      <c r="C15" s="59">
        <f>G14</f>
        <v>0</v>
      </c>
      <c r="D15" s="6" t="e">
        <f>-PMT($D$7/12,$D$9*12,$D$6,,)*12</f>
        <v>#NUM!</v>
      </c>
      <c r="E15" s="6" t="e">
        <f>D15-F15</f>
        <v>#NUM!</v>
      </c>
      <c r="F15" s="6" t="e">
        <f>C15-G15</f>
        <v>#NUM!</v>
      </c>
      <c r="G15" s="6" t="e">
        <f>-PV($D$7/12,H15,D15/12)</f>
        <v>#NUM!</v>
      </c>
      <c r="H15" s="5">
        <f>H14-12</f>
        <v>-12</v>
      </c>
      <c r="I15" s="5"/>
      <c r="J15" s="21"/>
      <c r="K15" s="61">
        <v>0</v>
      </c>
      <c r="L15" s="61">
        <v>1</v>
      </c>
      <c r="M15" s="61">
        <v>2</v>
      </c>
      <c r="N15" s="61">
        <v>3</v>
      </c>
      <c r="O15" s="61">
        <v>4</v>
      </c>
      <c r="P15" s="61">
        <v>5</v>
      </c>
      <c r="Q15" s="61">
        <v>6</v>
      </c>
      <c r="R15" s="61">
        <v>7</v>
      </c>
      <c r="S15" s="61">
        <v>8</v>
      </c>
      <c r="T15" s="61">
        <v>9</v>
      </c>
      <c r="U15" s="61">
        <v>10</v>
      </c>
      <c r="V15" s="7">
        <v>1</v>
      </c>
      <c r="W15" s="59">
        <f>AA14</f>
        <v>0</v>
      </c>
      <c r="X15" s="6" t="e">
        <f>-PMT($X$7/12,$X$9*12,$X$6,,)*12</f>
        <v>#NUM!</v>
      </c>
      <c r="Y15" s="6" t="e">
        <f>X15-Z15</f>
        <v>#NUM!</v>
      </c>
      <c r="Z15" s="6" t="e">
        <f>W15-AA15</f>
        <v>#NUM!</v>
      </c>
      <c r="AA15" s="6" t="e">
        <f>-PV($X$7/12,AB15,X15/12)</f>
        <v>#NUM!</v>
      </c>
      <c r="AB15" s="5">
        <f>AB14-12</f>
        <v>-12</v>
      </c>
      <c r="AD15" s="68"/>
      <c r="AE15" s="70">
        <v>0</v>
      </c>
      <c r="AF15" s="70">
        <v>1</v>
      </c>
      <c r="AG15" s="70">
        <v>2</v>
      </c>
      <c r="AH15" s="70">
        <v>3</v>
      </c>
      <c r="AI15" s="70">
        <v>4</v>
      </c>
      <c r="AJ15" s="70">
        <v>5</v>
      </c>
      <c r="AK15" s="70">
        <v>6</v>
      </c>
      <c r="AL15" s="70">
        <v>7</v>
      </c>
      <c r="AM15" s="70">
        <v>8</v>
      </c>
      <c r="AN15" s="70">
        <v>9</v>
      </c>
      <c r="AO15" s="70">
        <v>10</v>
      </c>
    </row>
    <row r="16" spans="2:41" x14ac:dyDescent="0.4">
      <c r="B16" s="7">
        <v>2</v>
      </c>
      <c r="C16" s="59" t="e">
        <f t="shared" ref="C16:C54" si="13">G15</f>
        <v>#NUM!</v>
      </c>
      <c r="D16" s="6" t="e">
        <f t="shared" ref="D16:D54" si="14">-PMT($D$7/12,$D$9*12,$D$6,,)*12</f>
        <v>#NUM!</v>
      </c>
      <c r="E16" s="6" t="e">
        <f t="shared" ref="E16:E54" si="15">D16-F16</f>
        <v>#NUM!</v>
      </c>
      <c r="F16" s="6" t="e">
        <f t="shared" ref="F16:F54" si="16">C16-G16</f>
        <v>#NUM!</v>
      </c>
      <c r="G16" s="6" t="e">
        <f t="shared" ref="G16:G54" si="17">-PV($D$7/12,H16,D16/12)</f>
        <v>#NUM!</v>
      </c>
      <c r="H16" s="5">
        <f t="shared" ref="H16:H54" si="18">H15-12</f>
        <v>-24</v>
      </c>
      <c r="I16" s="5"/>
      <c r="J16" s="58" t="s">
        <v>71</v>
      </c>
      <c r="K16" s="62">
        <f>D6</f>
        <v>0</v>
      </c>
      <c r="L16" s="62" t="e">
        <f ca="1">IF(L15*12&lt;=$G$8,0,IF(AND($G$8&gt;K15*12,$G$8&lt;M15*12),SUM(OFFSET($F$57,,,(L15*12)-$G$8+1,)),SUM(OFFSET($F$57,K15*12-$G$8+1,,12,))))</f>
        <v>#NUM!</v>
      </c>
      <c r="M16" s="62" t="e">
        <f t="shared" ref="M16:U16" ca="1" si="19">IF(M15*12&lt;=$G$8,0,IF(AND($G$8&gt;L15*12,$G$8&lt;N15*12),SUM(OFFSET($F$57,,,(M15*12)-$G$8+1,)),SUM(OFFSET($F$57,L15*12-$G$8+1,,12,))))</f>
        <v>#NUM!</v>
      </c>
      <c r="N16" s="62" t="e">
        <f t="shared" ca="1" si="19"/>
        <v>#NUM!</v>
      </c>
      <c r="O16" s="62" t="e">
        <f t="shared" ca="1" si="19"/>
        <v>#NUM!</v>
      </c>
      <c r="P16" s="62" t="e">
        <f t="shared" ca="1" si="19"/>
        <v>#NUM!</v>
      </c>
      <c r="Q16" s="62" t="e">
        <f t="shared" ca="1" si="19"/>
        <v>#NUM!</v>
      </c>
      <c r="R16" s="62" t="e">
        <f t="shared" ca="1" si="19"/>
        <v>#NUM!</v>
      </c>
      <c r="S16" s="62" t="e">
        <f t="shared" ca="1" si="19"/>
        <v>#NUM!</v>
      </c>
      <c r="T16" s="62" t="e">
        <f t="shared" ca="1" si="19"/>
        <v>#NUM!</v>
      </c>
      <c r="U16" s="62" t="e">
        <f t="shared" ca="1" si="19"/>
        <v>#NUM!</v>
      </c>
      <c r="V16" s="7">
        <v>2</v>
      </c>
      <c r="W16" s="59" t="e">
        <f>AA15</f>
        <v>#NUM!</v>
      </c>
      <c r="X16" s="6" t="e">
        <f>-PMT($X$7/12,$X$9*12,$X$6,,)*12</f>
        <v>#NUM!</v>
      </c>
      <c r="Y16" s="6" t="e">
        <f>X16-Z16</f>
        <v>#NUM!</v>
      </c>
      <c r="Z16" s="6" t="e">
        <f>W16-AA16</f>
        <v>#NUM!</v>
      </c>
      <c r="AA16" s="6" t="e">
        <f>-PV($X$7/12,AB16,X16/12)</f>
        <v>#NUM!</v>
      </c>
      <c r="AB16" s="5">
        <f>AB15-12</f>
        <v>-24</v>
      </c>
      <c r="AD16" s="71" t="s">
        <v>71</v>
      </c>
      <c r="AE16" s="72">
        <f>X6</f>
        <v>0</v>
      </c>
      <c r="AF16" s="72" t="e">
        <f ca="1">IF(AF15*12&lt;=$AA$8,0,IF(AND($AA$8&gt;AE15*12,$AA$8&lt;AG15*12),SUM(OFFSET($Z$57,,,(AF15*12)-$AA$8+1,)),SUM(OFFSET($Z$57,AE15*12-$AA$8+1,,12,))))</f>
        <v>#NUM!</v>
      </c>
      <c r="AG16" s="72" t="e">
        <f t="shared" ref="AG16:AO16" ca="1" si="20">IF(AG15*12&lt;=$AA$8,0,IF(AND($AA$8&gt;AF15*12,$AA$8&lt;AH15*12),SUM(OFFSET($Z$57,,,(AG15*12)-$AA$8+1,)),SUM(OFFSET($Z$57,AF15*12-$AA$8+1,,12,))))</f>
        <v>#NUM!</v>
      </c>
      <c r="AH16" s="72" t="e">
        <f t="shared" ca="1" si="20"/>
        <v>#NUM!</v>
      </c>
      <c r="AI16" s="72" t="e">
        <f t="shared" ca="1" si="20"/>
        <v>#NUM!</v>
      </c>
      <c r="AJ16" s="72" t="e">
        <f t="shared" ca="1" si="20"/>
        <v>#NUM!</v>
      </c>
      <c r="AK16" s="72" t="e">
        <f t="shared" ca="1" si="20"/>
        <v>#NUM!</v>
      </c>
      <c r="AL16" s="72" t="e">
        <f t="shared" ca="1" si="20"/>
        <v>#NUM!</v>
      </c>
      <c r="AM16" s="72" t="e">
        <f t="shared" ca="1" si="20"/>
        <v>#NUM!</v>
      </c>
      <c r="AN16" s="72" t="e">
        <f t="shared" ca="1" si="20"/>
        <v>#NUM!</v>
      </c>
      <c r="AO16" s="72" t="e">
        <f t="shared" ca="1" si="20"/>
        <v>#NUM!</v>
      </c>
    </row>
    <row r="17" spans="2:41" x14ac:dyDescent="0.4">
      <c r="B17" s="7">
        <v>3</v>
      </c>
      <c r="C17" s="59" t="e">
        <f t="shared" si="13"/>
        <v>#NUM!</v>
      </c>
      <c r="D17" s="6" t="e">
        <f t="shared" si="14"/>
        <v>#NUM!</v>
      </c>
      <c r="E17" s="6" t="e">
        <f t="shared" si="15"/>
        <v>#NUM!</v>
      </c>
      <c r="F17" s="6" t="e">
        <f t="shared" si="16"/>
        <v>#NUM!</v>
      </c>
      <c r="G17" s="6" t="e">
        <f t="shared" si="17"/>
        <v>#NUM!</v>
      </c>
      <c r="H17" s="5">
        <f t="shared" si="18"/>
        <v>-36</v>
      </c>
      <c r="I17" s="5"/>
      <c r="J17" s="58" t="s">
        <v>72</v>
      </c>
      <c r="K17" s="62"/>
      <c r="L17" s="62" t="e">
        <f ca="1">IF(L15*12&lt;=$G$8,$G$7*12,IF(AND($G$8&gt;K15*12,$G$8&lt;M15*12),($G$8-(K15*12))*$G$7+SUM(OFFSET($E$57,,,(L15*12)-$G$8+1,)),SUM(OFFSET($E$57,K15*12-$G$8+1,,12,))))</f>
        <v>#NUM!</v>
      </c>
      <c r="M17" s="62" t="e">
        <f t="shared" ref="M17:U17" ca="1" si="21">IF(M15*12&lt;=$G$8,$G$7*12,IF(AND($G$8&gt;L15*12,$G$8&lt;N15*12),($G$8-(L15*12))*$G$7+SUM(OFFSET($E$57,,,(M15*12)-$G$8+1,)),SUM(OFFSET($E$57,L15*12-$G$8+1,,12,))))</f>
        <v>#NUM!</v>
      </c>
      <c r="N17" s="62" t="e">
        <f t="shared" ca="1" si="21"/>
        <v>#NUM!</v>
      </c>
      <c r="O17" s="62" t="e">
        <f t="shared" ca="1" si="21"/>
        <v>#NUM!</v>
      </c>
      <c r="P17" s="62" t="e">
        <f t="shared" ca="1" si="21"/>
        <v>#NUM!</v>
      </c>
      <c r="Q17" s="62" t="e">
        <f t="shared" ca="1" si="21"/>
        <v>#NUM!</v>
      </c>
      <c r="R17" s="62" t="e">
        <f t="shared" ca="1" si="21"/>
        <v>#NUM!</v>
      </c>
      <c r="S17" s="62" t="e">
        <f t="shared" ca="1" si="21"/>
        <v>#NUM!</v>
      </c>
      <c r="T17" s="62" t="e">
        <f t="shared" ca="1" si="21"/>
        <v>#NUM!</v>
      </c>
      <c r="U17" s="62" t="e">
        <f t="shared" ca="1" si="21"/>
        <v>#NUM!</v>
      </c>
      <c r="V17" s="7">
        <v>3</v>
      </c>
      <c r="W17" s="59" t="e">
        <f t="shared" ref="W17:W53" si="22">AA16</f>
        <v>#NUM!</v>
      </c>
      <c r="X17" s="6" t="e">
        <f t="shared" ref="X17:X53" si="23">-PMT($X$7/12,$X$9*12,$X$6,,)*12</f>
        <v>#NUM!</v>
      </c>
      <c r="Y17" s="6" t="e">
        <f t="shared" ref="Y17:Y53" si="24">X17-Z17</f>
        <v>#NUM!</v>
      </c>
      <c r="Z17" s="6" t="e">
        <f t="shared" ref="Z17:Z53" si="25">W17-AA17</f>
        <v>#NUM!</v>
      </c>
      <c r="AA17" s="6" t="e">
        <f t="shared" ref="AA17:AA53" si="26">-PV($X$7/12,AB17,X17/12)</f>
        <v>#NUM!</v>
      </c>
      <c r="AB17" s="5">
        <f t="shared" ref="AB17:AB53" si="27">AB16-12</f>
        <v>-36</v>
      </c>
      <c r="AD17" s="71" t="s">
        <v>72</v>
      </c>
      <c r="AE17" s="68"/>
      <c r="AF17" s="72" t="e">
        <f ca="1">IF(AF15*12&lt;=$AA$8,$AA$7*12,IF(AND($AA$8&gt;AE15*12,$AA$8&lt;AG15*12),($AA$8-(AE15*12))*$AA$7+SUM(OFFSET($Y$57,,,(AF15*12)-$AA$8+1,)),SUM(OFFSET($Y$57,AE15*12-$AA$8+1,,12,))))</f>
        <v>#NUM!</v>
      </c>
      <c r="AG17" s="72" t="e">
        <f t="shared" ref="AG17:AO17" ca="1" si="28">IF(AG15*12&lt;=$AA$8,$AA$7*12,IF(AND($AA$8&gt;AF15*12,$AA$8&lt;AH15*12),($AA$8-(AF15*12))*$AA$7+SUM(OFFSET($Y$57,,,(AG15*12)-$AA$8+1,)),SUM(OFFSET($Y$57,AF15*12-$AA$8+1,,12,))))</f>
        <v>#NUM!</v>
      </c>
      <c r="AH17" s="72" t="e">
        <f t="shared" ca="1" si="28"/>
        <v>#NUM!</v>
      </c>
      <c r="AI17" s="72" t="e">
        <f t="shared" ca="1" si="28"/>
        <v>#NUM!</v>
      </c>
      <c r="AJ17" s="72" t="e">
        <f t="shared" ca="1" si="28"/>
        <v>#NUM!</v>
      </c>
      <c r="AK17" s="72" t="e">
        <f t="shared" ca="1" si="28"/>
        <v>#NUM!</v>
      </c>
      <c r="AL17" s="72" t="e">
        <f t="shared" ca="1" si="28"/>
        <v>#NUM!</v>
      </c>
      <c r="AM17" s="72" t="e">
        <f t="shared" ca="1" si="28"/>
        <v>#NUM!</v>
      </c>
      <c r="AN17" s="72" t="e">
        <f t="shared" ca="1" si="28"/>
        <v>#NUM!</v>
      </c>
      <c r="AO17" s="72" t="e">
        <f t="shared" ca="1" si="28"/>
        <v>#NUM!</v>
      </c>
    </row>
    <row r="18" spans="2:41" x14ac:dyDescent="0.4">
      <c r="B18" s="7">
        <v>4</v>
      </c>
      <c r="C18" s="59" t="e">
        <f t="shared" si="13"/>
        <v>#NUM!</v>
      </c>
      <c r="D18" s="6" t="e">
        <f t="shared" si="14"/>
        <v>#NUM!</v>
      </c>
      <c r="E18" s="6" t="e">
        <f t="shared" si="15"/>
        <v>#NUM!</v>
      </c>
      <c r="F18" s="6" t="e">
        <f t="shared" si="16"/>
        <v>#NUM!</v>
      </c>
      <c r="G18" s="6" t="e">
        <f t="shared" si="17"/>
        <v>#NUM!</v>
      </c>
      <c r="H18" s="5">
        <f t="shared" si="18"/>
        <v>-48</v>
      </c>
      <c r="I18" s="5"/>
      <c r="J18" s="58" t="s">
        <v>70</v>
      </c>
      <c r="K18" s="62">
        <f ca="1">-OFFSET($G$14,K15,,,)</f>
        <v>0</v>
      </c>
      <c r="L18" s="62" t="e">
        <f ca="1">IF(L16=0,K18,K18+L16)</f>
        <v>#NUM!</v>
      </c>
      <c r="M18" s="62" t="e">
        <f t="shared" ref="M18:U18" ca="1" si="29">IF(M16=0,L18,L18+M16)</f>
        <v>#NUM!</v>
      </c>
      <c r="N18" s="62" t="e">
        <f t="shared" ca="1" si="29"/>
        <v>#NUM!</v>
      </c>
      <c r="O18" s="62" t="e">
        <f t="shared" ca="1" si="29"/>
        <v>#NUM!</v>
      </c>
      <c r="P18" s="62" t="e">
        <f t="shared" ca="1" si="29"/>
        <v>#NUM!</v>
      </c>
      <c r="Q18" s="62" t="e">
        <f t="shared" ca="1" si="29"/>
        <v>#NUM!</v>
      </c>
      <c r="R18" s="62" t="e">
        <f t="shared" ca="1" si="29"/>
        <v>#NUM!</v>
      </c>
      <c r="S18" s="62" t="e">
        <f t="shared" ca="1" si="29"/>
        <v>#NUM!</v>
      </c>
      <c r="T18" s="62" t="e">
        <f t="shared" ca="1" si="29"/>
        <v>#NUM!</v>
      </c>
      <c r="U18" s="62" t="e">
        <f t="shared" ca="1" si="29"/>
        <v>#NUM!</v>
      </c>
      <c r="V18" s="7">
        <v>4</v>
      </c>
      <c r="W18" s="59" t="e">
        <f t="shared" si="22"/>
        <v>#NUM!</v>
      </c>
      <c r="X18" s="6" t="e">
        <f t="shared" si="23"/>
        <v>#NUM!</v>
      </c>
      <c r="Y18" s="6" t="e">
        <f t="shared" si="24"/>
        <v>#NUM!</v>
      </c>
      <c r="Z18" s="6" t="e">
        <f t="shared" si="25"/>
        <v>#NUM!</v>
      </c>
      <c r="AA18" s="6" t="e">
        <f t="shared" si="26"/>
        <v>#NUM!</v>
      </c>
      <c r="AB18" s="5">
        <f t="shared" si="27"/>
        <v>-48</v>
      </c>
      <c r="AD18" s="71" t="s">
        <v>70</v>
      </c>
      <c r="AE18" s="72">
        <f ca="1">-OFFSET($AA$14,AE15,,,)</f>
        <v>0</v>
      </c>
      <c r="AF18" s="72" t="e">
        <f ca="1">IF(AF16=0,AE18,AE18+AF16)</f>
        <v>#NUM!</v>
      </c>
      <c r="AG18" s="72" t="e">
        <f t="shared" ref="AG18:AO18" ca="1" si="30">IF(AG16=0,AF18,AF18+AG16)</f>
        <v>#NUM!</v>
      </c>
      <c r="AH18" s="72" t="e">
        <f t="shared" ca="1" si="30"/>
        <v>#NUM!</v>
      </c>
      <c r="AI18" s="72" t="e">
        <f t="shared" ca="1" si="30"/>
        <v>#NUM!</v>
      </c>
      <c r="AJ18" s="72" t="e">
        <f t="shared" ca="1" si="30"/>
        <v>#NUM!</v>
      </c>
      <c r="AK18" s="72" t="e">
        <f t="shared" ca="1" si="30"/>
        <v>#NUM!</v>
      </c>
      <c r="AL18" s="72" t="e">
        <f t="shared" ca="1" si="30"/>
        <v>#NUM!</v>
      </c>
      <c r="AM18" s="72" t="e">
        <f t="shared" ca="1" si="30"/>
        <v>#NUM!</v>
      </c>
      <c r="AN18" s="72" t="e">
        <f t="shared" ca="1" si="30"/>
        <v>#NUM!</v>
      </c>
      <c r="AO18" s="72" t="e">
        <f t="shared" ca="1" si="30"/>
        <v>#NUM!</v>
      </c>
    </row>
    <row r="19" spans="2:41" x14ac:dyDescent="0.4">
      <c r="B19" s="7">
        <v>5</v>
      </c>
      <c r="C19" s="59" t="e">
        <f t="shared" si="13"/>
        <v>#NUM!</v>
      </c>
      <c r="D19" s="6" t="e">
        <f t="shared" si="14"/>
        <v>#NUM!</v>
      </c>
      <c r="E19" s="6" t="e">
        <f t="shared" si="15"/>
        <v>#NUM!</v>
      </c>
      <c r="F19" s="6" t="e">
        <f t="shared" si="16"/>
        <v>#NUM!</v>
      </c>
      <c r="G19" s="6" t="e">
        <f t="shared" si="17"/>
        <v>#NUM!</v>
      </c>
      <c r="H19" s="5">
        <f t="shared" si="18"/>
        <v>-60</v>
      </c>
      <c r="I19" s="5"/>
      <c r="J19" s="59"/>
      <c r="L19" s="12"/>
      <c r="V19" s="7">
        <v>5</v>
      </c>
      <c r="W19" s="59" t="e">
        <f t="shared" si="22"/>
        <v>#NUM!</v>
      </c>
      <c r="X19" s="6" t="e">
        <f t="shared" si="23"/>
        <v>#NUM!</v>
      </c>
      <c r="Y19" s="6" t="e">
        <f t="shared" si="24"/>
        <v>#NUM!</v>
      </c>
      <c r="Z19" s="6" t="e">
        <f t="shared" si="25"/>
        <v>#NUM!</v>
      </c>
      <c r="AA19" s="6" t="e">
        <f t="shared" si="26"/>
        <v>#NUM!</v>
      </c>
      <c r="AB19" s="5">
        <f t="shared" si="27"/>
        <v>-60</v>
      </c>
    </row>
    <row r="20" spans="2:41" x14ac:dyDescent="0.4">
      <c r="B20" s="7">
        <v>6</v>
      </c>
      <c r="C20" s="59" t="e">
        <f t="shared" si="13"/>
        <v>#NUM!</v>
      </c>
      <c r="D20" s="6" t="e">
        <f t="shared" si="14"/>
        <v>#NUM!</v>
      </c>
      <c r="E20" s="6" t="e">
        <f t="shared" si="15"/>
        <v>#NUM!</v>
      </c>
      <c r="F20" s="6" t="e">
        <f t="shared" si="16"/>
        <v>#NUM!</v>
      </c>
      <c r="G20" s="6" t="e">
        <f t="shared" si="17"/>
        <v>#NUM!</v>
      </c>
      <c r="H20" s="5">
        <f t="shared" si="18"/>
        <v>-72</v>
      </c>
      <c r="I20" s="5"/>
      <c r="V20" s="7">
        <v>6</v>
      </c>
      <c r="W20" s="59" t="e">
        <f t="shared" si="22"/>
        <v>#NUM!</v>
      </c>
      <c r="X20" s="6" t="e">
        <f t="shared" si="23"/>
        <v>#NUM!</v>
      </c>
      <c r="Y20" s="6" t="e">
        <f t="shared" si="24"/>
        <v>#NUM!</v>
      </c>
      <c r="Z20" s="6" t="e">
        <f t="shared" si="25"/>
        <v>#NUM!</v>
      </c>
      <c r="AA20" s="6" t="e">
        <f t="shared" si="26"/>
        <v>#NUM!</v>
      </c>
      <c r="AB20" s="5">
        <f t="shared" si="27"/>
        <v>-72</v>
      </c>
    </row>
    <row r="21" spans="2:41" x14ac:dyDescent="0.4">
      <c r="B21" s="7">
        <v>7</v>
      </c>
      <c r="C21" s="59" t="e">
        <f t="shared" si="13"/>
        <v>#NUM!</v>
      </c>
      <c r="D21" s="6" t="e">
        <f t="shared" si="14"/>
        <v>#NUM!</v>
      </c>
      <c r="E21" s="6" t="e">
        <f t="shared" si="15"/>
        <v>#NUM!</v>
      </c>
      <c r="F21" s="6" t="e">
        <f t="shared" si="16"/>
        <v>#NUM!</v>
      </c>
      <c r="G21" s="6" t="e">
        <f t="shared" si="17"/>
        <v>#NUM!</v>
      </c>
      <c r="H21" s="5">
        <f t="shared" si="18"/>
        <v>-84</v>
      </c>
      <c r="I21" s="5"/>
      <c r="V21" s="7">
        <v>7</v>
      </c>
      <c r="W21" s="59" t="e">
        <f t="shared" si="22"/>
        <v>#NUM!</v>
      </c>
      <c r="X21" s="6" t="e">
        <f t="shared" si="23"/>
        <v>#NUM!</v>
      </c>
      <c r="Y21" s="6" t="e">
        <f t="shared" si="24"/>
        <v>#NUM!</v>
      </c>
      <c r="Z21" s="6" t="e">
        <f t="shared" si="25"/>
        <v>#NUM!</v>
      </c>
      <c r="AA21" s="6" t="e">
        <f t="shared" si="26"/>
        <v>#NUM!</v>
      </c>
      <c r="AB21" s="5">
        <f t="shared" si="27"/>
        <v>-84</v>
      </c>
    </row>
    <row r="22" spans="2:41" x14ac:dyDescent="0.4">
      <c r="B22" s="7">
        <v>8</v>
      </c>
      <c r="C22" s="59" t="e">
        <f t="shared" si="13"/>
        <v>#NUM!</v>
      </c>
      <c r="D22" s="6" t="e">
        <f t="shared" si="14"/>
        <v>#NUM!</v>
      </c>
      <c r="E22" s="6" t="e">
        <f t="shared" si="15"/>
        <v>#NUM!</v>
      </c>
      <c r="F22" s="6" t="e">
        <f t="shared" si="16"/>
        <v>#NUM!</v>
      </c>
      <c r="G22" s="6" t="e">
        <f t="shared" si="17"/>
        <v>#NUM!</v>
      </c>
      <c r="H22" s="5">
        <f t="shared" si="18"/>
        <v>-96</v>
      </c>
      <c r="I22" s="5"/>
      <c r="V22" s="7">
        <v>8</v>
      </c>
      <c r="W22" s="59" t="e">
        <f t="shared" si="22"/>
        <v>#NUM!</v>
      </c>
      <c r="X22" s="6" t="e">
        <f t="shared" si="23"/>
        <v>#NUM!</v>
      </c>
      <c r="Y22" s="6" t="e">
        <f t="shared" si="24"/>
        <v>#NUM!</v>
      </c>
      <c r="Z22" s="6" t="e">
        <f t="shared" si="25"/>
        <v>#NUM!</v>
      </c>
      <c r="AA22" s="6" t="e">
        <f t="shared" si="26"/>
        <v>#NUM!</v>
      </c>
      <c r="AB22" s="5">
        <f t="shared" si="27"/>
        <v>-96</v>
      </c>
    </row>
    <row r="23" spans="2:41" x14ac:dyDescent="0.4">
      <c r="B23" s="7">
        <v>9</v>
      </c>
      <c r="C23" s="59" t="e">
        <f t="shared" si="13"/>
        <v>#NUM!</v>
      </c>
      <c r="D23" s="6" t="e">
        <f t="shared" si="14"/>
        <v>#NUM!</v>
      </c>
      <c r="E23" s="6" t="e">
        <f t="shared" si="15"/>
        <v>#NUM!</v>
      </c>
      <c r="F23" s="6" t="e">
        <f t="shared" si="16"/>
        <v>#NUM!</v>
      </c>
      <c r="G23" s="6" t="e">
        <f t="shared" si="17"/>
        <v>#NUM!</v>
      </c>
      <c r="H23" s="5">
        <f t="shared" si="18"/>
        <v>-108</v>
      </c>
      <c r="I23" s="5"/>
      <c r="V23" s="7">
        <v>9</v>
      </c>
      <c r="W23" s="59" t="e">
        <f t="shared" si="22"/>
        <v>#NUM!</v>
      </c>
      <c r="X23" s="6" t="e">
        <f t="shared" si="23"/>
        <v>#NUM!</v>
      </c>
      <c r="Y23" s="6" t="e">
        <f t="shared" si="24"/>
        <v>#NUM!</v>
      </c>
      <c r="Z23" s="6" t="e">
        <f t="shared" si="25"/>
        <v>#NUM!</v>
      </c>
      <c r="AA23" s="6" t="e">
        <f t="shared" si="26"/>
        <v>#NUM!</v>
      </c>
      <c r="AB23" s="5">
        <f t="shared" si="27"/>
        <v>-108</v>
      </c>
    </row>
    <row r="24" spans="2:41" x14ac:dyDescent="0.4">
      <c r="B24" s="7">
        <v>10</v>
      </c>
      <c r="C24" s="59" t="e">
        <f t="shared" si="13"/>
        <v>#NUM!</v>
      </c>
      <c r="D24" s="6" t="e">
        <f t="shared" si="14"/>
        <v>#NUM!</v>
      </c>
      <c r="E24" s="6" t="e">
        <f t="shared" si="15"/>
        <v>#NUM!</v>
      </c>
      <c r="F24" s="6" t="e">
        <f t="shared" si="16"/>
        <v>#NUM!</v>
      </c>
      <c r="G24" s="6" t="e">
        <f t="shared" si="17"/>
        <v>#NUM!</v>
      </c>
      <c r="H24" s="5">
        <f t="shared" si="18"/>
        <v>-120</v>
      </c>
      <c r="I24" s="5"/>
      <c r="V24" s="7">
        <v>10</v>
      </c>
      <c r="W24" s="59" t="e">
        <f t="shared" si="22"/>
        <v>#NUM!</v>
      </c>
      <c r="X24" s="6" t="e">
        <f t="shared" si="23"/>
        <v>#NUM!</v>
      </c>
      <c r="Y24" s="6" t="e">
        <f t="shared" si="24"/>
        <v>#NUM!</v>
      </c>
      <c r="Z24" s="6" t="e">
        <f t="shared" si="25"/>
        <v>#NUM!</v>
      </c>
      <c r="AA24" s="6" t="e">
        <f t="shared" si="26"/>
        <v>#NUM!</v>
      </c>
      <c r="AB24" s="5">
        <f t="shared" si="27"/>
        <v>-120</v>
      </c>
    </row>
    <row r="25" spans="2:41" x14ac:dyDescent="0.4">
      <c r="B25" s="7">
        <v>11</v>
      </c>
      <c r="C25" s="59" t="e">
        <f t="shared" si="13"/>
        <v>#NUM!</v>
      </c>
      <c r="D25" s="6" t="e">
        <f t="shared" si="14"/>
        <v>#NUM!</v>
      </c>
      <c r="E25" s="6" t="e">
        <f t="shared" si="15"/>
        <v>#NUM!</v>
      </c>
      <c r="F25" s="6" t="e">
        <f t="shared" si="16"/>
        <v>#NUM!</v>
      </c>
      <c r="G25" s="6" t="e">
        <f t="shared" si="17"/>
        <v>#NUM!</v>
      </c>
      <c r="H25" s="5">
        <f t="shared" si="18"/>
        <v>-132</v>
      </c>
      <c r="I25" s="5"/>
      <c r="V25" s="7">
        <v>11</v>
      </c>
      <c r="W25" s="59" t="e">
        <f t="shared" si="22"/>
        <v>#NUM!</v>
      </c>
      <c r="X25" s="6" t="e">
        <f t="shared" si="23"/>
        <v>#NUM!</v>
      </c>
      <c r="Y25" s="6" t="e">
        <f t="shared" si="24"/>
        <v>#NUM!</v>
      </c>
      <c r="Z25" s="6" t="e">
        <f t="shared" si="25"/>
        <v>#NUM!</v>
      </c>
      <c r="AA25" s="6" t="e">
        <f t="shared" si="26"/>
        <v>#NUM!</v>
      </c>
      <c r="AB25" s="5">
        <f t="shared" si="27"/>
        <v>-132</v>
      </c>
    </row>
    <row r="26" spans="2:41" x14ac:dyDescent="0.4">
      <c r="B26" s="7">
        <v>12</v>
      </c>
      <c r="C26" s="59" t="e">
        <f t="shared" si="13"/>
        <v>#NUM!</v>
      </c>
      <c r="D26" s="6" t="e">
        <f t="shared" si="14"/>
        <v>#NUM!</v>
      </c>
      <c r="E26" s="6" t="e">
        <f t="shared" si="15"/>
        <v>#NUM!</v>
      </c>
      <c r="F26" s="6" t="e">
        <f t="shared" si="16"/>
        <v>#NUM!</v>
      </c>
      <c r="G26" s="6" t="e">
        <f t="shared" si="17"/>
        <v>#NUM!</v>
      </c>
      <c r="H26" s="5">
        <f t="shared" si="18"/>
        <v>-144</v>
      </c>
      <c r="I26" s="5"/>
      <c r="V26" s="7">
        <v>12</v>
      </c>
      <c r="W26" s="59" t="e">
        <f t="shared" si="22"/>
        <v>#NUM!</v>
      </c>
      <c r="X26" s="6" t="e">
        <f t="shared" si="23"/>
        <v>#NUM!</v>
      </c>
      <c r="Y26" s="6" t="e">
        <f t="shared" si="24"/>
        <v>#NUM!</v>
      </c>
      <c r="Z26" s="6" t="e">
        <f t="shared" si="25"/>
        <v>#NUM!</v>
      </c>
      <c r="AA26" s="6" t="e">
        <f t="shared" si="26"/>
        <v>#NUM!</v>
      </c>
      <c r="AB26" s="5">
        <f t="shared" si="27"/>
        <v>-144</v>
      </c>
    </row>
    <row r="27" spans="2:41" x14ac:dyDescent="0.4">
      <c r="B27" s="7">
        <v>13</v>
      </c>
      <c r="C27" s="59" t="e">
        <f t="shared" si="13"/>
        <v>#NUM!</v>
      </c>
      <c r="D27" s="6" t="e">
        <f t="shared" si="14"/>
        <v>#NUM!</v>
      </c>
      <c r="E27" s="6" t="e">
        <f t="shared" si="15"/>
        <v>#NUM!</v>
      </c>
      <c r="F27" s="6" t="e">
        <f t="shared" si="16"/>
        <v>#NUM!</v>
      </c>
      <c r="G27" s="6" t="e">
        <f t="shared" si="17"/>
        <v>#NUM!</v>
      </c>
      <c r="H27" s="5">
        <f t="shared" si="18"/>
        <v>-156</v>
      </c>
      <c r="I27" s="5"/>
      <c r="V27" s="7">
        <v>13</v>
      </c>
      <c r="W27" s="59" t="e">
        <f t="shared" si="22"/>
        <v>#NUM!</v>
      </c>
      <c r="X27" s="6" t="e">
        <f t="shared" si="23"/>
        <v>#NUM!</v>
      </c>
      <c r="Y27" s="6" t="e">
        <f t="shared" si="24"/>
        <v>#NUM!</v>
      </c>
      <c r="Z27" s="6" t="e">
        <f t="shared" si="25"/>
        <v>#NUM!</v>
      </c>
      <c r="AA27" s="6" t="e">
        <f t="shared" si="26"/>
        <v>#NUM!</v>
      </c>
      <c r="AB27" s="5">
        <f t="shared" si="27"/>
        <v>-156</v>
      </c>
    </row>
    <row r="28" spans="2:41" x14ac:dyDescent="0.4">
      <c r="B28" s="7">
        <v>14</v>
      </c>
      <c r="C28" s="59" t="e">
        <f t="shared" si="13"/>
        <v>#NUM!</v>
      </c>
      <c r="D28" s="6" t="e">
        <f t="shared" si="14"/>
        <v>#NUM!</v>
      </c>
      <c r="E28" s="6" t="e">
        <f t="shared" si="15"/>
        <v>#NUM!</v>
      </c>
      <c r="F28" s="6" t="e">
        <f t="shared" si="16"/>
        <v>#NUM!</v>
      </c>
      <c r="G28" s="6" t="e">
        <f t="shared" si="17"/>
        <v>#NUM!</v>
      </c>
      <c r="H28" s="5">
        <f t="shared" si="18"/>
        <v>-168</v>
      </c>
      <c r="I28" s="5"/>
      <c r="V28" s="7">
        <v>14</v>
      </c>
      <c r="W28" s="59" t="e">
        <f t="shared" si="22"/>
        <v>#NUM!</v>
      </c>
      <c r="X28" s="6" t="e">
        <f t="shared" si="23"/>
        <v>#NUM!</v>
      </c>
      <c r="Y28" s="6" t="e">
        <f t="shared" si="24"/>
        <v>#NUM!</v>
      </c>
      <c r="Z28" s="6" t="e">
        <f t="shared" si="25"/>
        <v>#NUM!</v>
      </c>
      <c r="AA28" s="6" t="e">
        <f t="shared" si="26"/>
        <v>#NUM!</v>
      </c>
      <c r="AB28" s="5">
        <f t="shared" si="27"/>
        <v>-168</v>
      </c>
    </row>
    <row r="29" spans="2:41" x14ac:dyDescent="0.4">
      <c r="B29" s="7">
        <v>15</v>
      </c>
      <c r="C29" s="59" t="e">
        <f t="shared" si="13"/>
        <v>#NUM!</v>
      </c>
      <c r="D29" s="6" t="e">
        <f t="shared" si="14"/>
        <v>#NUM!</v>
      </c>
      <c r="E29" s="6" t="e">
        <f t="shared" si="15"/>
        <v>#NUM!</v>
      </c>
      <c r="F29" s="6" t="e">
        <f t="shared" si="16"/>
        <v>#NUM!</v>
      </c>
      <c r="G29" s="6" t="e">
        <f t="shared" si="17"/>
        <v>#NUM!</v>
      </c>
      <c r="H29" s="5">
        <f t="shared" si="18"/>
        <v>-180</v>
      </c>
      <c r="I29" s="5"/>
      <c r="V29" s="7">
        <v>15</v>
      </c>
      <c r="W29" s="59" t="e">
        <f t="shared" si="22"/>
        <v>#NUM!</v>
      </c>
      <c r="X29" s="6" t="e">
        <f t="shared" si="23"/>
        <v>#NUM!</v>
      </c>
      <c r="Y29" s="6" t="e">
        <f t="shared" si="24"/>
        <v>#NUM!</v>
      </c>
      <c r="Z29" s="6" t="e">
        <f t="shared" si="25"/>
        <v>#NUM!</v>
      </c>
      <c r="AA29" s="6" t="e">
        <f t="shared" si="26"/>
        <v>#NUM!</v>
      </c>
      <c r="AB29" s="5">
        <f t="shared" si="27"/>
        <v>-180</v>
      </c>
    </row>
    <row r="30" spans="2:41" x14ac:dyDescent="0.4">
      <c r="B30" s="7">
        <v>16</v>
      </c>
      <c r="C30" s="59" t="e">
        <f t="shared" si="13"/>
        <v>#NUM!</v>
      </c>
      <c r="D30" s="6" t="e">
        <f t="shared" si="14"/>
        <v>#NUM!</v>
      </c>
      <c r="E30" s="6" t="e">
        <f t="shared" si="15"/>
        <v>#NUM!</v>
      </c>
      <c r="F30" s="6" t="e">
        <f t="shared" si="16"/>
        <v>#NUM!</v>
      </c>
      <c r="G30" s="6" t="e">
        <f t="shared" si="17"/>
        <v>#NUM!</v>
      </c>
      <c r="H30" s="5">
        <f t="shared" si="18"/>
        <v>-192</v>
      </c>
      <c r="I30" s="5"/>
      <c r="V30" s="7">
        <v>16</v>
      </c>
      <c r="W30" s="59" t="e">
        <f t="shared" si="22"/>
        <v>#NUM!</v>
      </c>
      <c r="X30" s="6" t="e">
        <f t="shared" si="23"/>
        <v>#NUM!</v>
      </c>
      <c r="Y30" s="6" t="e">
        <f t="shared" si="24"/>
        <v>#NUM!</v>
      </c>
      <c r="Z30" s="6" t="e">
        <f t="shared" si="25"/>
        <v>#NUM!</v>
      </c>
      <c r="AA30" s="6" t="e">
        <f t="shared" si="26"/>
        <v>#NUM!</v>
      </c>
      <c r="AB30" s="5">
        <f t="shared" si="27"/>
        <v>-192</v>
      </c>
    </row>
    <row r="31" spans="2:41" x14ac:dyDescent="0.4">
      <c r="B31" s="7">
        <v>17</v>
      </c>
      <c r="C31" s="59" t="e">
        <f t="shared" si="13"/>
        <v>#NUM!</v>
      </c>
      <c r="D31" s="6" t="e">
        <f t="shared" si="14"/>
        <v>#NUM!</v>
      </c>
      <c r="E31" s="6" t="e">
        <f t="shared" si="15"/>
        <v>#NUM!</v>
      </c>
      <c r="F31" s="6" t="e">
        <f t="shared" si="16"/>
        <v>#NUM!</v>
      </c>
      <c r="G31" s="6" t="e">
        <f t="shared" si="17"/>
        <v>#NUM!</v>
      </c>
      <c r="H31" s="5">
        <f t="shared" si="18"/>
        <v>-204</v>
      </c>
      <c r="I31" s="5"/>
      <c r="V31" s="7">
        <v>17</v>
      </c>
      <c r="W31" s="59" t="e">
        <f t="shared" si="22"/>
        <v>#NUM!</v>
      </c>
      <c r="X31" s="6" t="e">
        <f t="shared" si="23"/>
        <v>#NUM!</v>
      </c>
      <c r="Y31" s="6" t="e">
        <f t="shared" si="24"/>
        <v>#NUM!</v>
      </c>
      <c r="Z31" s="6" t="e">
        <f t="shared" si="25"/>
        <v>#NUM!</v>
      </c>
      <c r="AA31" s="6" t="e">
        <f t="shared" si="26"/>
        <v>#NUM!</v>
      </c>
      <c r="AB31" s="5">
        <f t="shared" si="27"/>
        <v>-204</v>
      </c>
    </row>
    <row r="32" spans="2:41" x14ac:dyDescent="0.4">
      <c r="B32" s="7">
        <v>18</v>
      </c>
      <c r="C32" s="59" t="e">
        <f t="shared" si="13"/>
        <v>#NUM!</v>
      </c>
      <c r="D32" s="6" t="e">
        <f t="shared" si="14"/>
        <v>#NUM!</v>
      </c>
      <c r="E32" s="6" t="e">
        <f t="shared" si="15"/>
        <v>#NUM!</v>
      </c>
      <c r="F32" s="6" t="e">
        <f t="shared" si="16"/>
        <v>#NUM!</v>
      </c>
      <c r="G32" s="6" t="e">
        <f t="shared" si="17"/>
        <v>#NUM!</v>
      </c>
      <c r="H32" s="5">
        <f t="shared" si="18"/>
        <v>-216</v>
      </c>
      <c r="I32" s="5"/>
      <c r="V32" s="7">
        <v>18</v>
      </c>
      <c r="W32" s="59" t="e">
        <f t="shared" si="22"/>
        <v>#NUM!</v>
      </c>
      <c r="X32" s="6" t="e">
        <f t="shared" si="23"/>
        <v>#NUM!</v>
      </c>
      <c r="Y32" s="6" t="e">
        <f t="shared" si="24"/>
        <v>#NUM!</v>
      </c>
      <c r="Z32" s="6" t="e">
        <f t="shared" si="25"/>
        <v>#NUM!</v>
      </c>
      <c r="AA32" s="6" t="e">
        <f t="shared" si="26"/>
        <v>#NUM!</v>
      </c>
      <c r="AB32" s="5">
        <f t="shared" si="27"/>
        <v>-216</v>
      </c>
    </row>
    <row r="33" spans="2:28" x14ac:dyDescent="0.4">
      <c r="B33" s="7">
        <v>19</v>
      </c>
      <c r="C33" s="59" t="e">
        <f t="shared" si="13"/>
        <v>#NUM!</v>
      </c>
      <c r="D33" s="6" t="e">
        <f t="shared" si="14"/>
        <v>#NUM!</v>
      </c>
      <c r="E33" s="6" t="e">
        <f t="shared" si="15"/>
        <v>#NUM!</v>
      </c>
      <c r="F33" s="6" t="e">
        <f t="shared" si="16"/>
        <v>#NUM!</v>
      </c>
      <c r="G33" s="6" t="e">
        <f t="shared" si="17"/>
        <v>#NUM!</v>
      </c>
      <c r="H33" s="5">
        <f t="shared" si="18"/>
        <v>-228</v>
      </c>
      <c r="I33" s="5"/>
      <c r="V33" s="7">
        <v>19</v>
      </c>
      <c r="W33" s="59" t="e">
        <f t="shared" si="22"/>
        <v>#NUM!</v>
      </c>
      <c r="X33" s="6" t="e">
        <f t="shared" si="23"/>
        <v>#NUM!</v>
      </c>
      <c r="Y33" s="6" t="e">
        <f t="shared" si="24"/>
        <v>#NUM!</v>
      </c>
      <c r="Z33" s="6" t="e">
        <f t="shared" si="25"/>
        <v>#NUM!</v>
      </c>
      <c r="AA33" s="6" t="e">
        <f t="shared" si="26"/>
        <v>#NUM!</v>
      </c>
      <c r="AB33" s="5">
        <f t="shared" si="27"/>
        <v>-228</v>
      </c>
    </row>
    <row r="34" spans="2:28" x14ac:dyDescent="0.4">
      <c r="B34" s="7">
        <v>20</v>
      </c>
      <c r="C34" s="59" t="e">
        <f t="shared" si="13"/>
        <v>#NUM!</v>
      </c>
      <c r="D34" s="6" t="e">
        <f t="shared" si="14"/>
        <v>#NUM!</v>
      </c>
      <c r="E34" s="6" t="e">
        <f t="shared" si="15"/>
        <v>#NUM!</v>
      </c>
      <c r="F34" s="6" t="e">
        <f t="shared" si="16"/>
        <v>#NUM!</v>
      </c>
      <c r="G34" s="6" t="e">
        <f t="shared" si="17"/>
        <v>#NUM!</v>
      </c>
      <c r="H34" s="5">
        <f t="shared" si="18"/>
        <v>-240</v>
      </c>
      <c r="I34" s="5"/>
      <c r="V34" s="7">
        <v>20</v>
      </c>
      <c r="W34" s="59" t="e">
        <f t="shared" si="22"/>
        <v>#NUM!</v>
      </c>
      <c r="X34" s="6" t="e">
        <f t="shared" si="23"/>
        <v>#NUM!</v>
      </c>
      <c r="Y34" s="6" t="e">
        <f t="shared" si="24"/>
        <v>#NUM!</v>
      </c>
      <c r="Z34" s="6" t="e">
        <f t="shared" si="25"/>
        <v>#NUM!</v>
      </c>
      <c r="AA34" s="6" t="e">
        <f t="shared" si="26"/>
        <v>#NUM!</v>
      </c>
      <c r="AB34" s="5">
        <f t="shared" si="27"/>
        <v>-240</v>
      </c>
    </row>
    <row r="35" spans="2:28" x14ac:dyDescent="0.4">
      <c r="B35" s="7">
        <v>21</v>
      </c>
      <c r="C35" s="59" t="e">
        <f t="shared" si="13"/>
        <v>#NUM!</v>
      </c>
      <c r="D35" s="6" t="e">
        <f t="shared" si="14"/>
        <v>#NUM!</v>
      </c>
      <c r="E35" s="6" t="e">
        <f t="shared" si="15"/>
        <v>#NUM!</v>
      </c>
      <c r="F35" s="6" t="e">
        <f t="shared" si="16"/>
        <v>#NUM!</v>
      </c>
      <c r="G35" s="6" t="e">
        <f t="shared" si="17"/>
        <v>#NUM!</v>
      </c>
      <c r="H35" s="5">
        <f t="shared" si="18"/>
        <v>-252</v>
      </c>
      <c r="I35" s="5"/>
      <c r="V35" s="7">
        <v>21</v>
      </c>
      <c r="W35" s="59" t="e">
        <f t="shared" si="22"/>
        <v>#NUM!</v>
      </c>
      <c r="X35" s="6" t="e">
        <f t="shared" si="23"/>
        <v>#NUM!</v>
      </c>
      <c r="Y35" s="6" t="e">
        <f t="shared" si="24"/>
        <v>#NUM!</v>
      </c>
      <c r="Z35" s="6" t="e">
        <f t="shared" si="25"/>
        <v>#NUM!</v>
      </c>
      <c r="AA35" s="6" t="e">
        <f t="shared" si="26"/>
        <v>#NUM!</v>
      </c>
      <c r="AB35" s="5">
        <f t="shared" si="27"/>
        <v>-252</v>
      </c>
    </row>
    <row r="36" spans="2:28" x14ac:dyDescent="0.4">
      <c r="B36" s="7">
        <v>22</v>
      </c>
      <c r="C36" s="59" t="e">
        <f t="shared" si="13"/>
        <v>#NUM!</v>
      </c>
      <c r="D36" s="6" t="e">
        <f t="shared" si="14"/>
        <v>#NUM!</v>
      </c>
      <c r="E36" s="6" t="e">
        <f t="shared" si="15"/>
        <v>#NUM!</v>
      </c>
      <c r="F36" s="6" t="e">
        <f t="shared" si="16"/>
        <v>#NUM!</v>
      </c>
      <c r="G36" s="6" t="e">
        <f t="shared" si="17"/>
        <v>#NUM!</v>
      </c>
      <c r="H36" s="5">
        <f t="shared" si="18"/>
        <v>-264</v>
      </c>
      <c r="I36" s="5"/>
      <c r="V36" s="7">
        <v>22</v>
      </c>
      <c r="W36" s="59" t="e">
        <f t="shared" si="22"/>
        <v>#NUM!</v>
      </c>
      <c r="X36" s="6" t="e">
        <f t="shared" si="23"/>
        <v>#NUM!</v>
      </c>
      <c r="Y36" s="6" t="e">
        <f t="shared" si="24"/>
        <v>#NUM!</v>
      </c>
      <c r="Z36" s="6" t="e">
        <f t="shared" si="25"/>
        <v>#NUM!</v>
      </c>
      <c r="AA36" s="6" t="e">
        <f t="shared" si="26"/>
        <v>#NUM!</v>
      </c>
      <c r="AB36" s="5">
        <f t="shared" si="27"/>
        <v>-264</v>
      </c>
    </row>
    <row r="37" spans="2:28" x14ac:dyDescent="0.4">
      <c r="B37" s="7">
        <v>23</v>
      </c>
      <c r="C37" s="59" t="e">
        <f t="shared" si="13"/>
        <v>#NUM!</v>
      </c>
      <c r="D37" s="6" t="e">
        <f t="shared" si="14"/>
        <v>#NUM!</v>
      </c>
      <c r="E37" s="6" t="e">
        <f t="shared" si="15"/>
        <v>#NUM!</v>
      </c>
      <c r="F37" s="6" t="e">
        <f t="shared" si="16"/>
        <v>#NUM!</v>
      </c>
      <c r="G37" s="6" t="e">
        <f t="shared" si="17"/>
        <v>#NUM!</v>
      </c>
      <c r="H37" s="5">
        <f t="shared" si="18"/>
        <v>-276</v>
      </c>
      <c r="I37" s="5"/>
      <c r="V37" s="7">
        <v>23</v>
      </c>
      <c r="W37" s="59" t="e">
        <f t="shared" si="22"/>
        <v>#NUM!</v>
      </c>
      <c r="X37" s="6" t="e">
        <f t="shared" si="23"/>
        <v>#NUM!</v>
      </c>
      <c r="Y37" s="6" t="e">
        <f t="shared" si="24"/>
        <v>#NUM!</v>
      </c>
      <c r="Z37" s="6" t="e">
        <f t="shared" si="25"/>
        <v>#NUM!</v>
      </c>
      <c r="AA37" s="6" t="e">
        <f t="shared" si="26"/>
        <v>#NUM!</v>
      </c>
      <c r="AB37" s="5">
        <f t="shared" si="27"/>
        <v>-276</v>
      </c>
    </row>
    <row r="38" spans="2:28" x14ac:dyDescent="0.4">
      <c r="B38" s="7">
        <v>24</v>
      </c>
      <c r="C38" s="59" t="e">
        <f t="shared" si="13"/>
        <v>#NUM!</v>
      </c>
      <c r="D38" s="6" t="e">
        <f t="shared" si="14"/>
        <v>#NUM!</v>
      </c>
      <c r="E38" s="6" t="e">
        <f t="shared" si="15"/>
        <v>#NUM!</v>
      </c>
      <c r="F38" s="6" t="e">
        <f t="shared" si="16"/>
        <v>#NUM!</v>
      </c>
      <c r="G38" s="6" t="e">
        <f t="shared" si="17"/>
        <v>#NUM!</v>
      </c>
      <c r="H38" s="5">
        <f t="shared" si="18"/>
        <v>-288</v>
      </c>
      <c r="I38" s="5"/>
      <c r="V38" s="7">
        <v>24</v>
      </c>
      <c r="W38" s="59" t="e">
        <f t="shared" si="22"/>
        <v>#NUM!</v>
      </c>
      <c r="X38" s="6" t="e">
        <f t="shared" si="23"/>
        <v>#NUM!</v>
      </c>
      <c r="Y38" s="6" t="e">
        <f t="shared" si="24"/>
        <v>#NUM!</v>
      </c>
      <c r="Z38" s="6" t="e">
        <f t="shared" si="25"/>
        <v>#NUM!</v>
      </c>
      <c r="AA38" s="6" t="e">
        <f t="shared" si="26"/>
        <v>#NUM!</v>
      </c>
      <c r="AB38" s="5">
        <f t="shared" si="27"/>
        <v>-288</v>
      </c>
    </row>
    <row r="39" spans="2:28" x14ac:dyDescent="0.4">
      <c r="B39" s="7">
        <v>25</v>
      </c>
      <c r="C39" s="59" t="e">
        <f t="shared" si="13"/>
        <v>#NUM!</v>
      </c>
      <c r="D39" s="6" t="e">
        <f t="shared" si="14"/>
        <v>#NUM!</v>
      </c>
      <c r="E39" s="6" t="e">
        <f t="shared" si="15"/>
        <v>#NUM!</v>
      </c>
      <c r="F39" s="6" t="e">
        <f t="shared" si="16"/>
        <v>#NUM!</v>
      </c>
      <c r="G39" s="6" t="e">
        <f t="shared" si="17"/>
        <v>#NUM!</v>
      </c>
      <c r="H39" s="5">
        <f t="shared" si="18"/>
        <v>-300</v>
      </c>
      <c r="I39" s="5"/>
      <c r="V39" s="7">
        <v>25</v>
      </c>
      <c r="W39" s="59" t="e">
        <f t="shared" si="22"/>
        <v>#NUM!</v>
      </c>
      <c r="X39" s="6" t="e">
        <f t="shared" si="23"/>
        <v>#NUM!</v>
      </c>
      <c r="Y39" s="6" t="e">
        <f t="shared" si="24"/>
        <v>#NUM!</v>
      </c>
      <c r="Z39" s="6" t="e">
        <f t="shared" si="25"/>
        <v>#NUM!</v>
      </c>
      <c r="AA39" s="6" t="e">
        <f t="shared" si="26"/>
        <v>#NUM!</v>
      </c>
      <c r="AB39" s="5">
        <f t="shared" si="27"/>
        <v>-300</v>
      </c>
    </row>
    <row r="40" spans="2:28" x14ac:dyDescent="0.4">
      <c r="B40" s="7">
        <v>26</v>
      </c>
      <c r="C40" s="59" t="e">
        <f t="shared" si="13"/>
        <v>#NUM!</v>
      </c>
      <c r="D40" s="6" t="e">
        <f t="shared" si="14"/>
        <v>#NUM!</v>
      </c>
      <c r="E40" s="6" t="e">
        <f t="shared" si="15"/>
        <v>#NUM!</v>
      </c>
      <c r="F40" s="6" t="e">
        <f t="shared" si="16"/>
        <v>#NUM!</v>
      </c>
      <c r="G40" s="6" t="e">
        <f t="shared" si="17"/>
        <v>#NUM!</v>
      </c>
      <c r="H40" s="5">
        <f t="shared" si="18"/>
        <v>-312</v>
      </c>
      <c r="I40" s="5"/>
      <c r="V40" s="7">
        <v>26</v>
      </c>
      <c r="W40" s="59" t="e">
        <f t="shared" si="22"/>
        <v>#NUM!</v>
      </c>
      <c r="X40" s="6" t="e">
        <f t="shared" si="23"/>
        <v>#NUM!</v>
      </c>
      <c r="Y40" s="6" t="e">
        <f t="shared" si="24"/>
        <v>#NUM!</v>
      </c>
      <c r="Z40" s="6" t="e">
        <f t="shared" si="25"/>
        <v>#NUM!</v>
      </c>
      <c r="AA40" s="6" t="e">
        <f t="shared" si="26"/>
        <v>#NUM!</v>
      </c>
      <c r="AB40" s="5">
        <f t="shared" si="27"/>
        <v>-312</v>
      </c>
    </row>
    <row r="41" spans="2:28" x14ac:dyDescent="0.4">
      <c r="B41" s="7">
        <v>27</v>
      </c>
      <c r="C41" s="59" t="e">
        <f t="shared" si="13"/>
        <v>#NUM!</v>
      </c>
      <c r="D41" s="6" t="e">
        <f t="shared" si="14"/>
        <v>#NUM!</v>
      </c>
      <c r="E41" s="6" t="e">
        <f t="shared" si="15"/>
        <v>#NUM!</v>
      </c>
      <c r="F41" s="6" t="e">
        <f t="shared" si="16"/>
        <v>#NUM!</v>
      </c>
      <c r="G41" s="6" t="e">
        <f t="shared" si="17"/>
        <v>#NUM!</v>
      </c>
      <c r="H41" s="5">
        <f t="shared" si="18"/>
        <v>-324</v>
      </c>
      <c r="I41" s="5"/>
      <c r="V41" s="7">
        <v>27</v>
      </c>
      <c r="W41" s="59" t="e">
        <f t="shared" si="22"/>
        <v>#NUM!</v>
      </c>
      <c r="X41" s="6" t="e">
        <f t="shared" si="23"/>
        <v>#NUM!</v>
      </c>
      <c r="Y41" s="6" t="e">
        <f t="shared" si="24"/>
        <v>#NUM!</v>
      </c>
      <c r="Z41" s="6" t="e">
        <f t="shared" si="25"/>
        <v>#NUM!</v>
      </c>
      <c r="AA41" s="6" t="e">
        <f t="shared" si="26"/>
        <v>#NUM!</v>
      </c>
      <c r="AB41" s="5">
        <f t="shared" si="27"/>
        <v>-324</v>
      </c>
    </row>
    <row r="42" spans="2:28" x14ac:dyDescent="0.4">
      <c r="B42" s="7">
        <v>28</v>
      </c>
      <c r="C42" s="59" t="e">
        <f t="shared" si="13"/>
        <v>#NUM!</v>
      </c>
      <c r="D42" s="6" t="e">
        <f t="shared" si="14"/>
        <v>#NUM!</v>
      </c>
      <c r="E42" s="6" t="e">
        <f t="shared" si="15"/>
        <v>#NUM!</v>
      </c>
      <c r="F42" s="6" t="e">
        <f t="shared" si="16"/>
        <v>#NUM!</v>
      </c>
      <c r="G42" s="6" t="e">
        <f t="shared" si="17"/>
        <v>#NUM!</v>
      </c>
      <c r="H42" s="5">
        <f t="shared" si="18"/>
        <v>-336</v>
      </c>
      <c r="I42" s="5"/>
      <c r="V42" s="7">
        <v>28</v>
      </c>
      <c r="W42" s="59" t="e">
        <f t="shared" si="22"/>
        <v>#NUM!</v>
      </c>
      <c r="X42" s="6" t="e">
        <f t="shared" si="23"/>
        <v>#NUM!</v>
      </c>
      <c r="Y42" s="6" t="e">
        <f t="shared" si="24"/>
        <v>#NUM!</v>
      </c>
      <c r="Z42" s="6" t="e">
        <f t="shared" si="25"/>
        <v>#NUM!</v>
      </c>
      <c r="AA42" s="6" t="e">
        <f t="shared" si="26"/>
        <v>#NUM!</v>
      </c>
      <c r="AB42" s="5">
        <f t="shared" si="27"/>
        <v>-336</v>
      </c>
    </row>
    <row r="43" spans="2:28" x14ac:dyDescent="0.4">
      <c r="B43" s="7">
        <v>29</v>
      </c>
      <c r="C43" s="59" t="e">
        <f t="shared" si="13"/>
        <v>#NUM!</v>
      </c>
      <c r="D43" s="6" t="e">
        <f t="shared" si="14"/>
        <v>#NUM!</v>
      </c>
      <c r="E43" s="6" t="e">
        <f t="shared" si="15"/>
        <v>#NUM!</v>
      </c>
      <c r="F43" s="6" t="e">
        <f t="shared" si="16"/>
        <v>#NUM!</v>
      </c>
      <c r="G43" s="6" t="e">
        <f t="shared" si="17"/>
        <v>#NUM!</v>
      </c>
      <c r="H43" s="5">
        <f t="shared" si="18"/>
        <v>-348</v>
      </c>
      <c r="I43" s="5"/>
      <c r="V43" s="7">
        <v>29</v>
      </c>
      <c r="W43" s="59" t="e">
        <f t="shared" si="22"/>
        <v>#NUM!</v>
      </c>
      <c r="X43" s="6" t="e">
        <f t="shared" si="23"/>
        <v>#NUM!</v>
      </c>
      <c r="Y43" s="6" t="e">
        <f t="shared" si="24"/>
        <v>#NUM!</v>
      </c>
      <c r="Z43" s="6" t="e">
        <f t="shared" si="25"/>
        <v>#NUM!</v>
      </c>
      <c r="AA43" s="6" t="e">
        <f t="shared" si="26"/>
        <v>#NUM!</v>
      </c>
      <c r="AB43" s="5">
        <f t="shared" si="27"/>
        <v>-348</v>
      </c>
    </row>
    <row r="44" spans="2:28" x14ac:dyDescent="0.4">
      <c r="B44" s="7">
        <v>30</v>
      </c>
      <c r="C44" s="59" t="e">
        <f t="shared" si="13"/>
        <v>#NUM!</v>
      </c>
      <c r="D44" s="6" t="e">
        <f t="shared" si="14"/>
        <v>#NUM!</v>
      </c>
      <c r="E44" s="6" t="e">
        <f t="shared" si="15"/>
        <v>#NUM!</v>
      </c>
      <c r="F44" s="6" t="e">
        <f t="shared" si="16"/>
        <v>#NUM!</v>
      </c>
      <c r="G44" s="6" t="e">
        <f t="shared" si="17"/>
        <v>#NUM!</v>
      </c>
      <c r="H44" s="5">
        <f t="shared" si="18"/>
        <v>-360</v>
      </c>
      <c r="I44" s="5"/>
      <c r="V44" s="7">
        <v>30</v>
      </c>
      <c r="W44" s="59" t="e">
        <f t="shared" si="22"/>
        <v>#NUM!</v>
      </c>
      <c r="X44" s="6" t="e">
        <f t="shared" si="23"/>
        <v>#NUM!</v>
      </c>
      <c r="Y44" s="6" t="e">
        <f t="shared" si="24"/>
        <v>#NUM!</v>
      </c>
      <c r="Z44" s="6" t="e">
        <f t="shared" si="25"/>
        <v>#NUM!</v>
      </c>
      <c r="AA44" s="6" t="e">
        <f t="shared" si="26"/>
        <v>#NUM!</v>
      </c>
      <c r="AB44" s="5">
        <f t="shared" si="27"/>
        <v>-360</v>
      </c>
    </row>
    <row r="45" spans="2:28" x14ac:dyDescent="0.4">
      <c r="B45" s="7">
        <v>31</v>
      </c>
      <c r="C45" s="59" t="e">
        <f t="shared" si="13"/>
        <v>#NUM!</v>
      </c>
      <c r="D45" s="6" t="e">
        <f t="shared" si="14"/>
        <v>#NUM!</v>
      </c>
      <c r="E45" s="6" t="e">
        <f t="shared" si="15"/>
        <v>#NUM!</v>
      </c>
      <c r="F45" s="6" t="e">
        <f t="shared" si="16"/>
        <v>#NUM!</v>
      </c>
      <c r="G45" s="6" t="e">
        <f t="shared" si="17"/>
        <v>#NUM!</v>
      </c>
      <c r="H45" s="5">
        <f t="shared" si="18"/>
        <v>-372</v>
      </c>
      <c r="I45" s="5"/>
      <c r="V45" s="7">
        <v>31</v>
      </c>
      <c r="W45" s="59" t="e">
        <f t="shared" si="22"/>
        <v>#NUM!</v>
      </c>
      <c r="X45" s="6" t="e">
        <f t="shared" si="23"/>
        <v>#NUM!</v>
      </c>
      <c r="Y45" s="6" t="e">
        <f t="shared" si="24"/>
        <v>#NUM!</v>
      </c>
      <c r="Z45" s="6" t="e">
        <f t="shared" si="25"/>
        <v>#NUM!</v>
      </c>
      <c r="AA45" s="6" t="e">
        <f t="shared" si="26"/>
        <v>#NUM!</v>
      </c>
      <c r="AB45" s="5">
        <f t="shared" si="27"/>
        <v>-372</v>
      </c>
    </row>
    <row r="46" spans="2:28" x14ac:dyDescent="0.4">
      <c r="B46" s="7">
        <v>32</v>
      </c>
      <c r="C46" s="59" t="e">
        <f t="shared" si="13"/>
        <v>#NUM!</v>
      </c>
      <c r="D46" s="6" t="e">
        <f t="shared" si="14"/>
        <v>#NUM!</v>
      </c>
      <c r="E46" s="6" t="e">
        <f t="shared" si="15"/>
        <v>#NUM!</v>
      </c>
      <c r="F46" s="6" t="e">
        <f t="shared" si="16"/>
        <v>#NUM!</v>
      </c>
      <c r="G46" s="6" t="e">
        <f t="shared" si="17"/>
        <v>#NUM!</v>
      </c>
      <c r="H46" s="5">
        <f t="shared" si="18"/>
        <v>-384</v>
      </c>
      <c r="I46" s="5"/>
      <c r="V46" s="7">
        <v>32</v>
      </c>
      <c r="W46" s="59" t="e">
        <f t="shared" si="22"/>
        <v>#NUM!</v>
      </c>
      <c r="X46" s="6" t="e">
        <f t="shared" si="23"/>
        <v>#NUM!</v>
      </c>
      <c r="Y46" s="6" t="e">
        <f t="shared" si="24"/>
        <v>#NUM!</v>
      </c>
      <c r="Z46" s="6" t="e">
        <f t="shared" si="25"/>
        <v>#NUM!</v>
      </c>
      <c r="AA46" s="6" t="e">
        <f t="shared" si="26"/>
        <v>#NUM!</v>
      </c>
      <c r="AB46" s="5">
        <f t="shared" si="27"/>
        <v>-384</v>
      </c>
    </row>
    <row r="47" spans="2:28" x14ac:dyDescent="0.4">
      <c r="B47" s="7">
        <v>33</v>
      </c>
      <c r="C47" s="59" t="e">
        <f t="shared" si="13"/>
        <v>#NUM!</v>
      </c>
      <c r="D47" s="6" t="e">
        <f t="shared" si="14"/>
        <v>#NUM!</v>
      </c>
      <c r="E47" s="6" t="e">
        <f t="shared" si="15"/>
        <v>#NUM!</v>
      </c>
      <c r="F47" s="6" t="e">
        <f t="shared" si="16"/>
        <v>#NUM!</v>
      </c>
      <c r="G47" s="6" t="e">
        <f t="shared" si="17"/>
        <v>#NUM!</v>
      </c>
      <c r="H47" s="5">
        <f t="shared" si="18"/>
        <v>-396</v>
      </c>
      <c r="I47" s="5"/>
      <c r="V47" s="7">
        <v>33</v>
      </c>
      <c r="W47" s="59" t="e">
        <f t="shared" si="22"/>
        <v>#NUM!</v>
      </c>
      <c r="X47" s="6" t="e">
        <f t="shared" si="23"/>
        <v>#NUM!</v>
      </c>
      <c r="Y47" s="6" t="e">
        <f t="shared" si="24"/>
        <v>#NUM!</v>
      </c>
      <c r="Z47" s="6" t="e">
        <f t="shared" si="25"/>
        <v>#NUM!</v>
      </c>
      <c r="AA47" s="6" t="e">
        <f t="shared" si="26"/>
        <v>#NUM!</v>
      </c>
      <c r="AB47" s="5">
        <f t="shared" si="27"/>
        <v>-396</v>
      </c>
    </row>
    <row r="48" spans="2:28" x14ac:dyDescent="0.4">
      <c r="B48" s="7">
        <v>34</v>
      </c>
      <c r="C48" s="59" t="e">
        <f t="shared" si="13"/>
        <v>#NUM!</v>
      </c>
      <c r="D48" s="6" t="e">
        <f t="shared" si="14"/>
        <v>#NUM!</v>
      </c>
      <c r="E48" s="6" t="e">
        <f t="shared" si="15"/>
        <v>#NUM!</v>
      </c>
      <c r="F48" s="6" t="e">
        <f t="shared" si="16"/>
        <v>#NUM!</v>
      </c>
      <c r="G48" s="6" t="e">
        <f t="shared" si="17"/>
        <v>#NUM!</v>
      </c>
      <c r="H48" s="5">
        <f t="shared" si="18"/>
        <v>-408</v>
      </c>
      <c r="I48" s="5"/>
      <c r="V48" s="7">
        <v>34</v>
      </c>
      <c r="W48" s="59" t="e">
        <f t="shared" si="22"/>
        <v>#NUM!</v>
      </c>
      <c r="X48" s="6" t="e">
        <f t="shared" si="23"/>
        <v>#NUM!</v>
      </c>
      <c r="Y48" s="6" t="e">
        <f t="shared" si="24"/>
        <v>#NUM!</v>
      </c>
      <c r="Z48" s="6" t="e">
        <f t="shared" si="25"/>
        <v>#NUM!</v>
      </c>
      <c r="AA48" s="6" t="e">
        <f t="shared" si="26"/>
        <v>#NUM!</v>
      </c>
      <c r="AB48" s="5">
        <f t="shared" si="27"/>
        <v>-408</v>
      </c>
    </row>
    <row r="49" spans="2:28" x14ac:dyDescent="0.4">
      <c r="B49" s="7">
        <v>35</v>
      </c>
      <c r="C49" s="59" t="e">
        <f t="shared" si="13"/>
        <v>#NUM!</v>
      </c>
      <c r="D49" s="6" t="e">
        <f t="shared" si="14"/>
        <v>#NUM!</v>
      </c>
      <c r="E49" s="6" t="e">
        <f t="shared" si="15"/>
        <v>#NUM!</v>
      </c>
      <c r="F49" s="6" t="e">
        <f t="shared" si="16"/>
        <v>#NUM!</v>
      </c>
      <c r="G49" s="6" t="e">
        <f t="shared" si="17"/>
        <v>#NUM!</v>
      </c>
      <c r="H49" s="5">
        <f t="shared" si="18"/>
        <v>-420</v>
      </c>
      <c r="I49" s="5"/>
      <c r="V49" s="7">
        <v>35</v>
      </c>
      <c r="W49" s="59" t="e">
        <f t="shared" si="22"/>
        <v>#NUM!</v>
      </c>
      <c r="X49" s="6" t="e">
        <f t="shared" si="23"/>
        <v>#NUM!</v>
      </c>
      <c r="Y49" s="6" t="e">
        <f t="shared" si="24"/>
        <v>#NUM!</v>
      </c>
      <c r="Z49" s="6" t="e">
        <f t="shared" si="25"/>
        <v>#NUM!</v>
      </c>
      <c r="AA49" s="6" t="e">
        <f t="shared" si="26"/>
        <v>#NUM!</v>
      </c>
      <c r="AB49" s="5">
        <f t="shared" si="27"/>
        <v>-420</v>
      </c>
    </row>
    <row r="50" spans="2:28" x14ac:dyDescent="0.4">
      <c r="B50" s="7">
        <v>36</v>
      </c>
      <c r="C50" s="59" t="e">
        <f t="shared" si="13"/>
        <v>#NUM!</v>
      </c>
      <c r="D50" s="6" t="e">
        <f t="shared" si="14"/>
        <v>#NUM!</v>
      </c>
      <c r="E50" s="6" t="e">
        <f t="shared" si="15"/>
        <v>#NUM!</v>
      </c>
      <c r="F50" s="6" t="e">
        <f t="shared" si="16"/>
        <v>#NUM!</v>
      </c>
      <c r="G50" s="6" t="e">
        <f t="shared" si="17"/>
        <v>#NUM!</v>
      </c>
      <c r="H50" s="5">
        <f t="shared" si="18"/>
        <v>-432</v>
      </c>
      <c r="I50" s="5"/>
      <c r="V50" s="7">
        <v>36</v>
      </c>
      <c r="W50" s="59" t="e">
        <f t="shared" si="22"/>
        <v>#NUM!</v>
      </c>
      <c r="X50" s="6" t="e">
        <f t="shared" si="23"/>
        <v>#NUM!</v>
      </c>
      <c r="Y50" s="6" t="e">
        <f t="shared" si="24"/>
        <v>#NUM!</v>
      </c>
      <c r="Z50" s="6" t="e">
        <f t="shared" si="25"/>
        <v>#NUM!</v>
      </c>
      <c r="AA50" s="6" t="e">
        <f t="shared" si="26"/>
        <v>#NUM!</v>
      </c>
      <c r="AB50" s="5">
        <f t="shared" si="27"/>
        <v>-432</v>
      </c>
    </row>
    <row r="51" spans="2:28" x14ac:dyDescent="0.4">
      <c r="B51" s="7">
        <v>37</v>
      </c>
      <c r="C51" s="59" t="e">
        <f t="shared" si="13"/>
        <v>#NUM!</v>
      </c>
      <c r="D51" s="6" t="e">
        <f t="shared" si="14"/>
        <v>#NUM!</v>
      </c>
      <c r="E51" s="6" t="e">
        <f t="shared" si="15"/>
        <v>#NUM!</v>
      </c>
      <c r="F51" s="6" t="e">
        <f t="shared" si="16"/>
        <v>#NUM!</v>
      </c>
      <c r="G51" s="6" t="e">
        <f t="shared" si="17"/>
        <v>#NUM!</v>
      </c>
      <c r="H51" s="5">
        <f t="shared" si="18"/>
        <v>-444</v>
      </c>
      <c r="I51" s="5"/>
      <c r="V51" s="7">
        <v>37</v>
      </c>
      <c r="W51" s="59" t="e">
        <f t="shared" si="22"/>
        <v>#NUM!</v>
      </c>
      <c r="X51" s="6" t="e">
        <f t="shared" si="23"/>
        <v>#NUM!</v>
      </c>
      <c r="Y51" s="6" t="e">
        <f t="shared" si="24"/>
        <v>#NUM!</v>
      </c>
      <c r="Z51" s="6" t="e">
        <f t="shared" si="25"/>
        <v>#NUM!</v>
      </c>
      <c r="AA51" s="6" t="e">
        <f t="shared" si="26"/>
        <v>#NUM!</v>
      </c>
      <c r="AB51" s="5">
        <f t="shared" si="27"/>
        <v>-444</v>
      </c>
    </row>
    <row r="52" spans="2:28" x14ac:dyDescent="0.4">
      <c r="B52" s="7">
        <v>38</v>
      </c>
      <c r="C52" s="59" t="e">
        <f t="shared" si="13"/>
        <v>#NUM!</v>
      </c>
      <c r="D52" s="6" t="e">
        <f t="shared" si="14"/>
        <v>#NUM!</v>
      </c>
      <c r="E52" s="6" t="e">
        <f t="shared" si="15"/>
        <v>#NUM!</v>
      </c>
      <c r="F52" s="6" t="e">
        <f t="shared" si="16"/>
        <v>#NUM!</v>
      </c>
      <c r="G52" s="6" t="e">
        <f t="shared" si="17"/>
        <v>#NUM!</v>
      </c>
      <c r="H52" s="5">
        <f t="shared" si="18"/>
        <v>-456</v>
      </c>
      <c r="I52" s="5"/>
      <c r="V52" s="7">
        <v>38</v>
      </c>
      <c r="W52" s="59" t="e">
        <f t="shared" si="22"/>
        <v>#NUM!</v>
      </c>
      <c r="X52" s="6" t="e">
        <f t="shared" si="23"/>
        <v>#NUM!</v>
      </c>
      <c r="Y52" s="6" t="e">
        <f t="shared" si="24"/>
        <v>#NUM!</v>
      </c>
      <c r="Z52" s="6" t="e">
        <f t="shared" si="25"/>
        <v>#NUM!</v>
      </c>
      <c r="AA52" s="6" t="e">
        <f t="shared" si="26"/>
        <v>#NUM!</v>
      </c>
      <c r="AB52" s="5">
        <f t="shared" si="27"/>
        <v>-456</v>
      </c>
    </row>
    <row r="53" spans="2:28" x14ac:dyDescent="0.4">
      <c r="B53" s="7">
        <v>39</v>
      </c>
      <c r="C53" s="59" t="e">
        <f t="shared" si="13"/>
        <v>#NUM!</v>
      </c>
      <c r="D53" s="6" t="e">
        <f t="shared" si="14"/>
        <v>#NUM!</v>
      </c>
      <c r="E53" s="6" t="e">
        <f t="shared" si="15"/>
        <v>#NUM!</v>
      </c>
      <c r="F53" s="6" t="e">
        <f t="shared" si="16"/>
        <v>#NUM!</v>
      </c>
      <c r="G53" s="6" t="e">
        <f t="shared" si="17"/>
        <v>#NUM!</v>
      </c>
      <c r="H53" s="5">
        <f t="shared" si="18"/>
        <v>-468</v>
      </c>
      <c r="I53" s="5"/>
      <c r="V53" s="7">
        <v>39</v>
      </c>
      <c r="W53" s="59" t="e">
        <f t="shared" si="22"/>
        <v>#NUM!</v>
      </c>
      <c r="X53" s="6" t="e">
        <f t="shared" si="23"/>
        <v>#NUM!</v>
      </c>
      <c r="Y53" s="6" t="e">
        <f t="shared" si="24"/>
        <v>#NUM!</v>
      </c>
      <c r="Z53" s="6" t="e">
        <f t="shared" si="25"/>
        <v>#NUM!</v>
      </c>
      <c r="AA53" s="6" t="e">
        <f t="shared" si="26"/>
        <v>#NUM!</v>
      </c>
      <c r="AB53" s="5">
        <f t="shared" si="27"/>
        <v>-468</v>
      </c>
    </row>
    <row r="54" spans="2:28" x14ac:dyDescent="0.4">
      <c r="B54" s="7">
        <v>40</v>
      </c>
      <c r="C54" s="59" t="e">
        <f t="shared" si="13"/>
        <v>#NUM!</v>
      </c>
      <c r="D54" s="6" t="e">
        <f t="shared" si="14"/>
        <v>#NUM!</v>
      </c>
      <c r="E54" s="6" t="e">
        <f t="shared" si="15"/>
        <v>#NUM!</v>
      </c>
      <c r="F54" s="6" t="e">
        <f t="shared" si="16"/>
        <v>#NUM!</v>
      </c>
      <c r="G54" s="6" t="e">
        <f t="shared" si="17"/>
        <v>#NUM!</v>
      </c>
      <c r="H54" s="5">
        <f t="shared" si="18"/>
        <v>-480</v>
      </c>
      <c r="I54" s="5"/>
      <c r="V54" s="7">
        <v>40</v>
      </c>
      <c r="W54" s="59" t="e">
        <f>AA53</f>
        <v>#NUM!</v>
      </c>
      <c r="X54" s="6" t="e">
        <f>-PMT($X$7/12,$X$9*12,$X$6,,)*12</f>
        <v>#NUM!</v>
      </c>
      <c r="Y54" s="6" t="e">
        <f>X54-Z54</f>
        <v>#NUM!</v>
      </c>
      <c r="Z54" s="6" t="e">
        <f>W54-AA54</f>
        <v>#NUM!</v>
      </c>
      <c r="AA54" s="6" t="e">
        <f>-PV($X$7/12,AB54,X54/12)</f>
        <v>#NUM!</v>
      </c>
      <c r="AB54" s="5">
        <f>AB53-12</f>
        <v>-480</v>
      </c>
    </row>
    <row r="55" spans="2:28" x14ac:dyDescent="0.4">
      <c r="C55" s="59"/>
      <c r="D55" s="6"/>
      <c r="E55" s="6"/>
      <c r="F55" s="6"/>
      <c r="G55" s="6"/>
      <c r="H55" s="6"/>
      <c r="I55" s="6"/>
      <c r="V55" s="7"/>
      <c r="W55" s="59"/>
      <c r="X55" s="6"/>
      <c r="Y55" s="6"/>
      <c r="Z55" s="6"/>
      <c r="AA55" s="6"/>
      <c r="AB55" s="6"/>
    </row>
    <row r="56" spans="2:28" x14ac:dyDescent="0.4">
      <c r="B56" s="7" t="s">
        <v>79</v>
      </c>
      <c r="C56" s="1" t="s">
        <v>74</v>
      </c>
      <c r="D56" s="2" t="s">
        <v>75</v>
      </c>
      <c r="E56" s="2" t="s">
        <v>76</v>
      </c>
      <c r="F56" s="2" t="s">
        <v>77</v>
      </c>
      <c r="G56" s="2" t="s">
        <v>78</v>
      </c>
      <c r="V56" s="7" t="s">
        <v>79</v>
      </c>
      <c r="W56" s="1" t="s">
        <v>74</v>
      </c>
      <c r="X56" s="2" t="s">
        <v>75</v>
      </c>
      <c r="Y56" s="2" t="s">
        <v>76</v>
      </c>
      <c r="Z56" s="2" t="s">
        <v>77</v>
      </c>
      <c r="AA56" s="2" t="s">
        <v>78</v>
      </c>
      <c r="AB56" s="2"/>
    </row>
    <row r="57" spans="2:28" x14ac:dyDescent="0.4">
      <c r="B57" s="7">
        <v>0</v>
      </c>
      <c r="F57" s="6"/>
      <c r="G57" s="6">
        <f>$D$6</f>
        <v>0</v>
      </c>
      <c r="H57" s="6"/>
      <c r="I57" s="6"/>
      <c r="V57" s="7">
        <v>0</v>
      </c>
      <c r="X57" s="2"/>
      <c r="Y57" s="2"/>
      <c r="Z57" s="6"/>
      <c r="AA57" s="6">
        <f>$X$6</f>
        <v>0</v>
      </c>
      <c r="AB57" s="6"/>
    </row>
    <row r="58" spans="2:28" x14ac:dyDescent="0.4">
      <c r="B58" s="7">
        <v>1</v>
      </c>
      <c r="C58" s="59">
        <f>G57</f>
        <v>0</v>
      </c>
      <c r="D58" s="6" t="e">
        <f>-PMT($D$7/12,$D$9*12,$D$6,,)</f>
        <v>#NUM!</v>
      </c>
      <c r="E58" s="6">
        <f>C58*$D$7/12</f>
        <v>0</v>
      </c>
      <c r="F58" s="6" t="e">
        <f>D58-E58</f>
        <v>#NUM!</v>
      </c>
      <c r="G58" s="6" t="e">
        <f>C58-F58</f>
        <v>#NUM!</v>
      </c>
      <c r="H58" s="6"/>
      <c r="I58" s="6"/>
      <c r="V58" s="7">
        <v>1</v>
      </c>
      <c r="W58" s="59">
        <f>AA57</f>
        <v>0</v>
      </c>
      <c r="X58" s="6" t="e">
        <f>-PMT($X$7/12,$X$9*12,$X$6,,)</f>
        <v>#NUM!</v>
      </c>
      <c r="Y58" s="6">
        <f>W58*$X$7/12</f>
        <v>0</v>
      </c>
      <c r="Z58" s="6" t="e">
        <f>X58-Y58</f>
        <v>#NUM!</v>
      </c>
      <c r="AA58" s="6" t="e">
        <f>W58-Z58</f>
        <v>#NUM!</v>
      </c>
      <c r="AB58" s="6"/>
    </row>
    <row r="59" spans="2:28" x14ac:dyDescent="0.4">
      <c r="B59" s="7">
        <v>2</v>
      </c>
      <c r="C59" s="59" t="e">
        <f t="shared" ref="C59:C122" si="31">G58</f>
        <v>#NUM!</v>
      </c>
      <c r="D59" s="6" t="e">
        <f t="shared" ref="D59:D122" si="32">-PMT($D$7/12,$D$9*12,$D$6,,)</f>
        <v>#NUM!</v>
      </c>
      <c r="E59" s="6" t="e">
        <f t="shared" ref="E59:E122" si="33">C59*$D$7/12</f>
        <v>#NUM!</v>
      </c>
      <c r="F59" s="6" t="e">
        <f t="shared" ref="F59:F122" si="34">D59-E59</f>
        <v>#NUM!</v>
      </c>
      <c r="G59" s="6" t="e">
        <f t="shared" ref="G59:G122" si="35">C59-F59</f>
        <v>#NUM!</v>
      </c>
      <c r="H59" s="6"/>
      <c r="I59" s="6"/>
      <c r="V59" s="7">
        <v>2</v>
      </c>
      <c r="W59" s="59" t="e">
        <f t="shared" ref="W59:W122" si="36">AA58</f>
        <v>#NUM!</v>
      </c>
      <c r="X59" s="6" t="e">
        <f t="shared" ref="X59:X122" si="37">-PMT($X$7/12,$X$9*12,$X$6,,)</f>
        <v>#NUM!</v>
      </c>
      <c r="Y59" s="6" t="e">
        <f t="shared" ref="Y59:Y122" si="38">W59*$X$7/12</f>
        <v>#NUM!</v>
      </c>
      <c r="Z59" s="6" t="e">
        <f t="shared" ref="Z59:Z122" si="39">X59-Y59</f>
        <v>#NUM!</v>
      </c>
      <c r="AA59" s="6" t="e">
        <f t="shared" ref="AA59:AA122" si="40">W59-Z59</f>
        <v>#NUM!</v>
      </c>
      <c r="AB59" s="6"/>
    </row>
    <row r="60" spans="2:28" x14ac:dyDescent="0.4">
      <c r="B60" s="7">
        <v>3</v>
      </c>
      <c r="C60" s="59" t="e">
        <f t="shared" si="31"/>
        <v>#NUM!</v>
      </c>
      <c r="D60" s="6" t="e">
        <f t="shared" si="32"/>
        <v>#NUM!</v>
      </c>
      <c r="E60" s="6" t="e">
        <f t="shared" si="33"/>
        <v>#NUM!</v>
      </c>
      <c r="F60" s="6" t="e">
        <f t="shared" si="34"/>
        <v>#NUM!</v>
      </c>
      <c r="G60" s="6" t="e">
        <f t="shared" si="35"/>
        <v>#NUM!</v>
      </c>
      <c r="H60" s="6"/>
      <c r="I60" s="6"/>
      <c r="V60" s="7">
        <v>3</v>
      </c>
      <c r="W60" s="59" t="e">
        <f t="shared" si="36"/>
        <v>#NUM!</v>
      </c>
      <c r="X60" s="6" t="e">
        <f t="shared" si="37"/>
        <v>#NUM!</v>
      </c>
      <c r="Y60" s="6" t="e">
        <f t="shared" si="38"/>
        <v>#NUM!</v>
      </c>
      <c r="Z60" s="6" t="e">
        <f t="shared" si="39"/>
        <v>#NUM!</v>
      </c>
      <c r="AA60" s="6" t="e">
        <f t="shared" si="40"/>
        <v>#NUM!</v>
      </c>
      <c r="AB60" s="6"/>
    </row>
    <row r="61" spans="2:28" x14ac:dyDescent="0.4">
      <c r="B61" s="7">
        <v>4</v>
      </c>
      <c r="C61" s="59" t="e">
        <f t="shared" si="31"/>
        <v>#NUM!</v>
      </c>
      <c r="D61" s="6" t="e">
        <f t="shared" si="32"/>
        <v>#NUM!</v>
      </c>
      <c r="E61" s="6" t="e">
        <f t="shared" si="33"/>
        <v>#NUM!</v>
      </c>
      <c r="F61" s="6" t="e">
        <f t="shared" si="34"/>
        <v>#NUM!</v>
      </c>
      <c r="G61" s="6" t="e">
        <f t="shared" si="35"/>
        <v>#NUM!</v>
      </c>
      <c r="H61" s="6"/>
      <c r="I61" s="6"/>
      <c r="J61" s="60"/>
      <c r="V61" s="7">
        <v>4</v>
      </c>
      <c r="W61" s="59" t="e">
        <f t="shared" si="36"/>
        <v>#NUM!</v>
      </c>
      <c r="X61" s="6" t="e">
        <f t="shared" si="37"/>
        <v>#NUM!</v>
      </c>
      <c r="Y61" s="6" t="e">
        <f t="shared" si="38"/>
        <v>#NUM!</v>
      </c>
      <c r="Z61" s="6" t="e">
        <f t="shared" si="39"/>
        <v>#NUM!</v>
      </c>
      <c r="AA61" s="6" t="e">
        <f t="shared" si="40"/>
        <v>#NUM!</v>
      </c>
      <c r="AB61" s="6"/>
    </row>
    <row r="62" spans="2:28" x14ac:dyDescent="0.4">
      <c r="B62" s="7">
        <v>5</v>
      </c>
      <c r="C62" s="59" t="e">
        <f t="shared" si="31"/>
        <v>#NUM!</v>
      </c>
      <c r="D62" s="6" t="e">
        <f t="shared" si="32"/>
        <v>#NUM!</v>
      </c>
      <c r="E62" s="6" t="e">
        <f t="shared" si="33"/>
        <v>#NUM!</v>
      </c>
      <c r="F62" s="6" t="e">
        <f t="shared" si="34"/>
        <v>#NUM!</v>
      </c>
      <c r="G62" s="6" t="e">
        <f t="shared" si="35"/>
        <v>#NUM!</v>
      </c>
      <c r="H62" s="6"/>
      <c r="I62" s="6"/>
      <c r="V62" s="7">
        <v>5</v>
      </c>
      <c r="W62" s="59" t="e">
        <f t="shared" si="36"/>
        <v>#NUM!</v>
      </c>
      <c r="X62" s="6" t="e">
        <f t="shared" si="37"/>
        <v>#NUM!</v>
      </c>
      <c r="Y62" s="6" t="e">
        <f t="shared" si="38"/>
        <v>#NUM!</v>
      </c>
      <c r="Z62" s="6" t="e">
        <f t="shared" si="39"/>
        <v>#NUM!</v>
      </c>
      <c r="AA62" s="6" t="e">
        <f t="shared" si="40"/>
        <v>#NUM!</v>
      </c>
      <c r="AB62" s="6"/>
    </row>
    <row r="63" spans="2:28" x14ac:dyDescent="0.4">
      <c r="B63" s="7">
        <v>6</v>
      </c>
      <c r="C63" s="59" t="e">
        <f t="shared" si="31"/>
        <v>#NUM!</v>
      </c>
      <c r="D63" s="6" t="e">
        <f t="shared" si="32"/>
        <v>#NUM!</v>
      </c>
      <c r="E63" s="6" t="e">
        <f t="shared" si="33"/>
        <v>#NUM!</v>
      </c>
      <c r="F63" s="6" t="e">
        <f t="shared" si="34"/>
        <v>#NUM!</v>
      </c>
      <c r="G63" s="6" t="e">
        <f t="shared" si="35"/>
        <v>#NUM!</v>
      </c>
      <c r="H63" s="6"/>
      <c r="I63" s="6"/>
      <c r="V63" s="7">
        <v>6</v>
      </c>
      <c r="W63" s="59" t="e">
        <f t="shared" si="36"/>
        <v>#NUM!</v>
      </c>
      <c r="X63" s="6" t="e">
        <f t="shared" si="37"/>
        <v>#NUM!</v>
      </c>
      <c r="Y63" s="6" t="e">
        <f t="shared" si="38"/>
        <v>#NUM!</v>
      </c>
      <c r="Z63" s="6" t="e">
        <f t="shared" si="39"/>
        <v>#NUM!</v>
      </c>
      <c r="AA63" s="6" t="e">
        <f t="shared" si="40"/>
        <v>#NUM!</v>
      </c>
      <c r="AB63" s="6"/>
    </row>
    <row r="64" spans="2:28" x14ac:dyDescent="0.4">
      <c r="B64" s="7">
        <v>7</v>
      </c>
      <c r="C64" s="59" t="e">
        <f t="shared" si="31"/>
        <v>#NUM!</v>
      </c>
      <c r="D64" s="6" t="e">
        <f t="shared" si="32"/>
        <v>#NUM!</v>
      </c>
      <c r="E64" s="6" t="e">
        <f t="shared" si="33"/>
        <v>#NUM!</v>
      </c>
      <c r="F64" s="6" t="e">
        <f t="shared" si="34"/>
        <v>#NUM!</v>
      </c>
      <c r="G64" s="6" t="e">
        <f t="shared" si="35"/>
        <v>#NUM!</v>
      </c>
      <c r="H64" s="6"/>
      <c r="I64" s="6"/>
      <c r="V64" s="7">
        <v>7</v>
      </c>
      <c r="W64" s="59" t="e">
        <f t="shared" si="36"/>
        <v>#NUM!</v>
      </c>
      <c r="X64" s="6" t="e">
        <f t="shared" si="37"/>
        <v>#NUM!</v>
      </c>
      <c r="Y64" s="6" t="e">
        <f t="shared" si="38"/>
        <v>#NUM!</v>
      </c>
      <c r="Z64" s="6" t="e">
        <f t="shared" si="39"/>
        <v>#NUM!</v>
      </c>
      <c r="AA64" s="6" t="e">
        <f t="shared" si="40"/>
        <v>#NUM!</v>
      </c>
      <c r="AB64" s="6"/>
    </row>
    <row r="65" spans="2:28" x14ac:dyDescent="0.4">
      <c r="B65" s="7">
        <v>8</v>
      </c>
      <c r="C65" s="59" t="e">
        <f t="shared" si="31"/>
        <v>#NUM!</v>
      </c>
      <c r="D65" s="6" t="e">
        <f t="shared" si="32"/>
        <v>#NUM!</v>
      </c>
      <c r="E65" s="6" t="e">
        <f t="shared" si="33"/>
        <v>#NUM!</v>
      </c>
      <c r="F65" s="6" t="e">
        <f t="shared" si="34"/>
        <v>#NUM!</v>
      </c>
      <c r="G65" s="6" t="e">
        <f t="shared" si="35"/>
        <v>#NUM!</v>
      </c>
      <c r="H65" s="6"/>
      <c r="I65" s="6"/>
      <c r="V65" s="7">
        <v>8</v>
      </c>
      <c r="W65" s="59" t="e">
        <f t="shared" si="36"/>
        <v>#NUM!</v>
      </c>
      <c r="X65" s="6" t="e">
        <f t="shared" si="37"/>
        <v>#NUM!</v>
      </c>
      <c r="Y65" s="6" t="e">
        <f t="shared" si="38"/>
        <v>#NUM!</v>
      </c>
      <c r="Z65" s="6" t="e">
        <f t="shared" si="39"/>
        <v>#NUM!</v>
      </c>
      <c r="AA65" s="6" t="e">
        <f t="shared" si="40"/>
        <v>#NUM!</v>
      </c>
      <c r="AB65" s="6"/>
    </row>
    <row r="66" spans="2:28" x14ac:dyDescent="0.4">
      <c r="B66" s="7">
        <v>9</v>
      </c>
      <c r="C66" s="59" t="e">
        <f t="shared" si="31"/>
        <v>#NUM!</v>
      </c>
      <c r="D66" s="6" t="e">
        <f t="shared" si="32"/>
        <v>#NUM!</v>
      </c>
      <c r="E66" s="6" t="e">
        <f t="shared" si="33"/>
        <v>#NUM!</v>
      </c>
      <c r="F66" s="6" t="e">
        <f t="shared" si="34"/>
        <v>#NUM!</v>
      </c>
      <c r="G66" s="6" t="e">
        <f t="shared" si="35"/>
        <v>#NUM!</v>
      </c>
      <c r="H66" s="6"/>
      <c r="I66" s="6"/>
      <c r="V66" s="7">
        <v>9</v>
      </c>
      <c r="W66" s="59" t="e">
        <f t="shared" si="36"/>
        <v>#NUM!</v>
      </c>
      <c r="X66" s="6" t="e">
        <f t="shared" si="37"/>
        <v>#NUM!</v>
      </c>
      <c r="Y66" s="6" t="e">
        <f t="shared" si="38"/>
        <v>#NUM!</v>
      </c>
      <c r="Z66" s="6" t="e">
        <f t="shared" si="39"/>
        <v>#NUM!</v>
      </c>
      <c r="AA66" s="6" t="e">
        <f t="shared" si="40"/>
        <v>#NUM!</v>
      </c>
      <c r="AB66" s="6"/>
    </row>
    <row r="67" spans="2:28" x14ac:dyDescent="0.4">
      <c r="B67" s="7">
        <v>10</v>
      </c>
      <c r="C67" s="59" t="e">
        <f t="shared" si="31"/>
        <v>#NUM!</v>
      </c>
      <c r="D67" s="6" t="e">
        <f t="shared" si="32"/>
        <v>#NUM!</v>
      </c>
      <c r="E67" s="6" t="e">
        <f t="shared" si="33"/>
        <v>#NUM!</v>
      </c>
      <c r="F67" s="6" t="e">
        <f t="shared" si="34"/>
        <v>#NUM!</v>
      </c>
      <c r="G67" s="6" t="e">
        <f t="shared" si="35"/>
        <v>#NUM!</v>
      </c>
      <c r="H67" s="6"/>
      <c r="I67" s="6"/>
      <c r="V67" s="7">
        <v>10</v>
      </c>
      <c r="W67" s="59" t="e">
        <f t="shared" si="36"/>
        <v>#NUM!</v>
      </c>
      <c r="X67" s="6" t="e">
        <f t="shared" si="37"/>
        <v>#NUM!</v>
      </c>
      <c r="Y67" s="6" t="e">
        <f t="shared" si="38"/>
        <v>#NUM!</v>
      </c>
      <c r="Z67" s="6" t="e">
        <f t="shared" si="39"/>
        <v>#NUM!</v>
      </c>
      <c r="AA67" s="6" t="e">
        <f t="shared" si="40"/>
        <v>#NUM!</v>
      </c>
      <c r="AB67" s="6"/>
    </row>
    <row r="68" spans="2:28" x14ac:dyDescent="0.4">
      <c r="B68" s="7">
        <v>11</v>
      </c>
      <c r="C68" s="59" t="e">
        <f t="shared" si="31"/>
        <v>#NUM!</v>
      </c>
      <c r="D68" s="6" t="e">
        <f t="shared" si="32"/>
        <v>#NUM!</v>
      </c>
      <c r="E68" s="6" t="e">
        <f t="shared" si="33"/>
        <v>#NUM!</v>
      </c>
      <c r="F68" s="6" t="e">
        <f t="shared" si="34"/>
        <v>#NUM!</v>
      </c>
      <c r="G68" s="6" t="e">
        <f t="shared" si="35"/>
        <v>#NUM!</v>
      </c>
      <c r="H68" s="6"/>
      <c r="I68" s="6"/>
      <c r="V68" s="7">
        <v>11</v>
      </c>
      <c r="W68" s="59" t="e">
        <f t="shared" si="36"/>
        <v>#NUM!</v>
      </c>
      <c r="X68" s="6" t="e">
        <f t="shared" si="37"/>
        <v>#NUM!</v>
      </c>
      <c r="Y68" s="6" t="e">
        <f t="shared" si="38"/>
        <v>#NUM!</v>
      </c>
      <c r="Z68" s="6" t="e">
        <f t="shared" si="39"/>
        <v>#NUM!</v>
      </c>
      <c r="AA68" s="6" t="e">
        <f t="shared" si="40"/>
        <v>#NUM!</v>
      </c>
      <c r="AB68" s="6"/>
    </row>
    <row r="69" spans="2:28" x14ac:dyDescent="0.4">
      <c r="B69" s="7">
        <v>12</v>
      </c>
      <c r="C69" s="59" t="e">
        <f t="shared" si="31"/>
        <v>#NUM!</v>
      </c>
      <c r="D69" s="6" t="e">
        <f t="shared" si="32"/>
        <v>#NUM!</v>
      </c>
      <c r="E69" s="6" t="e">
        <f t="shared" si="33"/>
        <v>#NUM!</v>
      </c>
      <c r="F69" s="6" t="e">
        <f t="shared" si="34"/>
        <v>#NUM!</v>
      </c>
      <c r="G69" s="6" t="e">
        <f t="shared" si="35"/>
        <v>#NUM!</v>
      </c>
      <c r="H69" s="6"/>
      <c r="I69" s="6"/>
      <c r="V69" s="7">
        <v>12</v>
      </c>
      <c r="W69" s="59" t="e">
        <f t="shared" si="36"/>
        <v>#NUM!</v>
      </c>
      <c r="X69" s="6" t="e">
        <f t="shared" si="37"/>
        <v>#NUM!</v>
      </c>
      <c r="Y69" s="6" t="e">
        <f t="shared" si="38"/>
        <v>#NUM!</v>
      </c>
      <c r="Z69" s="6" t="e">
        <f t="shared" si="39"/>
        <v>#NUM!</v>
      </c>
      <c r="AA69" s="6" t="e">
        <f t="shared" si="40"/>
        <v>#NUM!</v>
      </c>
      <c r="AB69" s="6"/>
    </row>
    <row r="70" spans="2:28" x14ac:dyDescent="0.4">
      <c r="B70" s="7">
        <v>13</v>
      </c>
      <c r="C70" s="59" t="e">
        <f t="shared" si="31"/>
        <v>#NUM!</v>
      </c>
      <c r="D70" s="6" t="e">
        <f t="shared" si="32"/>
        <v>#NUM!</v>
      </c>
      <c r="E70" s="6" t="e">
        <f t="shared" si="33"/>
        <v>#NUM!</v>
      </c>
      <c r="F70" s="6" t="e">
        <f t="shared" si="34"/>
        <v>#NUM!</v>
      </c>
      <c r="G70" s="6" t="e">
        <f t="shared" si="35"/>
        <v>#NUM!</v>
      </c>
      <c r="H70" s="6"/>
      <c r="I70" s="6"/>
      <c r="V70" s="7">
        <v>13</v>
      </c>
      <c r="W70" s="59" t="e">
        <f t="shared" si="36"/>
        <v>#NUM!</v>
      </c>
      <c r="X70" s="6" t="e">
        <f t="shared" si="37"/>
        <v>#NUM!</v>
      </c>
      <c r="Y70" s="6" t="e">
        <f t="shared" si="38"/>
        <v>#NUM!</v>
      </c>
      <c r="Z70" s="6" t="e">
        <f t="shared" si="39"/>
        <v>#NUM!</v>
      </c>
      <c r="AA70" s="6" t="e">
        <f t="shared" si="40"/>
        <v>#NUM!</v>
      </c>
      <c r="AB70" s="6"/>
    </row>
    <row r="71" spans="2:28" x14ac:dyDescent="0.4">
      <c r="B71" s="7">
        <v>14</v>
      </c>
      <c r="C71" s="59" t="e">
        <f t="shared" si="31"/>
        <v>#NUM!</v>
      </c>
      <c r="D71" s="6" t="e">
        <f t="shared" si="32"/>
        <v>#NUM!</v>
      </c>
      <c r="E71" s="6" t="e">
        <f t="shared" si="33"/>
        <v>#NUM!</v>
      </c>
      <c r="F71" s="6" t="e">
        <f t="shared" si="34"/>
        <v>#NUM!</v>
      </c>
      <c r="G71" s="6" t="e">
        <f t="shared" si="35"/>
        <v>#NUM!</v>
      </c>
      <c r="H71" s="6"/>
      <c r="I71" s="6"/>
      <c r="V71" s="7">
        <v>14</v>
      </c>
      <c r="W71" s="59" t="e">
        <f t="shared" si="36"/>
        <v>#NUM!</v>
      </c>
      <c r="X71" s="6" t="e">
        <f t="shared" si="37"/>
        <v>#NUM!</v>
      </c>
      <c r="Y71" s="6" t="e">
        <f t="shared" si="38"/>
        <v>#NUM!</v>
      </c>
      <c r="Z71" s="6" t="e">
        <f t="shared" si="39"/>
        <v>#NUM!</v>
      </c>
      <c r="AA71" s="6" t="e">
        <f t="shared" si="40"/>
        <v>#NUM!</v>
      </c>
      <c r="AB71" s="6"/>
    </row>
    <row r="72" spans="2:28" x14ac:dyDescent="0.4">
      <c r="B72" s="7">
        <v>15</v>
      </c>
      <c r="C72" s="59" t="e">
        <f t="shared" si="31"/>
        <v>#NUM!</v>
      </c>
      <c r="D72" s="6" t="e">
        <f t="shared" si="32"/>
        <v>#NUM!</v>
      </c>
      <c r="E72" s="6" t="e">
        <f t="shared" si="33"/>
        <v>#NUM!</v>
      </c>
      <c r="F72" s="6" t="e">
        <f t="shared" si="34"/>
        <v>#NUM!</v>
      </c>
      <c r="G72" s="6" t="e">
        <f t="shared" si="35"/>
        <v>#NUM!</v>
      </c>
      <c r="H72" s="6"/>
      <c r="I72" s="6"/>
      <c r="V72" s="7">
        <v>15</v>
      </c>
      <c r="W72" s="59" t="e">
        <f t="shared" si="36"/>
        <v>#NUM!</v>
      </c>
      <c r="X72" s="6" t="e">
        <f t="shared" si="37"/>
        <v>#NUM!</v>
      </c>
      <c r="Y72" s="6" t="e">
        <f t="shared" si="38"/>
        <v>#NUM!</v>
      </c>
      <c r="Z72" s="6" t="e">
        <f t="shared" si="39"/>
        <v>#NUM!</v>
      </c>
      <c r="AA72" s="6" t="e">
        <f t="shared" si="40"/>
        <v>#NUM!</v>
      </c>
      <c r="AB72" s="6"/>
    </row>
    <row r="73" spans="2:28" x14ac:dyDescent="0.4">
      <c r="B73" s="7">
        <v>16</v>
      </c>
      <c r="C73" s="59" t="e">
        <f t="shared" si="31"/>
        <v>#NUM!</v>
      </c>
      <c r="D73" s="6" t="e">
        <f t="shared" si="32"/>
        <v>#NUM!</v>
      </c>
      <c r="E73" s="6" t="e">
        <f t="shared" si="33"/>
        <v>#NUM!</v>
      </c>
      <c r="F73" s="6" t="e">
        <f t="shared" si="34"/>
        <v>#NUM!</v>
      </c>
      <c r="G73" s="6" t="e">
        <f t="shared" si="35"/>
        <v>#NUM!</v>
      </c>
      <c r="H73" s="6"/>
      <c r="I73" s="6"/>
      <c r="V73" s="7">
        <v>16</v>
      </c>
      <c r="W73" s="59" t="e">
        <f t="shared" si="36"/>
        <v>#NUM!</v>
      </c>
      <c r="X73" s="6" t="e">
        <f t="shared" si="37"/>
        <v>#NUM!</v>
      </c>
      <c r="Y73" s="6" t="e">
        <f t="shared" si="38"/>
        <v>#NUM!</v>
      </c>
      <c r="Z73" s="6" t="e">
        <f t="shared" si="39"/>
        <v>#NUM!</v>
      </c>
      <c r="AA73" s="6" t="e">
        <f t="shared" si="40"/>
        <v>#NUM!</v>
      </c>
      <c r="AB73" s="6"/>
    </row>
    <row r="74" spans="2:28" x14ac:dyDescent="0.4">
      <c r="B74" s="7">
        <v>17</v>
      </c>
      <c r="C74" s="59" t="e">
        <f t="shared" si="31"/>
        <v>#NUM!</v>
      </c>
      <c r="D74" s="6" t="e">
        <f t="shared" si="32"/>
        <v>#NUM!</v>
      </c>
      <c r="E74" s="6" t="e">
        <f t="shared" si="33"/>
        <v>#NUM!</v>
      </c>
      <c r="F74" s="6" t="e">
        <f t="shared" si="34"/>
        <v>#NUM!</v>
      </c>
      <c r="G74" s="6" t="e">
        <f t="shared" si="35"/>
        <v>#NUM!</v>
      </c>
      <c r="H74" s="6"/>
      <c r="I74" s="6"/>
      <c r="V74" s="7">
        <v>17</v>
      </c>
      <c r="W74" s="59" t="e">
        <f t="shared" si="36"/>
        <v>#NUM!</v>
      </c>
      <c r="X74" s="6" t="e">
        <f t="shared" si="37"/>
        <v>#NUM!</v>
      </c>
      <c r="Y74" s="6" t="e">
        <f t="shared" si="38"/>
        <v>#NUM!</v>
      </c>
      <c r="Z74" s="6" t="e">
        <f t="shared" si="39"/>
        <v>#NUM!</v>
      </c>
      <c r="AA74" s="6" t="e">
        <f t="shared" si="40"/>
        <v>#NUM!</v>
      </c>
      <c r="AB74" s="6"/>
    </row>
    <row r="75" spans="2:28" x14ac:dyDescent="0.4">
      <c r="B75" s="7">
        <v>18</v>
      </c>
      <c r="C75" s="59" t="e">
        <f t="shared" si="31"/>
        <v>#NUM!</v>
      </c>
      <c r="D75" s="6" t="e">
        <f t="shared" si="32"/>
        <v>#NUM!</v>
      </c>
      <c r="E75" s="6" t="e">
        <f t="shared" si="33"/>
        <v>#NUM!</v>
      </c>
      <c r="F75" s="6" t="e">
        <f t="shared" si="34"/>
        <v>#NUM!</v>
      </c>
      <c r="G75" s="6" t="e">
        <f t="shared" si="35"/>
        <v>#NUM!</v>
      </c>
      <c r="H75" s="6"/>
      <c r="I75" s="6"/>
      <c r="V75" s="7">
        <v>18</v>
      </c>
      <c r="W75" s="59" t="e">
        <f t="shared" si="36"/>
        <v>#NUM!</v>
      </c>
      <c r="X75" s="6" t="e">
        <f t="shared" si="37"/>
        <v>#NUM!</v>
      </c>
      <c r="Y75" s="6" t="e">
        <f t="shared" si="38"/>
        <v>#NUM!</v>
      </c>
      <c r="Z75" s="6" t="e">
        <f t="shared" si="39"/>
        <v>#NUM!</v>
      </c>
      <c r="AA75" s="6" t="e">
        <f t="shared" si="40"/>
        <v>#NUM!</v>
      </c>
      <c r="AB75" s="6"/>
    </row>
    <row r="76" spans="2:28" x14ac:dyDescent="0.4">
      <c r="B76" s="7">
        <v>19</v>
      </c>
      <c r="C76" s="59" t="e">
        <f t="shared" si="31"/>
        <v>#NUM!</v>
      </c>
      <c r="D76" s="6" t="e">
        <f t="shared" si="32"/>
        <v>#NUM!</v>
      </c>
      <c r="E76" s="6" t="e">
        <f t="shared" si="33"/>
        <v>#NUM!</v>
      </c>
      <c r="F76" s="6" t="e">
        <f t="shared" si="34"/>
        <v>#NUM!</v>
      </c>
      <c r="G76" s="6" t="e">
        <f t="shared" si="35"/>
        <v>#NUM!</v>
      </c>
      <c r="H76" s="6"/>
      <c r="I76" s="6"/>
      <c r="V76" s="7">
        <v>19</v>
      </c>
      <c r="W76" s="59" t="e">
        <f t="shared" si="36"/>
        <v>#NUM!</v>
      </c>
      <c r="X76" s="6" t="e">
        <f t="shared" si="37"/>
        <v>#NUM!</v>
      </c>
      <c r="Y76" s="6" t="e">
        <f t="shared" si="38"/>
        <v>#NUM!</v>
      </c>
      <c r="Z76" s="6" t="e">
        <f t="shared" si="39"/>
        <v>#NUM!</v>
      </c>
      <c r="AA76" s="6" t="e">
        <f t="shared" si="40"/>
        <v>#NUM!</v>
      </c>
      <c r="AB76" s="6"/>
    </row>
    <row r="77" spans="2:28" x14ac:dyDescent="0.4">
      <c r="B77" s="7">
        <v>20</v>
      </c>
      <c r="C77" s="59" t="e">
        <f t="shared" si="31"/>
        <v>#NUM!</v>
      </c>
      <c r="D77" s="6" t="e">
        <f t="shared" si="32"/>
        <v>#NUM!</v>
      </c>
      <c r="E77" s="6" t="e">
        <f t="shared" si="33"/>
        <v>#NUM!</v>
      </c>
      <c r="F77" s="6" t="e">
        <f t="shared" si="34"/>
        <v>#NUM!</v>
      </c>
      <c r="G77" s="6" t="e">
        <f t="shared" si="35"/>
        <v>#NUM!</v>
      </c>
      <c r="H77" s="6"/>
      <c r="I77" s="6"/>
      <c r="V77" s="7">
        <v>20</v>
      </c>
      <c r="W77" s="59" t="e">
        <f t="shared" si="36"/>
        <v>#NUM!</v>
      </c>
      <c r="X77" s="6" t="e">
        <f t="shared" si="37"/>
        <v>#NUM!</v>
      </c>
      <c r="Y77" s="6" t="e">
        <f t="shared" si="38"/>
        <v>#NUM!</v>
      </c>
      <c r="Z77" s="6" t="e">
        <f t="shared" si="39"/>
        <v>#NUM!</v>
      </c>
      <c r="AA77" s="6" t="e">
        <f t="shared" si="40"/>
        <v>#NUM!</v>
      </c>
      <c r="AB77" s="6"/>
    </row>
    <row r="78" spans="2:28" x14ac:dyDescent="0.4">
      <c r="B78" s="7">
        <v>21</v>
      </c>
      <c r="C78" s="59" t="e">
        <f t="shared" si="31"/>
        <v>#NUM!</v>
      </c>
      <c r="D78" s="6" t="e">
        <f t="shared" si="32"/>
        <v>#NUM!</v>
      </c>
      <c r="E78" s="6" t="e">
        <f t="shared" si="33"/>
        <v>#NUM!</v>
      </c>
      <c r="F78" s="6" t="e">
        <f t="shared" si="34"/>
        <v>#NUM!</v>
      </c>
      <c r="G78" s="6" t="e">
        <f t="shared" si="35"/>
        <v>#NUM!</v>
      </c>
      <c r="H78" s="6"/>
      <c r="I78" s="6"/>
      <c r="V78" s="7">
        <v>21</v>
      </c>
      <c r="W78" s="59" t="e">
        <f t="shared" si="36"/>
        <v>#NUM!</v>
      </c>
      <c r="X78" s="6" t="e">
        <f t="shared" si="37"/>
        <v>#NUM!</v>
      </c>
      <c r="Y78" s="6" t="e">
        <f t="shared" si="38"/>
        <v>#NUM!</v>
      </c>
      <c r="Z78" s="6" t="e">
        <f t="shared" si="39"/>
        <v>#NUM!</v>
      </c>
      <c r="AA78" s="6" t="e">
        <f t="shared" si="40"/>
        <v>#NUM!</v>
      </c>
      <c r="AB78" s="6"/>
    </row>
    <row r="79" spans="2:28" x14ac:dyDescent="0.4">
      <c r="B79" s="7">
        <v>22</v>
      </c>
      <c r="C79" s="59" t="e">
        <f t="shared" si="31"/>
        <v>#NUM!</v>
      </c>
      <c r="D79" s="6" t="e">
        <f t="shared" si="32"/>
        <v>#NUM!</v>
      </c>
      <c r="E79" s="6" t="e">
        <f t="shared" si="33"/>
        <v>#NUM!</v>
      </c>
      <c r="F79" s="6" t="e">
        <f t="shared" si="34"/>
        <v>#NUM!</v>
      </c>
      <c r="G79" s="6" t="e">
        <f t="shared" si="35"/>
        <v>#NUM!</v>
      </c>
      <c r="H79" s="6"/>
      <c r="I79" s="6"/>
      <c r="V79" s="7">
        <v>22</v>
      </c>
      <c r="W79" s="59" t="e">
        <f t="shared" si="36"/>
        <v>#NUM!</v>
      </c>
      <c r="X79" s="6" t="e">
        <f t="shared" si="37"/>
        <v>#NUM!</v>
      </c>
      <c r="Y79" s="6" t="e">
        <f t="shared" si="38"/>
        <v>#NUM!</v>
      </c>
      <c r="Z79" s="6" t="e">
        <f t="shared" si="39"/>
        <v>#NUM!</v>
      </c>
      <c r="AA79" s="6" t="e">
        <f t="shared" si="40"/>
        <v>#NUM!</v>
      </c>
      <c r="AB79" s="6"/>
    </row>
    <row r="80" spans="2:28" x14ac:dyDescent="0.4">
      <c r="B80" s="7">
        <v>23</v>
      </c>
      <c r="C80" s="59" t="e">
        <f t="shared" si="31"/>
        <v>#NUM!</v>
      </c>
      <c r="D80" s="6" t="e">
        <f t="shared" si="32"/>
        <v>#NUM!</v>
      </c>
      <c r="E80" s="6" t="e">
        <f t="shared" si="33"/>
        <v>#NUM!</v>
      </c>
      <c r="F80" s="6" t="e">
        <f t="shared" si="34"/>
        <v>#NUM!</v>
      </c>
      <c r="G80" s="6" t="e">
        <f t="shared" si="35"/>
        <v>#NUM!</v>
      </c>
      <c r="H80" s="6"/>
      <c r="I80" s="6"/>
      <c r="V80" s="7">
        <v>23</v>
      </c>
      <c r="W80" s="59" t="e">
        <f t="shared" si="36"/>
        <v>#NUM!</v>
      </c>
      <c r="X80" s="6" t="e">
        <f t="shared" si="37"/>
        <v>#NUM!</v>
      </c>
      <c r="Y80" s="6" t="e">
        <f t="shared" si="38"/>
        <v>#NUM!</v>
      </c>
      <c r="Z80" s="6" t="e">
        <f t="shared" si="39"/>
        <v>#NUM!</v>
      </c>
      <c r="AA80" s="6" t="e">
        <f t="shared" si="40"/>
        <v>#NUM!</v>
      </c>
      <c r="AB80" s="6"/>
    </row>
    <row r="81" spans="2:28" x14ac:dyDescent="0.4">
      <c r="B81" s="7">
        <v>24</v>
      </c>
      <c r="C81" s="59" t="e">
        <f t="shared" si="31"/>
        <v>#NUM!</v>
      </c>
      <c r="D81" s="6" t="e">
        <f t="shared" si="32"/>
        <v>#NUM!</v>
      </c>
      <c r="E81" s="6" t="e">
        <f t="shared" si="33"/>
        <v>#NUM!</v>
      </c>
      <c r="F81" s="6" t="e">
        <f t="shared" si="34"/>
        <v>#NUM!</v>
      </c>
      <c r="G81" s="6" t="e">
        <f t="shared" si="35"/>
        <v>#NUM!</v>
      </c>
      <c r="H81" s="6"/>
      <c r="I81" s="6"/>
      <c r="V81" s="7">
        <v>24</v>
      </c>
      <c r="W81" s="59" t="e">
        <f t="shared" si="36"/>
        <v>#NUM!</v>
      </c>
      <c r="X81" s="6" t="e">
        <f t="shared" si="37"/>
        <v>#NUM!</v>
      </c>
      <c r="Y81" s="6" t="e">
        <f t="shared" si="38"/>
        <v>#NUM!</v>
      </c>
      <c r="Z81" s="6" t="e">
        <f t="shared" si="39"/>
        <v>#NUM!</v>
      </c>
      <c r="AA81" s="6" t="e">
        <f t="shared" si="40"/>
        <v>#NUM!</v>
      </c>
      <c r="AB81" s="6"/>
    </row>
    <row r="82" spans="2:28" x14ac:dyDescent="0.4">
      <c r="B82" s="7">
        <v>25</v>
      </c>
      <c r="C82" s="59" t="e">
        <f t="shared" si="31"/>
        <v>#NUM!</v>
      </c>
      <c r="D82" s="6" t="e">
        <f t="shared" si="32"/>
        <v>#NUM!</v>
      </c>
      <c r="E82" s="6" t="e">
        <f t="shared" si="33"/>
        <v>#NUM!</v>
      </c>
      <c r="F82" s="6" t="e">
        <f t="shared" si="34"/>
        <v>#NUM!</v>
      </c>
      <c r="G82" s="6" t="e">
        <f t="shared" si="35"/>
        <v>#NUM!</v>
      </c>
      <c r="H82" s="6"/>
      <c r="I82" s="6"/>
      <c r="V82" s="7">
        <v>25</v>
      </c>
      <c r="W82" s="59" t="e">
        <f t="shared" si="36"/>
        <v>#NUM!</v>
      </c>
      <c r="X82" s="6" t="e">
        <f t="shared" si="37"/>
        <v>#NUM!</v>
      </c>
      <c r="Y82" s="6" t="e">
        <f t="shared" si="38"/>
        <v>#NUM!</v>
      </c>
      <c r="Z82" s="6" t="e">
        <f t="shared" si="39"/>
        <v>#NUM!</v>
      </c>
      <c r="AA82" s="6" t="e">
        <f t="shared" si="40"/>
        <v>#NUM!</v>
      </c>
      <c r="AB82" s="6"/>
    </row>
    <row r="83" spans="2:28" x14ac:dyDescent="0.4">
      <c r="B83" s="7">
        <v>26</v>
      </c>
      <c r="C83" s="59" t="e">
        <f t="shared" si="31"/>
        <v>#NUM!</v>
      </c>
      <c r="D83" s="6" t="e">
        <f t="shared" si="32"/>
        <v>#NUM!</v>
      </c>
      <c r="E83" s="6" t="e">
        <f t="shared" si="33"/>
        <v>#NUM!</v>
      </c>
      <c r="F83" s="6" t="e">
        <f t="shared" si="34"/>
        <v>#NUM!</v>
      </c>
      <c r="G83" s="6" t="e">
        <f t="shared" si="35"/>
        <v>#NUM!</v>
      </c>
      <c r="H83" s="6"/>
      <c r="I83" s="6"/>
      <c r="V83" s="7">
        <v>26</v>
      </c>
      <c r="W83" s="59" t="e">
        <f t="shared" si="36"/>
        <v>#NUM!</v>
      </c>
      <c r="X83" s="6" t="e">
        <f t="shared" si="37"/>
        <v>#NUM!</v>
      </c>
      <c r="Y83" s="6" t="e">
        <f t="shared" si="38"/>
        <v>#NUM!</v>
      </c>
      <c r="Z83" s="6" t="e">
        <f t="shared" si="39"/>
        <v>#NUM!</v>
      </c>
      <c r="AA83" s="6" t="e">
        <f t="shared" si="40"/>
        <v>#NUM!</v>
      </c>
      <c r="AB83" s="6"/>
    </row>
    <row r="84" spans="2:28" x14ac:dyDescent="0.4">
      <c r="B84" s="7">
        <v>27</v>
      </c>
      <c r="C84" s="59" t="e">
        <f t="shared" si="31"/>
        <v>#NUM!</v>
      </c>
      <c r="D84" s="6" t="e">
        <f t="shared" si="32"/>
        <v>#NUM!</v>
      </c>
      <c r="E84" s="6" t="e">
        <f t="shared" si="33"/>
        <v>#NUM!</v>
      </c>
      <c r="F84" s="6" t="e">
        <f t="shared" si="34"/>
        <v>#NUM!</v>
      </c>
      <c r="G84" s="6" t="e">
        <f t="shared" si="35"/>
        <v>#NUM!</v>
      </c>
      <c r="H84" s="6"/>
      <c r="I84" s="6"/>
      <c r="V84" s="7">
        <v>27</v>
      </c>
      <c r="W84" s="59" t="e">
        <f t="shared" si="36"/>
        <v>#NUM!</v>
      </c>
      <c r="X84" s="6" t="e">
        <f t="shared" si="37"/>
        <v>#NUM!</v>
      </c>
      <c r="Y84" s="6" t="e">
        <f t="shared" si="38"/>
        <v>#NUM!</v>
      </c>
      <c r="Z84" s="6" t="e">
        <f t="shared" si="39"/>
        <v>#NUM!</v>
      </c>
      <c r="AA84" s="6" t="e">
        <f t="shared" si="40"/>
        <v>#NUM!</v>
      </c>
      <c r="AB84" s="6"/>
    </row>
    <row r="85" spans="2:28" x14ac:dyDescent="0.4">
      <c r="B85" s="7">
        <v>28</v>
      </c>
      <c r="C85" s="59" t="e">
        <f t="shared" si="31"/>
        <v>#NUM!</v>
      </c>
      <c r="D85" s="6" t="e">
        <f t="shared" si="32"/>
        <v>#NUM!</v>
      </c>
      <c r="E85" s="6" t="e">
        <f t="shared" si="33"/>
        <v>#NUM!</v>
      </c>
      <c r="F85" s="6" t="e">
        <f t="shared" si="34"/>
        <v>#NUM!</v>
      </c>
      <c r="G85" s="6" t="e">
        <f t="shared" si="35"/>
        <v>#NUM!</v>
      </c>
      <c r="H85" s="6"/>
      <c r="I85" s="6"/>
      <c r="V85" s="7">
        <v>28</v>
      </c>
      <c r="W85" s="59" t="e">
        <f t="shared" si="36"/>
        <v>#NUM!</v>
      </c>
      <c r="X85" s="6" t="e">
        <f t="shared" si="37"/>
        <v>#NUM!</v>
      </c>
      <c r="Y85" s="6" t="e">
        <f t="shared" si="38"/>
        <v>#NUM!</v>
      </c>
      <c r="Z85" s="6" t="e">
        <f t="shared" si="39"/>
        <v>#NUM!</v>
      </c>
      <c r="AA85" s="6" t="e">
        <f t="shared" si="40"/>
        <v>#NUM!</v>
      </c>
      <c r="AB85" s="6"/>
    </row>
    <row r="86" spans="2:28" x14ac:dyDescent="0.4">
      <c r="B86" s="7">
        <v>29</v>
      </c>
      <c r="C86" s="59" t="e">
        <f t="shared" si="31"/>
        <v>#NUM!</v>
      </c>
      <c r="D86" s="6" t="e">
        <f t="shared" si="32"/>
        <v>#NUM!</v>
      </c>
      <c r="E86" s="6" t="e">
        <f t="shared" si="33"/>
        <v>#NUM!</v>
      </c>
      <c r="F86" s="6" t="e">
        <f t="shared" si="34"/>
        <v>#NUM!</v>
      </c>
      <c r="G86" s="6" t="e">
        <f t="shared" si="35"/>
        <v>#NUM!</v>
      </c>
      <c r="H86" s="6"/>
      <c r="I86" s="6"/>
      <c r="V86" s="7">
        <v>29</v>
      </c>
      <c r="W86" s="59" t="e">
        <f t="shared" si="36"/>
        <v>#NUM!</v>
      </c>
      <c r="X86" s="6" t="e">
        <f t="shared" si="37"/>
        <v>#NUM!</v>
      </c>
      <c r="Y86" s="6" t="e">
        <f t="shared" si="38"/>
        <v>#NUM!</v>
      </c>
      <c r="Z86" s="6" t="e">
        <f t="shared" si="39"/>
        <v>#NUM!</v>
      </c>
      <c r="AA86" s="6" t="e">
        <f t="shared" si="40"/>
        <v>#NUM!</v>
      </c>
      <c r="AB86" s="6"/>
    </row>
    <row r="87" spans="2:28" x14ac:dyDescent="0.4">
      <c r="B87" s="7">
        <v>30</v>
      </c>
      <c r="C87" s="59" t="e">
        <f t="shared" si="31"/>
        <v>#NUM!</v>
      </c>
      <c r="D87" s="6" t="e">
        <f t="shared" si="32"/>
        <v>#NUM!</v>
      </c>
      <c r="E87" s="6" t="e">
        <f t="shared" si="33"/>
        <v>#NUM!</v>
      </c>
      <c r="F87" s="6" t="e">
        <f t="shared" si="34"/>
        <v>#NUM!</v>
      </c>
      <c r="G87" s="6" t="e">
        <f t="shared" si="35"/>
        <v>#NUM!</v>
      </c>
      <c r="H87" s="6"/>
      <c r="I87" s="6"/>
      <c r="V87" s="7">
        <v>30</v>
      </c>
      <c r="W87" s="59" t="e">
        <f t="shared" si="36"/>
        <v>#NUM!</v>
      </c>
      <c r="X87" s="6" t="e">
        <f t="shared" si="37"/>
        <v>#NUM!</v>
      </c>
      <c r="Y87" s="6" t="e">
        <f t="shared" si="38"/>
        <v>#NUM!</v>
      </c>
      <c r="Z87" s="6" t="e">
        <f t="shared" si="39"/>
        <v>#NUM!</v>
      </c>
      <c r="AA87" s="6" t="e">
        <f t="shared" si="40"/>
        <v>#NUM!</v>
      </c>
      <c r="AB87" s="6"/>
    </row>
    <row r="88" spans="2:28" x14ac:dyDescent="0.4">
      <c r="B88" s="7">
        <v>31</v>
      </c>
      <c r="C88" s="59" t="e">
        <f t="shared" si="31"/>
        <v>#NUM!</v>
      </c>
      <c r="D88" s="6" t="e">
        <f t="shared" si="32"/>
        <v>#NUM!</v>
      </c>
      <c r="E88" s="6" t="e">
        <f t="shared" si="33"/>
        <v>#NUM!</v>
      </c>
      <c r="F88" s="6" t="e">
        <f t="shared" si="34"/>
        <v>#NUM!</v>
      </c>
      <c r="G88" s="6" t="e">
        <f t="shared" si="35"/>
        <v>#NUM!</v>
      </c>
      <c r="H88" s="6"/>
      <c r="I88" s="6"/>
      <c r="V88" s="7">
        <v>31</v>
      </c>
      <c r="W88" s="59" t="e">
        <f t="shared" si="36"/>
        <v>#NUM!</v>
      </c>
      <c r="X88" s="6" t="e">
        <f t="shared" si="37"/>
        <v>#NUM!</v>
      </c>
      <c r="Y88" s="6" t="e">
        <f t="shared" si="38"/>
        <v>#NUM!</v>
      </c>
      <c r="Z88" s="6" t="e">
        <f t="shared" si="39"/>
        <v>#NUM!</v>
      </c>
      <c r="AA88" s="6" t="e">
        <f t="shared" si="40"/>
        <v>#NUM!</v>
      </c>
      <c r="AB88" s="6"/>
    </row>
    <row r="89" spans="2:28" x14ac:dyDescent="0.4">
      <c r="B89" s="7">
        <v>32</v>
      </c>
      <c r="C89" s="59" t="e">
        <f t="shared" si="31"/>
        <v>#NUM!</v>
      </c>
      <c r="D89" s="6" t="e">
        <f t="shared" si="32"/>
        <v>#NUM!</v>
      </c>
      <c r="E89" s="6" t="e">
        <f t="shared" si="33"/>
        <v>#NUM!</v>
      </c>
      <c r="F89" s="6" t="e">
        <f t="shared" si="34"/>
        <v>#NUM!</v>
      </c>
      <c r="G89" s="6" t="e">
        <f t="shared" si="35"/>
        <v>#NUM!</v>
      </c>
      <c r="H89" s="6"/>
      <c r="I89" s="6"/>
      <c r="V89" s="7">
        <v>32</v>
      </c>
      <c r="W89" s="59" t="e">
        <f t="shared" si="36"/>
        <v>#NUM!</v>
      </c>
      <c r="X89" s="6" t="e">
        <f t="shared" si="37"/>
        <v>#NUM!</v>
      </c>
      <c r="Y89" s="6" t="e">
        <f t="shared" si="38"/>
        <v>#NUM!</v>
      </c>
      <c r="Z89" s="6" t="e">
        <f t="shared" si="39"/>
        <v>#NUM!</v>
      </c>
      <c r="AA89" s="6" t="e">
        <f t="shared" si="40"/>
        <v>#NUM!</v>
      </c>
      <c r="AB89" s="6"/>
    </row>
    <row r="90" spans="2:28" x14ac:dyDescent="0.4">
      <c r="B90" s="7">
        <v>33</v>
      </c>
      <c r="C90" s="59" t="e">
        <f t="shared" si="31"/>
        <v>#NUM!</v>
      </c>
      <c r="D90" s="6" t="e">
        <f t="shared" si="32"/>
        <v>#NUM!</v>
      </c>
      <c r="E90" s="6" t="e">
        <f t="shared" si="33"/>
        <v>#NUM!</v>
      </c>
      <c r="F90" s="6" t="e">
        <f t="shared" si="34"/>
        <v>#NUM!</v>
      </c>
      <c r="G90" s="6" t="e">
        <f t="shared" si="35"/>
        <v>#NUM!</v>
      </c>
      <c r="H90" s="6"/>
      <c r="I90" s="6"/>
      <c r="V90" s="7">
        <v>33</v>
      </c>
      <c r="W90" s="59" t="e">
        <f t="shared" si="36"/>
        <v>#NUM!</v>
      </c>
      <c r="X90" s="6" t="e">
        <f t="shared" si="37"/>
        <v>#NUM!</v>
      </c>
      <c r="Y90" s="6" t="e">
        <f t="shared" si="38"/>
        <v>#NUM!</v>
      </c>
      <c r="Z90" s="6" t="e">
        <f t="shared" si="39"/>
        <v>#NUM!</v>
      </c>
      <c r="AA90" s="6" t="e">
        <f t="shared" si="40"/>
        <v>#NUM!</v>
      </c>
      <c r="AB90" s="6"/>
    </row>
    <row r="91" spans="2:28" x14ac:dyDescent="0.4">
      <c r="B91" s="7">
        <v>34</v>
      </c>
      <c r="C91" s="59" t="e">
        <f t="shared" si="31"/>
        <v>#NUM!</v>
      </c>
      <c r="D91" s="6" t="e">
        <f t="shared" si="32"/>
        <v>#NUM!</v>
      </c>
      <c r="E91" s="6" t="e">
        <f t="shared" si="33"/>
        <v>#NUM!</v>
      </c>
      <c r="F91" s="6" t="e">
        <f t="shared" si="34"/>
        <v>#NUM!</v>
      </c>
      <c r="G91" s="6" t="e">
        <f t="shared" si="35"/>
        <v>#NUM!</v>
      </c>
      <c r="H91" s="6"/>
      <c r="I91" s="6"/>
      <c r="V91" s="7">
        <v>34</v>
      </c>
      <c r="W91" s="59" t="e">
        <f t="shared" si="36"/>
        <v>#NUM!</v>
      </c>
      <c r="X91" s="6" t="e">
        <f t="shared" si="37"/>
        <v>#NUM!</v>
      </c>
      <c r="Y91" s="6" t="e">
        <f t="shared" si="38"/>
        <v>#NUM!</v>
      </c>
      <c r="Z91" s="6" t="e">
        <f t="shared" si="39"/>
        <v>#NUM!</v>
      </c>
      <c r="AA91" s="6" t="e">
        <f t="shared" si="40"/>
        <v>#NUM!</v>
      </c>
      <c r="AB91" s="6"/>
    </row>
    <row r="92" spans="2:28" x14ac:dyDescent="0.4">
      <c r="B92" s="7">
        <v>35</v>
      </c>
      <c r="C92" s="59" t="e">
        <f t="shared" si="31"/>
        <v>#NUM!</v>
      </c>
      <c r="D92" s="6" t="e">
        <f t="shared" si="32"/>
        <v>#NUM!</v>
      </c>
      <c r="E92" s="6" t="e">
        <f t="shared" si="33"/>
        <v>#NUM!</v>
      </c>
      <c r="F92" s="6" t="e">
        <f t="shared" si="34"/>
        <v>#NUM!</v>
      </c>
      <c r="G92" s="6" t="e">
        <f t="shared" si="35"/>
        <v>#NUM!</v>
      </c>
      <c r="H92" s="6"/>
      <c r="I92" s="6"/>
      <c r="V92" s="7">
        <v>35</v>
      </c>
      <c r="W92" s="59" t="e">
        <f t="shared" si="36"/>
        <v>#NUM!</v>
      </c>
      <c r="X92" s="6" t="e">
        <f t="shared" si="37"/>
        <v>#NUM!</v>
      </c>
      <c r="Y92" s="6" t="e">
        <f t="shared" si="38"/>
        <v>#NUM!</v>
      </c>
      <c r="Z92" s="6" t="e">
        <f t="shared" si="39"/>
        <v>#NUM!</v>
      </c>
      <c r="AA92" s="6" t="e">
        <f t="shared" si="40"/>
        <v>#NUM!</v>
      </c>
      <c r="AB92" s="6"/>
    </row>
    <row r="93" spans="2:28" x14ac:dyDescent="0.4">
      <c r="B93" s="7">
        <v>36</v>
      </c>
      <c r="C93" s="59" t="e">
        <f t="shared" si="31"/>
        <v>#NUM!</v>
      </c>
      <c r="D93" s="6" t="e">
        <f t="shared" si="32"/>
        <v>#NUM!</v>
      </c>
      <c r="E93" s="6" t="e">
        <f t="shared" si="33"/>
        <v>#NUM!</v>
      </c>
      <c r="F93" s="6" t="e">
        <f t="shared" si="34"/>
        <v>#NUM!</v>
      </c>
      <c r="G93" s="6" t="e">
        <f t="shared" si="35"/>
        <v>#NUM!</v>
      </c>
      <c r="H93" s="6"/>
      <c r="I93" s="6"/>
      <c r="V93" s="7">
        <v>36</v>
      </c>
      <c r="W93" s="59" t="e">
        <f t="shared" si="36"/>
        <v>#NUM!</v>
      </c>
      <c r="X93" s="6" t="e">
        <f t="shared" si="37"/>
        <v>#NUM!</v>
      </c>
      <c r="Y93" s="6" t="e">
        <f t="shared" si="38"/>
        <v>#NUM!</v>
      </c>
      <c r="Z93" s="6" t="e">
        <f t="shared" si="39"/>
        <v>#NUM!</v>
      </c>
      <c r="AA93" s="6" t="e">
        <f t="shared" si="40"/>
        <v>#NUM!</v>
      </c>
      <c r="AB93" s="6"/>
    </row>
    <row r="94" spans="2:28" x14ac:dyDescent="0.4">
      <c r="B94" s="7">
        <v>37</v>
      </c>
      <c r="C94" s="59" t="e">
        <f t="shared" si="31"/>
        <v>#NUM!</v>
      </c>
      <c r="D94" s="6" t="e">
        <f t="shared" si="32"/>
        <v>#NUM!</v>
      </c>
      <c r="E94" s="6" t="e">
        <f t="shared" si="33"/>
        <v>#NUM!</v>
      </c>
      <c r="F94" s="6" t="e">
        <f t="shared" si="34"/>
        <v>#NUM!</v>
      </c>
      <c r="G94" s="6" t="e">
        <f t="shared" si="35"/>
        <v>#NUM!</v>
      </c>
      <c r="H94" s="6"/>
      <c r="I94" s="6"/>
      <c r="V94" s="7">
        <v>37</v>
      </c>
      <c r="W94" s="59" t="e">
        <f t="shared" si="36"/>
        <v>#NUM!</v>
      </c>
      <c r="X94" s="6" t="e">
        <f t="shared" si="37"/>
        <v>#NUM!</v>
      </c>
      <c r="Y94" s="6" t="e">
        <f t="shared" si="38"/>
        <v>#NUM!</v>
      </c>
      <c r="Z94" s="6" t="e">
        <f t="shared" si="39"/>
        <v>#NUM!</v>
      </c>
      <c r="AA94" s="6" t="e">
        <f t="shared" si="40"/>
        <v>#NUM!</v>
      </c>
      <c r="AB94" s="6"/>
    </row>
    <row r="95" spans="2:28" x14ac:dyDescent="0.4">
      <c r="B95" s="7">
        <v>38</v>
      </c>
      <c r="C95" s="59" t="e">
        <f t="shared" si="31"/>
        <v>#NUM!</v>
      </c>
      <c r="D95" s="6" t="e">
        <f t="shared" si="32"/>
        <v>#NUM!</v>
      </c>
      <c r="E95" s="6" t="e">
        <f t="shared" si="33"/>
        <v>#NUM!</v>
      </c>
      <c r="F95" s="6" t="e">
        <f t="shared" si="34"/>
        <v>#NUM!</v>
      </c>
      <c r="G95" s="6" t="e">
        <f t="shared" si="35"/>
        <v>#NUM!</v>
      </c>
      <c r="H95" s="6"/>
      <c r="I95" s="6"/>
      <c r="V95" s="7">
        <v>38</v>
      </c>
      <c r="W95" s="59" t="e">
        <f t="shared" si="36"/>
        <v>#NUM!</v>
      </c>
      <c r="X95" s="6" t="e">
        <f t="shared" si="37"/>
        <v>#NUM!</v>
      </c>
      <c r="Y95" s="6" t="e">
        <f t="shared" si="38"/>
        <v>#NUM!</v>
      </c>
      <c r="Z95" s="6" t="e">
        <f t="shared" si="39"/>
        <v>#NUM!</v>
      </c>
      <c r="AA95" s="6" t="e">
        <f t="shared" si="40"/>
        <v>#NUM!</v>
      </c>
      <c r="AB95" s="6"/>
    </row>
    <row r="96" spans="2:28" x14ac:dyDescent="0.4">
      <c r="B96" s="7">
        <v>39</v>
      </c>
      <c r="C96" s="59" t="e">
        <f t="shared" si="31"/>
        <v>#NUM!</v>
      </c>
      <c r="D96" s="6" t="e">
        <f t="shared" si="32"/>
        <v>#NUM!</v>
      </c>
      <c r="E96" s="6" t="e">
        <f t="shared" si="33"/>
        <v>#NUM!</v>
      </c>
      <c r="F96" s="6" t="e">
        <f t="shared" si="34"/>
        <v>#NUM!</v>
      </c>
      <c r="G96" s="6" t="e">
        <f t="shared" si="35"/>
        <v>#NUM!</v>
      </c>
      <c r="H96" s="6"/>
      <c r="I96" s="6"/>
      <c r="V96" s="7">
        <v>39</v>
      </c>
      <c r="W96" s="59" t="e">
        <f t="shared" si="36"/>
        <v>#NUM!</v>
      </c>
      <c r="X96" s="6" t="e">
        <f t="shared" si="37"/>
        <v>#NUM!</v>
      </c>
      <c r="Y96" s="6" t="e">
        <f t="shared" si="38"/>
        <v>#NUM!</v>
      </c>
      <c r="Z96" s="6" t="e">
        <f t="shared" si="39"/>
        <v>#NUM!</v>
      </c>
      <c r="AA96" s="6" t="e">
        <f t="shared" si="40"/>
        <v>#NUM!</v>
      </c>
      <c r="AB96" s="6"/>
    </row>
    <row r="97" spans="2:28" x14ac:dyDescent="0.4">
      <c r="B97" s="7">
        <v>40</v>
      </c>
      <c r="C97" s="59" t="e">
        <f t="shared" si="31"/>
        <v>#NUM!</v>
      </c>
      <c r="D97" s="6" t="e">
        <f t="shared" si="32"/>
        <v>#NUM!</v>
      </c>
      <c r="E97" s="6" t="e">
        <f t="shared" si="33"/>
        <v>#NUM!</v>
      </c>
      <c r="F97" s="6" t="e">
        <f t="shared" si="34"/>
        <v>#NUM!</v>
      </c>
      <c r="G97" s="6" t="e">
        <f t="shared" si="35"/>
        <v>#NUM!</v>
      </c>
      <c r="H97" s="6"/>
      <c r="I97" s="6"/>
      <c r="V97" s="7">
        <v>40</v>
      </c>
      <c r="W97" s="59" t="e">
        <f t="shared" si="36"/>
        <v>#NUM!</v>
      </c>
      <c r="X97" s="6" t="e">
        <f t="shared" si="37"/>
        <v>#NUM!</v>
      </c>
      <c r="Y97" s="6" t="e">
        <f t="shared" si="38"/>
        <v>#NUM!</v>
      </c>
      <c r="Z97" s="6" t="e">
        <f t="shared" si="39"/>
        <v>#NUM!</v>
      </c>
      <c r="AA97" s="6" t="e">
        <f t="shared" si="40"/>
        <v>#NUM!</v>
      </c>
      <c r="AB97" s="6"/>
    </row>
    <row r="98" spans="2:28" x14ac:dyDescent="0.4">
      <c r="B98" s="7">
        <v>41</v>
      </c>
      <c r="C98" s="59" t="e">
        <f t="shared" si="31"/>
        <v>#NUM!</v>
      </c>
      <c r="D98" s="6" t="e">
        <f t="shared" si="32"/>
        <v>#NUM!</v>
      </c>
      <c r="E98" s="6" t="e">
        <f t="shared" si="33"/>
        <v>#NUM!</v>
      </c>
      <c r="F98" s="6" t="e">
        <f t="shared" si="34"/>
        <v>#NUM!</v>
      </c>
      <c r="G98" s="6" t="e">
        <f t="shared" si="35"/>
        <v>#NUM!</v>
      </c>
      <c r="H98" s="6"/>
      <c r="I98" s="6"/>
      <c r="V98" s="7">
        <v>41</v>
      </c>
      <c r="W98" s="59" t="e">
        <f t="shared" si="36"/>
        <v>#NUM!</v>
      </c>
      <c r="X98" s="6" t="e">
        <f t="shared" si="37"/>
        <v>#NUM!</v>
      </c>
      <c r="Y98" s="6" t="e">
        <f t="shared" si="38"/>
        <v>#NUM!</v>
      </c>
      <c r="Z98" s="6" t="e">
        <f t="shared" si="39"/>
        <v>#NUM!</v>
      </c>
      <c r="AA98" s="6" t="e">
        <f t="shared" si="40"/>
        <v>#NUM!</v>
      </c>
      <c r="AB98" s="6"/>
    </row>
    <row r="99" spans="2:28" x14ac:dyDescent="0.4">
      <c r="B99" s="7">
        <v>42</v>
      </c>
      <c r="C99" s="59" t="e">
        <f t="shared" si="31"/>
        <v>#NUM!</v>
      </c>
      <c r="D99" s="6" t="e">
        <f t="shared" si="32"/>
        <v>#NUM!</v>
      </c>
      <c r="E99" s="6" t="e">
        <f t="shared" si="33"/>
        <v>#NUM!</v>
      </c>
      <c r="F99" s="6" t="e">
        <f t="shared" si="34"/>
        <v>#NUM!</v>
      </c>
      <c r="G99" s="6" t="e">
        <f t="shared" si="35"/>
        <v>#NUM!</v>
      </c>
      <c r="H99" s="6"/>
      <c r="I99" s="6"/>
      <c r="V99" s="7">
        <v>42</v>
      </c>
      <c r="W99" s="59" t="e">
        <f t="shared" si="36"/>
        <v>#NUM!</v>
      </c>
      <c r="X99" s="6" t="e">
        <f t="shared" si="37"/>
        <v>#NUM!</v>
      </c>
      <c r="Y99" s="6" t="e">
        <f t="shared" si="38"/>
        <v>#NUM!</v>
      </c>
      <c r="Z99" s="6" t="e">
        <f t="shared" si="39"/>
        <v>#NUM!</v>
      </c>
      <c r="AA99" s="6" t="e">
        <f t="shared" si="40"/>
        <v>#NUM!</v>
      </c>
      <c r="AB99" s="6"/>
    </row>
    <row r="100" spans="2:28" x14ac:dyDescent="0.4">
      <c r="B100" s="7">
        <v>43</v>
      </c>
      <c r="C100" s="59" t="e">
        <f t="shared" si="31"/>
        <v>#NUM!</v>
      </c>
      <c r="D100" s="6" t="e">
        <f t="shared" si="32"/>
        <v>#NUM!</v>
      </c>
      <c r="E100" s="6" t="e">
        <f t="shared" si="33"/>
        <v>#NUM!</v>
      </c>
      <c r="F100" s="6" t="e">
        <f t="shared" si="34"/>
        <v>#NUM!</v>
      </c>
      <c r="G100" s="6" t="e">
        <f t="shared" si="35"/>
        <v>#NUM!</v>
      </c>
      <c r="H100" s="6"/>
      <c r="I100" s="6"/>
      <c r="V100" s="7">
        <v>43</v>
      </c>
      <c r="W100" s="59" t="e">
        <f t="shared" si="36"/>
        <v>#NUM!</v>
      </c>
      <c r="X100" s="6" t="e">
        <f t="shared" si="37"/>
        <v>#NUM!</v>
      </c>
      <c r="Y100" s="6" t="e">
        <f t="shared" si="38"/>
        <v>#NUM!</v>
      </c>
      <c r="Z100" s="6" t="e">
        <f t="shared" si="39"/>
        <v>#NUM!</v>
      </c>
      <c r="AA100" s="6" t="e">
        <f t="shared" si="40"/>
        <v>#NUM!</v>
      </c>
      <c r="AB100" s="6"/>
    </row>
    <row r="101" spans="2:28" x14ac:dyDescent="0.4">
      <c r="B101" s="7">
        <v>44</v>
      </c>
      <c r="C101" s="59" t="e">
        <f t="shared" si="31"/>
        <v>#NUM!</v>
      </c>
      <c r="D101" s="6" t="e">
        <f t="shared" si="32"/>
        <v>#NUM!</v>
      </c>
      <c r="E101" s="6" t="e">
        <f t="shared" si="33"/>
        <v>#NUM!</v>
      </c>
      <c r="F101" s="6" t="e">
        <f t="shared" si="34"/>
        <v>#NUM!</v>
      </c>
      <c r="G101" s="6" t="e">
        <f t="shared" si="35"/>
        <v>#NUM!</v>
      </c>
      <c r="H101" s="6"/>
      <c r="I101" s="6"/>
      <c r="V101" s="7">
        <v>44</v>
      </c>
      <c r="W101" s="59" t="e">
        <f t="shared" si="36"/>
        <v>#NUM!</v>
      </c>
      <c r="X101" s="6" t="e">
        <f t="shared" si="37"/>
        <v>#NUM!</v>
      </c>
      <c r="Y101" s="6" t="e">
        <f t="shared" si="38"/>
        <v>#NUM!</v>
      </c>
      <c r="Z101" s="6" t="e">
        <f t="shared" si="39"/>
        <v>#NUM!</v>
      </c>
      <c r="AA101" s="6" t="e">
        <f t="shared" si="40"/>
        <v>#NUM!</v>
      </c>
      <c r="AB101" s="6"/>
    </row>
    <row r="102" spans="2:28" x14ac:dyDescent="0.4">
      <c r="B102" s="7">
        <v>45</v>
      </c>
      <c r="C102" s="59" t="e">
        <f t="shared" si="31"/>
        <v>#NUM!</v>
      </c>
      <c r="D102" s="6" t="e">
        <f t="shared" si="32"/>
        <v>#NUM!</v>
      </c>
      <c r="E102" s="6" t="e">
        <f t="shared" si="33"/>
        <v>#NUM!</v>
      </c>
      <c r="F102" s="6" t="e">
        <f t="shared" si="34"/>
        <v>#NUM!</v>
      </c>
      <c r="G102" s="6" t="e">
        <f t="shared" si="35"/>
        <v>#NUM!</v>
      </c>
      <c r="H102" s="6"/>
      <c r="I102" s="6"/>
      <c r="V102" s="7">
        <v>45</v>
      </c>
      <c r="W102" s="59" t="e">
        <f t="shared" si="36"/>
        <v>#NUM!</v>
      </c>
      <c r="X102" s="6" t="e">
        <f t="shared" si="37"/>
        <v>#NUM!</v>
      </c>
      <c r="Y102" s="6" t="e">
        <f t="shared" si="38"/>
        <v>#NUM!</v>
      </c>
      <c r="Z102" s="6" t="e">
        <f t="shared" si="39"/>
        <v>#NUM!</v>
      </c>
      <c r="AA102" s="6" t="e">
        <f t="shared" si="40"/>
        <v>#NUM!</v>
      </c>
      <c r="AB102" s="6"/>
    </row>
    <row r="103" spans="2:28" x14ac:dyDescent="0.4">
      <c r="B103" s="7">
        <v>46</v>
      </c>
      <c r="C103" s="59" t="e">
        <f t="shared" si="31"/>
        <v>#NUM!</v>
      </c>
      <c r="D103" s="6" t="e">
        <f t="shared" si="32"/>
        <v>#NUM!</v>
      </c>
      <c r="E103" s="6" t="e">
        <f t="shared" si="33"/>
        <v>#NUM!</v>
      </c>
      <c r="F103" s="6" t="e">
        <f t="shared" si="34"/>
        <v>#NUM!</v>
      </c>
      <c r="G103" s="6" t="e">
        <f t="shared" si="35"/>
        <v>#NUM!</v>
      </c>
      <c r="H103" s="6"/>
      <c r="I103" s="6"/>
      <c r="V103" s="7">
        <v>46</v>
      </c>
      <c r="W103" s="59" t="e">
        <f t="shared" si="36"/>
        <v>#NUM!</v>
      </c>
      <c r="X103" s="6" t="e">
        <f t="shared" si="37"/>
        <v>#NUM!</v>
      </c>
      <c r="Y103" s="6" t="e">
        <f t="shared" si="38"/>
        <v>#NUM!</v>
      </c>
      <c r="Z103" s="6" t="e">
        <f t="shared" si="39"/>
        <v>#NUM!</v>
      </c>
      <c r="AA103" s="6" t="e">
        <f t="shared" si="40"/>
        <v>#NUM!</v>
      </c>
      <c r="AB103" s="6"/>
    </row>
    <row r="104" spans="2:28" x14ac:dyDescent="0.4">
      <c r="B104" s="7">
        <v>47</v>
      </c>
      <c r="C104" s="59" t="e">
        <f t="shared" si="31"/>
        <v>#NUM!</v>
      </c>
      <c r="D104" s="6" t="e">
        <f t="shared" si="32"/>
        <v>#NUM!</v>
      </c>
      <c r="E104" s="6" t="e">
        <f t="shared" si="33"/>
        <v>#NUM!</v>
      </c>
      <c r="F104" s="6" t="e">
        <f t="shared" si="34"/>
        <v>#NUM!</v>
      </c>
      <c r="G104" s="6" t="e">
        <f t="shared" si="35"/>
        <v>#NUM!</v>
      </c>
      <c r="H104" s="6"/>
      <c r="I104" s="6"/>
      <c r="V104" s="7">
        <v>47</v>
      </c>
      <c r="W104" s="59" t="e">
        <f t="shared" si="36"/>
        <v>#NUM!</v>
      </c>
      <c r="X104" s="6" t="e">
        <f t="shared" si="37"/>
        <v>#NUM!</v>
      </c>
      <c r="Y104" s="6" t="e">
        <f t="shared" si="38"/>
        <v>#NUM!</v>
      </c>
      <c r="Z104" s="6" t="e">
        <f t="shared" si="39"/>
        <v>#NUM!</v>
      </c>
      <c r="AA104" s="6" t="e">
        <f t="shared" si="40"/>
        <v>#NUM!</v>
      </c>
      <c r="AB104" s="6"/>
    </row>
    <row r="105" spans="2:28" x14ac:dyDescent="0.4">
      <c r="B105" s="7">
        <v>48</v>
      </c>
      <c r="C105" s="59" t="e">
        <f t="shared" si="31"/>
        <v>#NUM!</v>
      </c>
      <c r="D105" s="6" t="e">
        <f t="shared" si="32"/>
        <v>#NUM!</v>
      </c>
      <c r="E105" s="6" t="e">
        <f t="shared" si="33"/>
        <v>#NUM!</v>
      </c>
      <c r="F105" s="6" t="e">
        <f t="shared" si="34"/>
        <v>#NUM!</v>
      </c>
      <c r="G105" s="6" t="e">
        <f t="shared" si="35"/>
        <v>#NUM!</v>
      </c>
      <c r="H105" s="6"/>
      <c r="I105" s="6"/>
      <c r="V105" s="7">
        <v>48</v>
      </c>
      <c r="W105" s="59" t="e">
        <f t="shared" si="36"/>
        <v>#NUM!</v>
      </c>
      <c r="X105" s="6" t="e">
        <f t="shared" si="37"/>
        <v>#NUM!</v>
      </c>
      <c r="Y105" s="6" t="e">
        <f t="shared" si="38"/>
        <v>#NUM!</v>
      </c>
      <c r="Z105" s="6" t="e">
        <f t="shared" si="39"/>
        <v>#NUM!</v>
      </c>
      <c r="AA105" s="6" t="e">
        <f t="shared" si="40"/>
        <v>#NUM!</v>
      </c>
      <c r="AB105" s="6"/>
    </row>
    <row r="106" spans="2:28" x14ac:dyDescent="0.4">
      <c r="B106" s="7">
        <v>49</v>
      </c>
      <c r="C106" s="59" t="e">
        <f t="shared" si="31"/>
        <v>#NUM!</v>
      </c>
      <c r="D106" s="6" t="e">
        <f t="shared" si="32"/>
        <v>#NUM!</v>
      </c>
      <c r="E106" s="6" t="e">
        <f t="shared" si="33"/>
        <v>#NUM!</v>
      </c>
      <c r="F106" s="6" t="e">
        <f t="shared" si="34"/>
        <v>#NUM!</v>
      </c>
      <c r="G106" s="6" t="e">
        <f t="shared" si="35"/>
        <v>#NUM!</v>
      </c>
      <c r="H106" s="6"/>
      <c r="I106" s="6"/>
      <c r="V106" s="7">
        <v>49</v>
      </c>
      <c r="W106" s="59" t="e">
        <f t="shared" si="36"/>
        <v>#NUM!</v>
      </c>
      <c r="X106" s="6" t="e">
        <f t="shared" si="37"/>
        <v>#NUM!</v>
      </c>
      <c r="Y106" s="6" t="e">
        <f t="shared" si="38"/>
        <v>#NUM!</v>
      </c>
      <c r="Z106" s="6" t="e">
        <f t="shared" si="39"/>
        <v>#NUM!</v>
      </c>
      <c r="AA106" s="6" t="e">
        <f t="shared" si="40"/>
        <v>#NUM!</v>
      </c>
      <c r="AB106" s="6"/>
    </row>
    <row r="107" spans="2:28" x14ac:dyDescent="0.4">
      <c r="B107" s="7">
        <v>50</v>
      </c>
      <c r="C107" s="59" t="e">
        <f t="shared" si="31"/>
        <v>#NUM!</v>
      </c>
      <c r="D107" s="6" t="e">
        <f t="shared" si="32"/>
        <v>#NUM!</v>
      </c>
      <c r="E107" s="6" t="e">
        <f t="shared" si="33"/>
        <v>#NUM!</v>
      </c>
      <c r="F107" s="6" t="e">
        <f t="shared" si="34"/>
        <v>#NUM!</v>
      </c>
      <c r="G107" s="6" t="e">
        <f t="shared" si="35"/>
        <v>#NUM!</v>
      </c>
      <c r="H107" s="6"/>
      <c r="I107" s="6"/>
      <c r="V107" s="7">
        <v>50</v>
      </c>
      <c r="W107" s="59" t="e">
        <f t="shared" si="36"/>
        <v>#NUM!</v>
      </c>
      <c r="X107" s="6" t="e">
        <f t="shared" si="37"/>
        <v>#NUM!</v>
      </c>
      <c r="Y107" s="6" t="e">
        <f t="shared" si="38"/>
        <v>#NUM!</v>
      </c>
      <c r="Z107" s="6" t="e">
        <f t="shared" si="39"/>
        <v>#NUM!</v>
      </c>
      <c r="AA107" s="6" t="e">
        <f t="shared" si="40"/>
        <v>#NUM!</v>
      </c>
      <c r="AB107" s="6"/>
    </row>
    <row r="108" spans="2:28" x14ac:dyDescent="0.4">
      <c r="B108" s="7">
        <v>51</v>
      </c>
      <c r="C108" s="59" t="e">
        <f t="shared" si="31"/>
        <v>#NUM!</v>
      </c>
      <c r="D108" s="6" t="e">
        <f t="shared" si="32"/>
        <v>#NUM!</v>
      </c>
      <c r="E108" s="6" t="e">
        <f t="shared" si="33"/>
        <v>#NUM!</v>
      </c>
      <c r="F108" s="6" t="e">
        <f t="shared" si="34"/>
        <v>#NUM!</v>
      </c>
      <c r="G108" s="6" t="e">
        <f t="shared" si="35"/>
        <v>#NUM!</v>
      </c>
      <c r="H108" s="6"/>
      <c r="I108" s="6"/>
      <c r="V108" s="7">
        <v>51</v>
      </c>
      <c r="W108" s="59" t="e">
        <f t="shared" si="36"/>
        <v>#NUM!</v>
      </c>
      <c r="X108" s="6" t="e">
        <f t="shared" si="37"/>
        <v>#NUM!</v>
      </c>
      <c r="Y108" s="6" t="e">
        <f t="shared" si="38"/>
        <v>#NUM!</v>
      </c>
      <c r="Z108" s="6" t="e">
        <f t="shared" si="39"/>
        <v>#NUM!</v>
      </c>
      <c r="AA108" s="6" t="e">
        <f t="shared" si="40"/>
        <v>#NUM!</v>
      </c>
      <c r="AB108" s="6"/>
    </row>
    <row r="109" spans="2:28" x14ac:dyDescent="0.4">
      <c r="B109" s="7">
        <v>52</v>
      </c>
      <c r="C109" s="59" t="e">
        <f t="shared" si="31"/>
        <v>#NUM!</v>
      </c>
      <c r="D109" s="6" t="e">
        <f t="shared" si="32"/>
        <v>#NUM!</v>
      </c>
      <c r="E109" s="6" t="e">
        <f t="shared" si="33"/>
        <v>#NUM!</v>
      </c>
      <c r="F109" s="6" t="e">
        <f t="shared" si="34"/>
        <v>#NUM!</v>
      </c>
      <c r="G109" s="6" t="e">
        <f t="shared" si="35"/>
        <v>#NUM!</v>
      </c>
      <c r="H109" s="6"/>
      <c r="I109" s="6"/>
      <c r="V109" s="7">
        <v>52</v>
      </c>
      <c r="W109" s="59" t="e">
        <f t="shared" si="36"/>
        <v>#NUM!</v>
      </c>
      <c r="X109" s="6" t="e">
        <f t="shared" si="37"/>
        <v>#NUM!</v>
      </c>
      <c r="Y109" s="6" t="e">
        <f t="shared" si="38"/>
        <v>#NUM!</v>
      </c>
      <c r="Z109" s="6" t="e">
        <f t="shared" si="39"/>
        <v>#NUM!</v>
      </c>
      <c r="AA109" s="6" t="e">
        <f t="shared" si="40"/>
        <v>#NUM!</v>
      </c>
      <c r="AB109" s="6"/>
    </row>
    <row r="110" spans="2:28" x14ac:dyDescent="0.4">
      <c r="B110" s="7">
        <v>53</v>
      </c>
      <c r="C110" s="59" t="e">
        <f t="shared" si="31"/>
        <v>#NUM!</v>
      </c>
      <c r="D110" s="6" t="e">
        <f t="shared" si="32"/>
        <v>#NUM!</v>
      </c>
      <c r="E110" s="6" t="e">
        <f t="shared" si="33"/>
        <v>#NUM!</v>
      </c>
      <c r="F110" s="6" t="e">
        <f t="shared" si="34"/>
        <v>#NUM!</v>
      </c>
      <c r="G110" s="6" t="e">
        <f t="shared" si="35"/>
        <v>#NUM!</v>
      </c>
      <c r="H110" s="6"/>
      <c r="I110" s="6"/>
      <c r="V110" s="7">
        <v>53</v>
      </c>
      <c r="W110" s="59" t="e">
        <f t="shared" si="36"/>
        <v>#NUM!</v>
      </c>
      <c r="X110" s="6" t="e">
        <f t="shared" si="37"/>
        <v>#NUM!</v>
      </c>
      <c r="Y110" s="6" t="e">
        <f t="shared" si="38"/>
        <v>#NUM!</v>
      </c>
      <c r="Z110" s="6" t="e">
        <f t="shared" si="39"/>
        <v>#NUM!</v>
      </c>
      <c r="AA110" s="6" t="e">
        <f t="shared" si="40"/>
        <v>#NUM!</v>
      </c>
      <c r="AB110" s="6"/>
    </row>
    <row r="111" spans="2:28" x14ac:dyDescent="0.4">
      <c r="B111" s="7">
        <v>54</v>
      </c>
      <c r="C111" s="59" t="e">
        <f t="shared" si="31"/>
        <v>#NUM!</v>
      </c>
      <c r="D111" s="6" t="e">
        <f t="shared" si="32"/>
        <v>#NUM!</v>
      </c>
      <c r="E111" s="6" t="e">
        <f t="shared" si="33"/>
        <v>#NUM!</v>
      </c>
      <c r="F111" s="6" t="e">
        <f t="shared" si="34"/>
        <v>#NUM!</v>
      </c>
      <c r="G111" s="6" t="e">
        <f t="shared" si="35"/>
        <v>#NUM!</v>
      </c>
      <c r="H111" s="6"/>
      <c r="I111" s="6"/>
      <c r="V111" s="7">
        <v>54</v>
      </c>
      <c r="W111" s="59" t="e">
        <f t="shared" si="36"/>
        <v>#NUM!</v>
      </c>
      <c r="X111" s="6" t="e">
        <f t="shared" si="37"/>
        <v>#NUM!</v>
      </c>
      <c r="Y111" s="6" t="e">
        <f t="shared" si="38"/>
        <v>#NUM!</v>
      </c>
      <c r="Z111" s="6" t="e">
        <f t="shared" si="39"/>
        <v>#NUM!</v>
      </c>
      <c r="AA111" s="6" t="e">
        <f t="shared" si="40"/>
        <v>#NUM!</v>
      </c>
      <c r="AB111" s="6"/>
    </row>
    <row r="112" spans="2:28" x14ac:dyDescent="0.4">
      <c r="B112" s="7">
        <v>55</v>
      </c>
      <c r="C112" s="59" t="e">
        <f t="shared" si="31"/>
        <v>#NUM!</v>
      </c>
      <c r="D112" s="6" t="e">
        <f t="shared" si="32"/>
        <v>#NUM!</v>
      </c>
      <c r="E112" s="6" t="e">
        <f t="shared" si="33"/>
        <v>#NUM!</v>
      </c>
      <c r="F112" s="6" t="e">
        <f t="shared" si="34"/>
        <v>#NUM!</v>
      </c>
      <c r="G112" s="6" t="e">
        <f t="shared" si="35"/>
        <v>#NUM!</v>
      </c>
      <c r="H112" s="6"/>
      <c r="I112" s="6"/>
      <c r="V112" s="7">
        <v>55</v>
      </c>
      <c r="W112" s="59" t="e">
        <f t="shared" si="36"/>
        <v>#NUM!</v>
      </c>
      <c r="X112" s="6" t="e">
        <f t="shared" si="37"/>
        <v>#NUM!</v>
      </c>
      <c r="Y112" s="6" t="e">
        <f t="shared" si="38"/>
        <v>#NUM!</v>
      </c>
      <c r="Z112" s="6" t="e">
        <f t="shared" si="39"/>
        <v>#NUM!</v>
      </c>
      <c r="AA112" s="6" t="e">
        <f t="shared" si="40"/>
        <v>#NUM!</v>
      </c>
      <c r="AB112" s="6"/>
    </row>
    <row r="113" spans="2:28" x14ac:dyDescent="0.4">
      <c r="B113" s="7">
        <v>56</v>
      </c>
      <c r="C113" s="59" t="e">
        <f t="shared" si="31"/>
        <v>#NUM!</v>
      </c>
      <c r="D113" s="6" t="e">
        <f t="shared" si="32"/>
        <v>#NUM!</v>
      </c>
      <c r="E113" s="6" t="e">
        <f t="shared" si="33"/>
        <v>#NUM!</v>
      </c>
      <c r="F113" s="6" t="e">
        <f t="shared" si="34"/>
        <v>#NUM!</v>
      </c>
      <c r="G113" s="6" t="e">
        <f t="shared" si="35"/>
        <v>#NUM!</v>
      </c>
      <c r="H113" s="6"/>
      <c r="I113" s="6"/>
      <c r="V113" s="7">
        <v>56</v>
      </c>
      <c r="W113" s="59" t="e">
        <f t="shared" si="36"/>
        <v>#NUM!</v>
      </c>
      <c r="X113" s="6" t="e">
        <f t="shared" si="37"/>
        <v>#NUM!</v>
      </c>
      <c r="Y113" s="6" t="e">
        <f t="shared" si="38"/>
        <v>#NUM!</v>
      </c>
      <c r="Z113" s="6" t="e">
        <f t="shared" si="39"/>
        <v>#NUM!</v>
      </c>
      <c r="AA113" s="6" t="e">
        <f t="shared" si="40"/>
        <v>#NUM!</v>
      </c>
      <c r="AB113" s="6"/>
    </row>
    <row r="114" spans="2:28" x14ac:dyDescent="0.4">
      <c r="B114" s="7">
        <v>57</v>
      </c>
      <c r="C114" s="59" t="e">
        <f t="shared" si="31"/>
        <v>#NUM!</v>
      </c>
      <c r="D114" s="6" t="e">
        <f t="shared" si="32"/>
        <v>#NUM!</v>
      </c>
      <c r="E114" s="6" t="e">
        <f t="shared" si="33"/>
        <v>#NUM!</v>
      </c>
      <c r="F114" s="6" t="e">
        <f t="shared" si="34"/>
        <v>#NUM!</v>
      </c>
      <c r="G114" s="6" t="e">
        <f t="shared" si="35"/>
        <v>#NUM!</v>
      </c>
      <c r="H114" s="6"/>
      <c r="I114" s="6"/>
      <c r="V114" s="7">
        <v>57</v>
      </c>
      <c r="W114" s="59" t="e">
        <f t="shared" si="36"/>
        <v>#NUM!</v>
      </c>
      <c r="X114" s="6" t="e">
        <f t="shared" si="37"/>
        <v>#NUM!</v>
      </c>
      <c r="Y114" s="6" t="e">
        <f t="shared" si="38"/>
        <v>#NUM!</v>
      </c>
      <c r="Z114" s="6" t="e">
        <f t="shared" si="39"/>
        <v>#NUM!</v>
      </c>
      <c r="AA114" s="6" t="e">
        <f t="shared" si="40"/>
        <v>#NUM!</v>
      </c>
      <c r="AB114" s="6"/>
    </row>
    <row r="115" spans="2:28" x14ac:dyDescent="0.4">
      <c r="B115" s="7">
        <v>58</v>
      </c>
      <c r="C115" s="59" t="e">
        <f t="shared" si="31"/>
        <v>#NUM!</v>
      </c>
      <c r="D115" s="6" t="e">
        <f t="shared" si="32"/>
        <v>#NUM!</v>
      </c>
      <c r="E115" s="6" t="e">
        <f t="shared" si="33"/>
        <v>#NUM!</v>
      </c>
      <c r="F115" s="6" t="e">
        <f t="shared" si="34"/>
        <v>#NUM!</v>
      </c>
      <c r="G115" s="6" t="e">
        <f t="shared" si="35"/>
        <v>#NUM!</v>
      </c>
      <c r="H115" s="6"/>
      <c r="I115" s="6"/>
      <c r="V115" s="7">
        <v>58</v>
      </c>
      <c r="W115" s="59" t="e">
        <f t="shared" si="36"/>
        <v>#NUM!</v>
      </c>
      <c r="X115" s="6" t="e">
        <f t="shared" si="37"/>
        <v>#NUM!</v>
      </c>
      <c r="Y115" s="6" t="e">
        <f t="shared" si="38"/>
        <v>#NUM!</v>
      </c>
      <c r="Z115" s="6" t="e">
        <f t="shared" si="39"/>
        <v>#NUM!</v>
      </c>
      <c r="AA115" s="6" t="e">
        <f t="shared" si="40"/>
        <v>#NUM!</v>
      </c>
      <c r="AB115" s="6"/>
    </row>
    <row r="116" spans="2:28" x14ac:dyDescent="0.4">
      <c r="B116" s="7">
        <v>59</v>
      </c>
      <c r="C116" s="59" t="e">
        <f t="shared" si="31"/>
        <v>#NUM!</v>
      </c>
      <c r="D116" s="6" t="e">
        <f t="shared" si="32"/>
        <v>#NUM!</v>
      </c>
      <c r="E116" s="6" t="e">
        <f t="shared" si="33"/>
        <v>#NUM!</v>
      </c>
      <c r="F116" s="6" t="e">
        <f t="shared" si="34"/>
        <v>#NUM!</v>
      </c>
      <c r="G116" s="6" t="e">
        <f t="shared" si="35"/>
        <v>#NUM!</v>
      </c>
      <c r="H116" s="6"/>
      <c r="I116" s="6"/>
      <c r="V116" s="7">
        <v>59</v>
      </c>
      <c r="W116" s="59" t="e">
        <f t="shared" si="36"/>
        <v>#NUM!</v>
      </c>
      <c r="X116" s="6" t="e">
        <f t="shared" si="37"/>
        <v>#NUM!</v>
      </c>
      <c r="Y116" s="6" t="e">
        <f t="shared" si="38"/>
        <v>#NUM!</v>
      </c>
      <c r="Z116" s="6" t="e">
        <f t="shared" si="39"/>
        <v>#NUM!</v>
      </c>
      <c r="AA116" s="6" t="e">
        <f t="shared" si="40"/>
        <v>#NUM!</v>
      </c>
      <c r="AB116" s="6"/>
    </row>
    <row r="117" spans="2:28" x14ac:dyDescent="0.4">
      <c r="B117" s="7">
        <v>60</v>
      </c>
      <c r="C117" s="59" t="e">
        <f t="shared" si="31"/>
        <v>#NUM!</v>
      </c>
      <c r="D117" s="6" t="e">
        <f t="shared" si="32"/>
        <v>#NUM!</v>
      </c>
      <c r="E117" s="6" t="e">
        <f t="shared" si="33"/>
        <v>#NUM!</v>
      </c>
      <c r="F117" s="6" t="e">
        <f t="shared" si="34"/>
        <v>#NUM!</v>
      </c>
      <c r="G117" s="6" t="e">
        <f t="shared" si="35"/>
        <v>#NUM!</v>
      </c>
      <c r="H117" s="6"/>
      <c r="I117" s="6"/>
      <c r="V117" s="7">
        <v>60</v>
      </c>
      <c r="W117" s="59" t="e">
        <f t="shared" si="36"/>
        <v>#NUM!</v>
      </c>
      <c r="X117" s="6" t="e">
        <f t="shared" si="37"/>
        <v>#NUM!</v>
      </c>
      <c r="Y117" s="6" t="e">
        <f t="shared" si="38"/>
        <v>#NUM!</v>
      </c>
      <c r="Z117" s="6" t="e">
        <f t="shared" si="39"/>
        <v>#NUM!</v>
      </c>
      <c r="AA117" s="6" t="e">
        <f t="shared" si="40"/>
        <v>#NUM!</v>
      </c>
      <c r="AB117" s="6"/>
    </row>
    <row r="118" spans="2:28" x14ac:dyDescent="0.4">
      <c r="B118" s="7">
        <v>61</v>
      </c>
      <c r="C118" s="59" t="e">
        <f t="shared" si="31"/>
        <v>#NUM!</v>
      </c>
      <c r="D118" s="6" t="e">
        <f t="shared" si="32"/>
        <v>#NUM!</v>
      </c>
      <c r="E118" s="6" t="e">
        <f t="shared" si="33"/>
        <v>#NUM!</v>
      </c>
      <c r="F118" s="6" t="e">
        <f t="shared" si="34"/>
        <v>#NUM!</v>
      </c>
      <c r="G118" s="6" t="e">
        <f t="shared" si="35"/>
        <v>#NUM!</v>
      </c>
      <c r="H118" s="6"/>
      <c r="I118" s="6"/>
      <c r="V118" s="7">
        <v>61</v>
      </c>
      <c r="W118" s="59" t="e">
        <f t="shared" si="36"/>
        <v>#NUM!</v>
      </c>
      <c r="X118" s="6" t="e">
        <f t="shared" si="37"/>
        <v>#NUM!</v>
      </c>
      <c r="Y118" s="6" t="e">
        <f t="shared" si="38"/>
        <v>#NUM!</v>
      </c>
      <c r="Z118" s="6" t="e">
        <f t="shared" si="39"/>
        <v>#NUM!</v>
      </c>
      <c r="AA118" s="6" t="e">
        <f t="shared" si="40"/>
        <v>#NUM!</v>
      </c>
      <c r="AB118" s="6"/>
    </row>
    <row r="119" spans="2:28" x14ac:dyDescent="0.4">
      <c r="B119" s="7">
        <v>62</v>
      </c>
      <c r="C119" s="59" t="e">
        <f t="shared" si="31"/>
        <v>#NUM!</v>
      </c>
      <c r="D119" s="6" t="e">
        <f t="shared" si="32"/>
        <v>#NUM!</v>
      </c>
      <c r="E119" s="6" t="e">
        <f t="shared" si="33"/>
        <v>#NUM!</v>
      </c>
      <c r="F119" s="6" t="e">
        <f t="shared" si="34"/>
        <v>#NUM!</v>
      </c>
      <c r="G119" s="6" t="e">
        <f t="shared" si="35"/>
        <v>#NUM!</v>
      </c>
      <c r="H119" s="6"/>
      <c r="I119" s="6"/>
      <c r="V119" s="7">
        <v>62</v>
      </c>
      <c r="W119" s="59" t="e">
        <f t="shared" si="36"/>
        <v>#NUM!</v>
      </c>
      <c r="X119" s="6" t="e">
        <f t="shared" si="37"/>
        <v>#NUM!</v>
      </c>
      <c r="Y119" s="6" t="e">
        <f t="shared" si="38"/>
        <v>#NUM!</v>
      </c>
      <c r="Z119" s="6" t="e">
        <f t="shared" si="39"/>
        <v>#NUM!</v>
      </c>
      <c r="AA119" s="6" t="e">
        <f t="shared" si="40"/>
        <v>#NUM!</v>
      </c>
      <c r="AB119" s="6"/>
    </row>
    <row r="120" spans="2:28" x14ac:dyDescent="0.4">
      <c r="B120" s="7">
        <v>63</v>
      </c>
      <c r="C120" s="59" t="e">
        <f t="shared" si="31"/>
        <v>#NUM!</v>
      </c>
      <c r="D120" s="6" t="e">
        <f t="shared" si="32"/>
        <v>#NUM!</v>
      </c>
      <c r="E120" s="6" t="e">
        <f t="shared" si="33"/>
        <v>#NUM!</v>
      </c>
      <c r="F120" s="6" t="e">
        <f t="shared" si="34"/>
        <v>#NUM!</v>
      </c>
      <c r="G120" s="6" t="e">
        <f t="shared" si="35"/>
        <v>#NUM!</v>
      </c>
      <c r="H120" s="6"/>
      <c r="I120" s="6"/>
      <c r="V120" s="7">
        <v>63</v>
      </c>
      <c r="W120" s="59" t="e">
        <f t="shared" si="36"/>
        <v>#NUM!</v>
      </c>
      <c r="X120" s="6" t="e">
        <f t="shared" si="37"/>
        <v>#NUM!</v>
      </c>
      <c r="Y120" s="6" t="e">
        <f t="shared" si="38"/>
        <v>#NUM!</v>
      </c>
      <c r="Z120" s="6" t="e">
        <f t="shared" si="39"/>
        <v>#NUM!</v>
      </c>
      <c r="AA120" s="6" t="e">
        <f t="shared" si="40"/>
        <v>#NUM!</v>
      </c>
      <c r="AB120" s="6"/>
    </row>
    <row r="121" spans="2:28" x14ac:dyDescent="0.4">
      <c r="B121" s="7">
        <v>64</v>
      </c>
      <c r="C121" s="59" t="e">
        <f t="shared" si="31"/>
        <v>#NUM!</v>
      </c>
      <c r="D121" s="6" t="e">
        <f t="shared" si="32"/>
        <v>#NUM!</v>
      </c>
      <c r="E121" s="6" t="e">
        <f t="shared" si="33"/>
        <v>#NUM!</v>
      </c>
      <c r="F121" s="6" t="e">
        <f t="shared" si="34"/>
        <v>#NUM!</v>
      </c>
      <c r="G121" s="6" t="e">
        <f t="shared" si="35"/>
        <v>#NUM!</v>
      </c>
      <c r="H121" s="6"/>
      <c r="I121" s="6"/>
      <c r="V121" s="7">
        <v>64</v>
      </c>
      <c r="W121" s="59" t="e">
        <f t="shared" si="36"/>
        <v>#NUM!</v>
      </c>
      <c r="X121" s="6" t="e">
        <f t="shared" si="37"/>
        <v>#NUM!</v>
      </c>
      <c r="Y121" s="6" t="e">
        <f t="shared" si="38"/>
        <v>#NUM!</v>
      </c>
      <c r="Z121" s="6" t="e">
        <f t="shared" si="39"/>
        <v>#NUM!</v>
      </c>
      <c r="AA121" s="6" t="e">
        <f t="shared" si="40"/>
        <v>#NUM!</v>
      </c>
      <c r="AB121" s="6"/>
    </row>
    <row r="122" spans="2:28" x14ac:dyDescent="0.4">
      <c r="B122" s="7">
        <v>65</v>
      </c>
      <c r="C122" s="59" t="e">
        <f t="shared" si="31"/>
        <v>#NUM!</v>
      </c>
      <c r="D122" s="6" t="e">
        <f t="shared" si="32"/>
        <v>#NUM!</v>
      </c>
      <c r="E122" s="6" t="e">
        <f t="shared" si="33"/>
        <v>#NUM!</v>
      </c>
      <c r="F122" s="6" t="e">
        <f t="shared" si="34"/>
        <v>#NUM!</v>
      </c>
      <c r="G122" s="6" t="e">
        <f t="shared" si="35"/>
        <v>#NUM!</v>
      </c>
      <c r="H122" s="6"/>
      <c r="I122" s="6"/>
      <c r="V122" s="7">
        <v>65</v>
      </c>
      <c r="W122" s="59" t="e">
        <f t="shared" si="36"/>
        <v>#NUM!</v>
      </c>
      <c r="X122" s="6" t="e">
        <f t="shared" si="37"/>
        <v>#NUM!</v>
      </c>
      <c r="Y122" s="6" t="e">
        <f t="shared" si="38"/>
        <v>#NUM!</v>
      </c>
      <c r="Z122" s="6" t="e">
        <f t="shared" si="39"/>
        <v>#NUM!</v>
      </c>
      <c r="AA122" s="6" t="e">
        <f t="shared" si="40"/>
        <v>#NUM!</v>
      </c>
      <c r="AB122" s="6"/>
    </row>
    <row r="123" spans="2:28" x14ac:dyDescent="0.4">
      <c r="B123" s="7">
        <v>66</v>
      </c>
      <c r="C123" s="59" t="e">
        <f t="shared" ref="C123:C186" si="41">G122</f>
        <v>#NUM!</v>
      </c>
      <c r="D123" s="6" t="e">
        <f t="shared" ref="D123:D186" si="42">-PMT($D$7/12,$D$9*12,$D$6,,)</f>
        <v>#NUM!</v>
      </c>
      <c r="E123" s="6" t="e">
        <f t="shared" ref="E123:E186" si="43">C123*$D$7/12</f>
        <v>#NUM!</v>
      </c>
      <c r="F123" s="6" t="e">
        <f t="shared" ref="F123:F186" si="44">D123-E123</f>
        <v>#NUM!</v>
      </c>
      <c r="G123" s="6" t="e">
        <f t="shared" ref="G123:G186" si="45">C123-F123</f>
        <v>#NUM!</v>
      </c>
      <c r="H123" s="6"/>
      <c r="I123" s="6"/>
      <c r="V123" s="7">
        <v>66</v>
      </c>
      <c r="W123" s="59" t="e">
        <f t="shared" ref="W123:W186" si="46">AA122</f>
        <v>#NUM!</v>
      </c>
      <c r="X123" s="6" t="e">
        <f t="shared" ref="X123:X186" si="47">-PMT($X$7/12,$X$9*12,$X$6,,)</f>
        <v>#NUM!</v>
      </c>
      <c r="Y123" s="6" t="e">
        <f t="shared" ref="Y123:Y186" si="48">W123*$X$7/12</f>
        <v>#NUM!</v>
      </c>
      <c r="Z123" s="6" t="e">
        <f t="shared" ref="Z123:Z186" si="49">X123-Y123</f>
        <v>#NUM!</v>
      </c>
      <c r="AA123" s="6" t="e">
        <f t="shared" ref="AA123:AA186" si="50">W123-Z123</f>
        <v>#NUM!</v>
      </c>
      <c r="AB123" s="6"/>
    </row>
    <row r="124" spans="2:28" x14ac:dyDescent="0.4">
      <c r="B124" s="7">
        <v>67</v>
      </c>
      <c r="C124" s="59" t="e">
        <f t="shared" si="41"/>
        <v>#NUM!</v>
      </c>
      <c r="D124" s="6" t="e">
        <f t="shared" si="42"/>
        <v>#NUM!</v>
      </c>
      <c r="E124" s="6" t="e">
        <f t="shared" si="43"/>
        <v>#NUM!</v>
      </c>
      <c r="F124" s="6" t="e">
        <f t="shared" si="44"/>
        <v>#NUM!</v>
      </c>
      <c r="G124" s="6" t="e">
        <f t="shared" si="45"/>
        <v>#NUM!</v>
      </c>
      <c r="H124" s="6"/>
      <c r="I124" s="6"/>
      <c r="V124" s="7">
        <v>67</v>
      </c>
      <c r="W124" s="59" t="e">
        <f t="shared" si="46"/>
        <v>#NUM!</v>
      </c>
      <c r="X124" s="6" t="e">
        <f t="shared" si="47"/>
        <v>#NUM!</v>
      </c>
      <c r="Y124" s="6" t="e">
        <f t="shared" si="48"/>
        <v>#NUM!</v>
      </c>
      <c r="Z124" s="6" t="e">
        <f t="shared" si="49"/>
        <v>#NUM!</v>
      </c>
      <c r="AA124" s="6" t="e">
        <f t="shared" si="50"/>
        <v>#NUM!</v>
      </c>
      <c r="AB124" s="6"/>
    </row>
    <row r="125" spans="2:28" x14ac:dyDescent="0.4">
      <c r="B125" s="7">
        <v>68</v>
      </c>
      <c r="C125" s="59" t="e">
        <f t="shared" si="41"/>
        <v>#NUM!</v>
      </c>
      <c r="D125" s="6" t="e">
        <f t="shared" si="42"/>
        <v>#NUM!</v>
      </c>
      <c r="E125" s="6" t="e">
        <f t="shared" si="43"/>
        <v>#NUM!</v>
      </c>
      <c r="F125" s="6" t="e">
        <f t="shared" si="44"/>
        <v>#NUM!</v>
      </c>
      <c r="G125" s="6" t="e">
        <f t="shared" si="45"/>
        <v>#NUM!</v>
      </c>
      <c r="H125" s="6"/>
      <c r="I125" s="6"/>
      <c r="V125" s="7">
        <v>68</v>
      </c>
      <c r="W125" s="59" t="e">
        <f t="shared" si="46"/>
        <v>#NUM!</v>
      </c>
      <c r="X125" s="6" t="e">
        <f t="shared" si="47"/>
        <v>#NUM!</v>
      </c>
      <c r="Y125" s="6" t="e">
        <f t="shared" si="48"/>
        <v>#NUM!</v>
      </c>
      <c r="Z125" s="6" t="e">
        <f t="shared" si="49"/>
        <v>#NUM!</v>
      </c>
      <c r="AA125" s="6" t="e">
        <f t="shared" si="50"/>
        <v>#NUM!</v>
      </c>
      <c r="AB125" s="6"/>
    </row>
    <row r="126" spans="2:28" x14ac:dyDescent="0.4">
      <c r="B126" s="7">
        <v>69</v>
      </c>
      <c r="C126" s="59" t="e">
        <f t="shared" si="41"/>
        <v>#NUM!</v>
      </c>
      <c r="D126" s="6" t="e">
        <f t="shared" si="42"/>
        <v>#NUM!</v>
      </c>
      <c r="E126" s="6" t="e">
        <f t="shared" si="43"/>
        <v>#NUM!</v>
      </c>
      <c r="F126" s="6" t="e">
        <f t="shared" si="44"/>
        <v>#NUM!</v>
      </c>
      <c r="G126" s="6" t="e">
        <f t="shared" si="45"/>
        <v>#NUM!</v>
      </c>
      <c r="H126" s="6"/>
      <c r="I126" s="6"/>
      <c r="V126" s="7">
        <v>69</v>
      </c>
      <c r="W126" s="59" t="e">
        <f t="shared" si="46"/>
        <v>#NUM!</v>
      </c>
      <c r="X126" s="6" t="e">
        <f t="shared" si="47"/>
        <v>#NUM!</v>
      </c>
      <c r="Y126" s="6" t="e">
        <f t="shared" si="48"/>
        <v>#NUM!</v>
      </c>
      <c r="Z126" s="6" t="e">
        <f t="shared" si="49"/>
        <v>#NUM!</v>
      </c>
      <c r="AA126" s="6" t="e">
        <f t="shared" si="50"/>
        <v>#NUM!</v>
      </c>
      <c r="AB126" s="6"/>
    </row>
    <row r="127" spans="2:28" x14ac:dyDescent="0.4">
      <c r="B127" s="7">
        <v>70</v>
      </c>
      <c r="C127" s="59" t="e">
        <f t="shared" si="41"/>
        <v>#NUM!</v>
      </c>
      <c r="D127" s="6" t="e">
        <f t="shared" si="42"/>
        <v>#NUM!</v>
      </c>
      <c r="E127" s="6" t="e">
        <f t="shared" si="43"/>
        <v>#NUM!</v>
      </c>
      <c r="F127" s="6" t="e">
        <f t="shared" si="44"/>
        <v>#NUM!</v>
      </c>
      <c r="G127" s="6" t="e">
        <f t="shared" si="45"/>
        <v>#NUM!</v>
      </c>
      <c r="H127" s="6"/>
      <c r="I127" s="6"/>
      <c r="V127" s="7">
        <v>70</v>
      </c>
      <c r="W127" s="59" t="e">
        <f t="shared" si="46"/>
        <v>#NUM!</v>
      </c>
      <c r="X127" s="6" t="e">
        <f t="shared" si="47"/>
        <v>#NUM!</v>
      </c>
      <c r="Y127" s="6" t="e">
        <f t="shared" si="48"/>
        <v>#NUM!</v>
      </c>
      <c r="Z127" s="6" t="e">
        <f t="shared" si="49"/>
        <v>#NUM!</v>
      </c>
      <c r="AA127" s="6" t="e">
        <f t="shared" si="50"/>
        <v>#NUM!</v>
      </c>
      <c r="AB127" s="6"/>
    </row>
    <row r="128" spans="2:28" x14ac:dyDescent="0.4">
      <c r="B128" s="7">
        <v>71</v>
      </c>
      <c r="C128" s="59" t="e">
        <f t="shared" si="41"/>
        <v>#NUM!</v>
      </c>
      <c r="D128" s="6" t="e">
        <f t="shared" si="42"/>
        <v>#NUM!</v>
      </c>
      <c r="E128" s="6" t="e">
        <f t="shared" si="43"/>
        <v>#NUM!</v>
      </c>
      <c r="F128" s="6" t="e">
        <f t="shared" si="44"/>
        <v>#NUM!</v>
      </c>
      <c r="G128" s="6" t="e">
        <f t="shared" si="45"/>
        <v>#NUM!</v>
      </c>
      <c r="H128" s="6"/>
      <c r="I128" s="6"/>
      <c r="V128" s="7">
        <v>71</v>
      </c>
      <c r="W128" s="59" t="e">
        <f t="shared" si="46"/>
        <v>#NUM!</v>
      </c>
      <c r="X128" s="6" t="e">
        <f t="shared" si="47"/>
        <v>#NUM!</v>
      </c>
      <c r="Y128" s="6" t="e">
        <f t="shared" si="48"/>
        <v>#NUM!</v>
      </c>
      <c r="Z128" s="6" t="e">
        <f t="shared" si="49"/>
        <v>#NUM!</v>
      </c>
      <c r="AA128" s="6" t="e">
        <f t="shared" si="50"/>
        <v>#NUM!</v>
      </c>
      <c r="AB128" s="6"/>
    </row>
    <row r="129" spans="2:28" x14ac:dyDescent="0.4">
      <c r="B129" s="7">
        <v>72</v>
      </c>
      <c r="C129" s="59" t="e">
        <f t="shared" si="41"/>
        <v>#NUM!</v>
      </c>
      <c r="D129" s="6" t="e">
        <f t="shared" si="42"/>
        <v>#NUM!</v>
      </c>
      <c r="E129" s="6" t="e">
        <f t="shared" si="43"/>
        <v>#NUM!</v>
      </c>
      <c r="F129" s="6" t="e">
        <f t="shared" si="44"/>
        <v>#NUM!</v>
      </c>
      <c r="G129" s="6" t="e">
        <f t="shared" si="45"/>
        <v>#NUM!</v>
      </c>
      <c r="H129" s="6"/>
      <c r="I129" s="6"/>
      <c r="V129" s="7">
        <v>72</v>
      </c>
      <c r="W129" s="59" t="e">
        <f t="shared" si="46"/>
        <v>#NUM!</v>
      </c>
      <c r="X129" s="6" t="e">
        <f t="shared" si="47"/>
        <v>#NUM!</v>
      </c>
      <c r="Y129" s="6" t="e">
        <f t="shared" si="48"/>
        <v>#NUM!</v>
      </c>
      <c r="Z129" s="6" t="e">
        <f t="shared" si="49"/>
        <v>#NUM!</v>
      </c>
      <c r="AA129" s="6" t="e">
        <f t="shared" si="50"/>
        <v>#NUM!</v>
      </c>
      <c r="AB129" s="6"/>
    </row>
    <row r="130" spans="2:28" x14ac:dyDescent="0.4">
      <c r="B130" s="7">
        <v>73</v>
      </c>
      <c r="C130" s="59" t="e">
        <f t="shared" si="41"/>
        <v>#NUM!</v>
      </c>
      <c r="D130" s="6" t="e">
        <f t="shared" si="42"/>
        <v>#NUM!</v>
      </c>
      <c r="E130" s="6" t="e">
        <f t="shared" si="43"/>
        <v>#NUM!</v>
      </c>
      <c r="F130" s="6" t="e">
        <f t="shared" si="44"/>
        <v>#NUM!</v>
      </c>
      <c r="G130" s="6" t="e">
        <f t="shared" si="45"/>
        <v>#NUM!</v>
      </c>
      <c r="H130" s="6"/>
      <c r="I130" s="6"/>
      <c r="V130" s="7">
        <v>73</v>
      </c>
      <c r="W130" s="59" t="e">
        <f t="shared" si="46"/>
        <v>#NUM!</v>
      </c>
      <c r="X130" s="6" t="e">
        <f t="shared" si="47"/>
        <v>#NUM!</v>
      </c>
      <c r="Y130" s="6" t="e">
        <f t="shared" si="48"/>
        <v>#NUM!</v>
      </c>
      <c r="Z130" s="6" t="e">
        <f t="shared" si="49"/>
        <v>#NUM!</v>
      </c>
      <c r="AA130" s="6" t="e">
        <f t="shared" si="50"/>
        <v>#NUM!</v>
      </c>
      <c r="AB130" s="6"/>
    </row>
    <row r="131" spans="2:28" x14ac:dyDescent="0.4">
      <c r="B131" s="7">
        <v>74</v>
      </c>
      <c r="C131" s="59" t="e">
        <f t="shared" si="41"/>
        <v>#NUM!</v>
      </c>
      <c r="D131" s="6" t="e">
        <f t="shared" si="42"/>
        <v>#NUM!</v>
      </c>
      <c r="E131" s="6" t="e">
        <f t="shared" si="43"/>
        <v>#NUM!</v>
      </c>
      <c r="F131" s="6" t="e">
        <f t="shared" si="44"/>
        <v>#NUM!</v>
      </c>
      <c r="G131" s="6" t="e">
        <f t="shared" si="45"/>
        <v>#NUM!</v>
      </c>
      <c r="H131" s="6"/>
      <c r="I131" s="6"/>
      <c r="V131" s="7">
        <v>74</v>
      </c>
      <c r="W131" s="59" t="e">
        <f t="shared" si="46"/>
        <v>#NUM!</v>
      </c>
      <c r="X131" s="6" t="e">
        <f t="shared" si="47"/>
        <v>#NUM!</v>
      </c>
      <c r="Y131" s="6" t="e">
        <f t="shared" si="48"/>
        <v>#NUM!</v>
      </c>
      <c r="Z131" s="6" t="e">
        <f t="shared" si="49"/>
        <v>#NUM!</v>
      </c>
      <c r="AA131" s="6" t="e">
        <f t="shared" si="50"/>
        <v>#NUM!</v>
      </c>
      <c r="AB131" s="6"/>
    </row>
    <row r="132" spans="2:28" x14ac:dyDescent="0.4">
      <c r="B132" s="7">
        <v>75</v>
      </c>
      <c r="C132" s="59" t="e">
        <f t="shared" si="41"/>
        <v>#NUM!</v>
      </c>
      <c r="D132" s="6" t="e">
        <f t="shared" si="42"/>
        <v>#NUM!</v>
      </c>
      <c r="E132" s="6" t="e">
        <f t="shared" si="43"/>
        <v>#NUM!</v>
      </c>
      <c r="F132" s="6" t="e">
        <f t="shared" si="44"/>
        <v>#NUM!</v>
      </c>
      <c r="G132" s="6" t="e">
        <f t="shared" si="45"/>
        <v>#NUM!</v>
      </c>
      <c r="H132" s="6"/>
      <c r="I132" s="6"/>
      <c r="V132" s="7">
        <v>75</v>
      </c>
      <c r="W132" s="59" t="e">
        <f t="shared" si="46"/>
        <v>#NUM!</v>
      </c>
      <c r="X132" s="6" t="e">
        <f t="shared" si="47"/>
        <v>#NUM!</v>
      </c>
      <c r="Y132" s="6" t="e">
        <f t="shared" si="48"/>
        <v>#NUM!</v>
      </c>
      <c r="Z132" s="6" t="e">
        <f t="shared" si="49"/>
        <v>#NUM!</v>
      </c>
      <c r="AA132" s="6" t="e">
        <f t="shared" si="50"/>
        <v>#NUM!</v>
      </c>
      <c r="AB132" s="6"/>
    </row>
    <row r="133" spans="2:28" x14ac:dyDescent="0.4">
      <c r="B133" s="7">
        <v>76</v>
      </c>
      <c r="C133" s="59" t="e">
        <f t="shared" si="41"/>
        <v>#NUM!</v>
      </c>
      <c r="D133" s="6" t="e">
        <f t="shared" si="42"/>
        <v>#NUM!</v>
      </c>
      <c r="E133" s="6" t="e">
        <f t="shared" si="43"/>
        <v>#NUM!</v>
      </c>
      <c r="F133" s="6" t="e">
        <f t="shared" si="44"/>
        <v>#NUM!</v>
      </c>
      <c r="G133" s="6" t="e">
        <f t="shared" si="45"/>
        <v>#NUM!</v>
      </c>
      <c r="H133" s="6"/>
      <c r="I133" s="6"/>
      <c r="V133" s="7">
        <v>76</v>
      </c>
      <c r="W133" s="59" t="e">
        <f t="shared" si="46"/>
        <v>#NUM!</v>
      </c>
      <c r="X133" s="6" t="e">
        <f t="shared" si="47"/>
        <v>#NUM!</v>
      </c>
      <c r="Y133" s="6" t="e">
        <f t="shared" si="48"/>
        <v>#NUM!</v>
      </c>
      <c r="Z133" s="6" t="e">
        <f t="shared" si="49"/>
        <v>#NUM!</v>
      </c>
      <c r="AA133" s="6" t="e">
        <f t="shared" si="50"/>
        <v>#NUM!</v>
      </c>
      <c r="AB133" s="6"/>
    </row>
    <row r="134" spans="2:28" x14ac:dyDescent="0.4">
      <c r="B134" s="7">
        <v>77</v>
      </c>
      <c r="C134" s="59" t="e">
        <f t="shared" si="41"/>
        <v>#NUM!</v>
      </c>
      <c r="D134" s="6" t="e">
        <f t="shared" si="42"/>
        <v>#NUM!</v>
      </c>
      <c r="E134" s="6" t="e">
        <f t="shared" si="43"/>
        <v>#NUM!</v>
      </c>
      <c r="F134" s="6" t="e">
        <f t="shared" si="44"/>
        <v>#NUM!</v>
      </c>
      <c r="G134" s="6" t="e">
        <f t="shared" si="45"/>
        <v>#NUM!</v>
      </c>
      <c r="H134" s="6"/>
      <c r="I134" s="6"/>
      <c r="V134" s="7">
        <v>77</v>
      </c>
      <c r="W134" s="59" t="e">
        <f t="shared" si="46"/>
        <v>#NUM!</v>
      </c>
      <c r="X134" s="6" t="e">
        <f t="shared" si="47"/>
        <v>#NUM!</v>
      </c>
      <c r="Y134" s="6" t="e">
        <f t="shared" si="48"/>
        <v>#NUM!</v>
      </c>
      <c r="Z134" s="6" t="e">
        <f t="shared" si="49"/>
        <v>#NUM!</v>
      </c>
      <c r="AA134" s="6" t="e">
        <f t="shared" si="50"/>
        <v>#NUM!</v>
      </c>
      <c r="AB134" s="6"/>
    </row>
    <row r="135" spans="2:28" x14ac:dyDescent="0.4">
      <c r="B135" s="7">
        <v>78</v>
      </c>
      <c r="C135" s="59" t="e">
        <f t="shared" si="41"/>
        <v>#NUM!</v>
      </c>
      <c r="D135" s="6" t="e">
        <f t="shared" si="42"/>
        <v>#NUM!</v>
      </c>
      <c r="E135" s="6" t="e">
        <f t="shared" si="43"/>
        <v>#NUM!</v>
      </c>
      <c r="F135" s="6" t="e">
        <f t="shared" si="44"/>
        <v>#NUM!</v>
      </c>
      <c r="G135" s="6" t="e">
        <f t="shared" si="45"/>
        <v>#NUM!</v>
      </c>
      <c r="H135" s="6"/>
      <c r="I135" s="6"/>
      <c r="V135" s="7">
        <v>78</v>
      </c>
      <c r="W135" s="59" t="e">
        <f t="shared" si="46"/>
        <v>#NUM!</v>
      </c>
      <c r="X135" s="6" t="e">
        <f t="shared" si="47"/>
        <v>#NUM!</v>
      </c>
      <c r="Y135" s="6" t="e">
        <f t="shared" si="48"/>
        <v>#NUM!</v>
      </c>
      <c r="Z135" s="6" t="e">
        <f t="shared" si="49"/>
        <v>#NUM!</v>
      </c>
      <c r="AA135" s="6" t="e">
        <f t="shared" si="50"/>
        <v>#NUM!</v>
      </c>
      <c r="AB135" s="6"/>
    </row>
    <row r="136" spans="2:28" x14ac:dyDescent="0.4">
      <c r="B136" s="7">
        <v>79</v>
      </c>
      <c r="C136" s="59" t="e">
        <f t="shared" si="41"/>
        <v>#NUM!</v>
      </c>
      <c r="D136" s="6" t="e">
        <f t="shared" si="42"/>
        <v>#NUM!</v>
      </c>
      <c r="E136" s="6" t="e">
        <f t="shared" si="43"/>
        <v>#NUM!</v>
      </c>
      <c r="F136" s="6" t="e">
        <f t="shared" si="44"/>
        <v>#NUM!</v>
      </c>
      <c r="G136" s="6" t="e">
        <f t="shared" si="45"/>
        <v>#NUM!</v>
      </c>
      <c r="H136" s="6"/>
      <c r="I136" s="6"/>
      <c r="V136" s="7">
        <v>79</v>
      </c>
      <c r="W136" s="59" t="e">
        <f t="shared" si="46"/>
        <v>#NUM!</v>
      </c>
      <c r="X136" s="6" t="e">
        <f t="shared" si="47"/>
        <v>#NUM!</v>
      </c>
      <c r="Y136" s="6" t="e">
        <f t="shared" si="48"/>
        <v>#NUM!</v>
      </c>
      <c r="Z136" s="6" t="e">
        <f t="shared" si="49"/>
        <v>#NUM!</v>
      </c>
      <c r="AA136" s="6" t="e">
        <f t="shared" si="50"/>
        <v>#NUM!</v>
      </c>
      <c r="AB136" s="6"/>
    </row>
    <row r="137" spans="2:28" x14ac:dyDescent="0.4">
      <c r="B137" s="7">
        <v>80</v>
      </c>
      <c r="C137" s="59" t="e">
        <f t="shared" si="41"/>
        <v>#NUM!</v>
      </c>
      <c r="D137" s="6" t="e">
        <f t="shared" si="42"/>
        <v>#NUM!</v>
      </c>
      <c r="E137" s="6" t="e">
        <f t="shared" si="43"/>
        <v>#NUM!</v>
      </c>
      <c r="F137" s="6" t="e">
        <f t="shared" si="44"/>
        <v>#NUM!</v>
      </c>
      <c r="G137" s="6" t="e">
        <f t="shared" si="45"/>
        <v>#NUM!</v>
      </c>
      <c r="H137" s="6"/>
      <c r="I137" s="6"/>
      <c r="V137" s="7">
        <v>80</v>
      </c>
      <c r="W137" s="59" t="e">
        <f t="shared" si="46"/>
        <v>#NUM!</v>
      </c>
      <c r="X137" s="6" t="e">
        <f t="shared" si="47"/>
        <v>#NUM!</v>
      </c>
      <c r="Y137" s="6" t="e">
        <f t="shared" si="48"/>
        <v>#NUM!</v>
      </c>
      <c r="Z137" s="6" t="e">
        <f t="shared" si="49"/>
        <v>#NUM!</v>
      </c>
      <c r="AA137" s="6" t="e">
        <f t="shared" si="50"/>
        <v>#NUM!</v>
      </c>
      <c r="AB137" s="6"/>
    </row>
    <row r="138" spans="2:28" x14ac:dyDescent="0.4">
      <c r="B138" s="7">
        <v>81</v>
      </c>
      <c r="C138" s="59" t="e">
        <f t="shared" si="41"/>
        <v>#NUM!</v>
      </c>
      <c r="D138" s="6" t="e">
        <f t="shared" si="42"/>
        <v>#NUM!</v>
      </c>
      <c r="E138" s="6" t="e">
        <f t="shared" si="43"/>
        <v>#NUM!</v>
      </c>
      <c r="F138" s="6" t="e">
        <f t="shared" si="44"/>
        <v>#NUM!</v>
      </c>
      <c r="G138" s="6" t="e">
        <f t="shared" si="45"/>
        <v>#NUM!</v>
      </c>
      <c r="H138" s="6"/>
      <c r="I138" s="6"/>
      <c r="V138" s="7">
        <v>81</v>
      </c>
      <c r="W138" s="59" t="e">
        <f t="shared" si="46"/>
        <v>#NUM!</v>
      </c>
      <c r="X138" s="6" t="e">
        <f t="shared" si="47"/>
        <v>#NUM!</v>
      </c>
      <c r="Y138" s="6" t="e">
        <f t="shared" si="48"/>
        <v>#NUM!</v>
      </c>
      <c r="Z138" s="6" t="e">
        <f t="shared" si="49"/>
        <v>#NUM!</v>
      </c>
      <c r="AA138" s="6" t="e">
        <f t="shared" si="50"/>
        <v>#NUM!</v>
      </c>
      <c r="AB138" s="6"/>
    </row>
    <row r="139" spans="2:28" x14ac:dyDescent="0.4">
      <c r="B139" s="7">
        <v>82</v>
      </c>
      <c r="C139" s="59" t="e">
        <f t="shared" si="41"/>
        <v>#NUM!</v>
      </c>
      <c r="D139" s="6" t="e">
        <f t="shared" si="42"/>
        <v>#NUM!</v>
      </c>
      <c r="E139" s="6" t="e">
        <f t="shared" si="43"/>
        <v>#NUM!</v>
      </c>
      <c r="F139" s="6" t="e">
        <f t="shared" si="44"/>
        <v>#NUM!</v>
      </c>
      <c r="G139" s="6" t="e">
        <f t="shared" si="45"/>
        <v>#NUM!</v>
      </c>
      <c r="H139" s="6"/>
      <c r="I139" s="6"/>
      <c r="V139" s="7">
        <v>82</v>
      </c>
      <c r="W139" s="59" t="e">
        <f t="shared" si="46"/>
        <v>#NUM!</v>
      </c>
      <c r="X139" s="6" t="e">
        <f t="shared" si="47"/>
        <v>#NUM!</v>
      </c>
      <c r="Y139" s="6" t="e">
        <f t="shared" si="48"/>
        <v>#NUM!</v>
      </c>
      <c r="Z139" s="6" t="e">
        <f t="shared" si="49"/>
        <v>#NUM!</v>
      </c>
      <c r="AA139" s="6" t="e">
        <f t="shared" si="50"/>
        <v>#NUM!</v>
      </c>
      <c r="AB139" s="6"/>
    </row>
    <row r="140" spans="2:28" x14ac:dyDescent="0.4">
      <c r="B140" s="7">
        <v>83</v>
      </c>
      <c r="C140" s="59" t="e">
        <f t="shared" si="41"/>
        <v>#NUM!</v>
      </c>
      <c r="D140" s="6" t="e">
        <f t="shared" si="42"/>
        <v>#NUM!</v>
      </c>
      <c r="E140" s="6" t="e">
        <f t="shared" si="43"/>
        <v>#NUM!</v>
      </c>
      <c r="F140" s="6" t="e">
        <f t="shared" si="44"/>
        <v>#NUM!</v>
      </c>
      <c r="G140" s="6" t="e">
        <f t="shared" si="45"/>
        <v>#NUM!</v>
      </c>
      <c r="H140" s="6"/>
      <c r="I140" s="6"/>
      <c r="V140" s="7">
        <v>83</v>
      </c>
      <c r="W140" s="59" t="e">
        <f t="shared" si="46"/>
        <v>#NUM!</v>
      </c>
      <c r="X140" s="6" t="e">
        <f t="shared" si="47"/>
        <v>#NUM!</v>
      </c>
      <c r="Y140" s="6" t="e">
        <f t="shared" si="48"/>
        <v>#NUM!</v>
      </c>
      <c r="Z140" s="6" t="e">
        <f t="shared" si="49"/>
        <v>#NUM!</v>
      </c>
      <c r="AA140" s="6" t="e">
        <f t="shared" si="50"/>
        <v>#NUM!</v>
      </c>
      <c r="AB140" s="6"/>
    </row>
    <row r="141" spans="2:28" x14ac:dyDescent="0.4">
      <c r="B141" s="7">
        <v>84</v>
      </c>
      <c r="C141" s="59" t="e">
        <f t="shared" si="41"/>
        <v>#NUM!</v>
      </c>
      <c r="D141" s="6" t="e">
        <f t="shared" si="42"/>
        <v>#NUM!</v>
      </c>
      <c r="E141" s="6" t="e">
        <f t="shared" si="43"/>
        <v>#NUM!</v>
      </c>
      <c r="F141" s="6" t="e">
        <f t="shared" si="44"/>
        <v>#NUM!</v>
      </c>
      <c r="G141" s="6" t="e">
        <f t="shared" si="45"/>
        <v>#NUM!</v>
      </c>
      <c r="H141" s="6"/>
      <c r="I141" s="6"/>
      <c r="V141" s="7">
        <v>84</v>
      </c>
      <c r="W141" s="59" t="e">
        <f t="shared" si="46"/>
        <v>#NUM!</v>
      </c>
      <c r="X141" s="6" t="e">
        <f t="shared" si="47"/>
        <v>#NUM!</v>
      </c>
      <c r="Y141" s="6" t="e">
        <f t="shared" si="48"/>
        <v>#NUM!</v>
      </c>
      <c r="Z141" s="6" t="e">
        <f t="shared" si="49"/>
        <v>#NUM!</v>
      </c>
      <c r="AA141" s="6" t="e">
        <f t="shared" si="50"/>
        <v>#NUM!</v>
      </c>
      <c r="AB141" s="6"/>
    </row>
    <row r="142" spans="2:28" x14ac:dyDescent="0.4">
      <c r="B142" s="7">
        <v>85</v>
      </c>
      <c r="C142" s="59" t="e">
        <f t="shared" si="41"/>
        <v>#NUM!</v>
      </c>
      <c r="D142" s="6" t="e">
        <f t="shared" si="42"/>
        <v>#NUM!</v>
      </c>
      <c r="E142" s="6" t="e">
        <f t="shared" si="43"/>
        <v>#NUM!</v>
      </c>
      <c r="F142" s="6" t="e">
        <f t="shared" si="44"/>
        <v>#NUM!</v>
      </c>
      <c r="G142" s="6" t="e">
        <f t="shared" si="45"/>
        <v>#NUM!</v>
      </c>
      <c r="H142" s="6"/>
      <c r="I142" s="6"/>
      <c r="V142" s="7">
        <v>85</v>
      </c>
      <c r="W142" s="59" t="e">
        <f t="shared" si="46"/>
        <v>#NUM!</v>
      </c>
      <c r="X142" s="6" t="e">
        <f t="shared" si="47"/>
        <v>#NUM!</v>
      </c>
      <c r="Y142" s="6" t="e">
        <f t="shared" si="48"/>
        <v>#NUM!</v>
      </c>
      <c r="Z142" s="6" t="e">
        <f t="shared" si="49"/>
        <v>#NUM!</v>
      </c>
      <c r="AA142" s="6" t="e">
        <f t="shared" si="50"/>
        <v>#NUM!</v>
      </c>
      <c r="AB142" s="6"/>
    </row>
    <row r="143" spans="2:28" x14ac:dyDescent="0.4">
      <c r="B143" s="7">
        <v>86</v>
      </c>
      <c r="C143" s="59" t="e">
        <f t="shared" si="41"/>
        <v>#NUM!</v>
      </c>
      <c r="D143" s="6" t="e">
        <f t="shared" si="42"/>
        <v>#NUM!</v>
      </c>
      <c r="E143" s="6" t="e">
        <f t="shared" si="43"/>
        <v>#NUM!</v>
      </c>
      <c r="F143" s="6" t="e">
        <f t="shared" si="44"/>
        <v>#NUM!</v>
      </c>
      <c r="G143" s="6" t="e">
        <f t="shared" si="45"/>
        <v>#NUM!</v>
      </c>
      <c r="H143" s="6"/>
      <c r="I143" s="6"/>
      <c r="V143" s="7">
        <v>86</v>
      </c>
      <c r="W143" s="59" t="e">
        <f t="shared" si="46"/>
        <v>#NUM!</v>
      </c>
      <c r="X143" s="6" t="e">
        <f t="shared" si="47"/>
        <v>#NUM!</v>
      </c>
      <c r="Y143" s="6" t="e">
        <f t="shared" si="48"/>
        <v>#NUM!</v>
      </c>
      <c r="Z143" s="6" t="e">
        <f t="shared" si="49"/>
        <v>#NUM!</v>
      </c>
      <c r="AA143" s="6" t="e">
        <f t="shared" si="50"/>
        <v>#NUM!</v>
      </c>
      <c r="AB143" s="6"/>
    </row>
    <row r="144" spans="2:28" x14ac:dyDescent="0.4">
      <c r="B144" s="7">
        <v>87</v>
      </c>
      <c r="C144" s="59" t="e">
        <f t="shared" si="41"/>
        <v>#NUM!</v>
      </c>
      <c r="D144" s="6" t="e">
        <f t="shared" si="42"/>
        <v>#NUM!</v>
      </c>
      <c r="E144" s="6" t="e">
        <f t="shared" si="43"/>
        <v>#NUM!</v>
      </c>
      <c r="F144" s="6" t="e">
        <f t="shared" si="44"/>
        <v>#NUM!</v>
      </c>
      <c r="G144" s="6" t="e">
        <f t="shared" si="45"/>
        <v>#NUM!</v>
      </c>
      <c r="H144" s="6"/>
      <c r="I144" s="6"/>
      <c r="V144" s="7">
        <v>87</v>
      </c>
      <c r="W144" s="59" t="e">
        <f t="shared" si="46"/>
        <v>#NUM!</v>
      </c>
      <c r="X144" s="6" t="e">
        <f t="shared" si="47"/>
        <v>#NUM!</v>
      </c>
      <c r="Y144" s="6" t="e">
        <f t="shared" si="48"/>
        <v>#NUM!</v>
      </c>
      <c r="Z144" s="6" t="e">
        <f t="shared" si="49"/>
        <v>#NUM!</v>
      </c>
      <c r="AA144" s="6" t="e">
        <f t="shared" si="50"/>
        <v>#NUM!</v>
      </c>
      <c r="AB144" s="6"/>
    </row>
    <row r="145" spans="2:28" x14ac:dyDescent="0.4">
      <c r="B145" s="7">
        <v>88</v>
      </c>
      <c r="C145" s="59" t="e">
        <f t="shared" si="41"/>
        <v>#NUM!</v>
      </c>
      <c r="D145" s="6" t="e">
        <f t="shared" si="42"/>
        <v>#NUM!</v>
      </c>
      <c r="E145" s="6" t="e">
        <f t="shared" si="43"/>
        <v>#NUM!</v>
      </c>
      <c r="F145" s="6" t="e">
        <f t="shared" si="44"/>
        <v>#NUM!</v>
      </c>
      <c r="G145" s="6" t="e">
        <f t="shared" si="45"/>
        <v>#NUM!</v>
      </c>
      <c r="H145" s="6"/>
      <c r="I145" s="6"/>
      <c r="V145" s="7">
        <v>88</v>
      </c>
      <c r="W145" s="59" t="e">
        <f t="shared" si="46"/>
        <v>#NUM!</v>
      </c>
      <c r="X145" s="6" t="e">
        <f t="shared" si="47"/>
        <v>#NUM!</v>
      </c>
      <c r="Y145" s="6" t="e">
        <f t="shared" si="48"/>
        <v>#NUM!</v>
      </c>
      <c r="Z145" s="6" t="e">
        <f t="shared" si="49"/>
        <v>#NUM!</v>
      </c>
      <c r="AA145" s="6" t="e">
        <f t="shared" si="50"/>
        <v>#NUM!</v>
      </c>
      <c r="AB145" s="6"/>
    </row>
    <row r="146" spans="2:28" x14ac:dyDescent="0.4">
      <c r="B146" s="7">
        <v>89</v>
      </c>
      <c r="C146" s="59" t="e">
        <f t="shared" si="41"/>
        <v>#NUM!</v>
      </c>
      <c r="D146" s="6" t="e">
        <f t="shared" si="42"/>
        <v>#NUM!</v>
      </c>
      <c r="E146" s="6" t="e">
        <f t="shared" si="43"/>
        <v>#NUM!</v>
      </c>
      <c r="F146" s="6" t="e">
        <f t="shared" si="44"/>
        <v>#NUM!</v>
      </c>
      <c r="G146" s="6" t="e">
        <f t="shared" si="45"/>
        <v>#NUM!</v>
      </c>
      <c r="H146" s="6"/>
      <c r="I146" s="6"/>
      <c r="V146" s="7">
        <v>89</v>
      </c>
      <c r="W146" s="59" t="e">
        <f t="shared" si="46"/>
        <v>#NUM!</v>
      </c>
      <c r="X146" s="6" t="e">
        <f t="shared" si="47"/>
        <v>#NUM!</v>
      </c>
      <c r="Y146" s="6" t="e">
        <f t="shared" si="48"/>
        <v>#NUM!</v>
      </c>
      <c r="Z146" s="6" t="e">
        <f t="shared" si="49"/>
        <v>#NUM!</v>
      </c>
      <c r="AA146" s="6" t="e">
        <f t="shared" si="50"/>
        <v>#NUM!</v>
      </c>
      <c r="AB146" s="6"/>
    </row>
    <row r="147" spans="2:28" x14ac:dyDescent="0.4">
      <c r="B147" s="7">
        <v>90</v>
      </c>
      <c r="C147" s="59" t="e">
        <f t="shared" si="41"/>
        <v>#NUM!</v>
      </c>
      <c r="D147" s="6" t="e">
        <f t="shared" si="42"/>
        <v>#NUM!</v>
      </c>
      <c r="E147" s="6" t="e">
        <f t="shared" si="43"/>
        <v>#NUM!</v>
      </c>
      <c r="F147" s="6" t="e">
        <f t="shared" si="44"/>
        <v>#NUM!</v>
      </c>
      <c r="G147" s="6" t="e">
        <f t="shared" si="45"/>
        <v>#NUM!</v>
      </c>
      <c r="H147" s="6"/>
      <c r="I147" s="6"/>
      <c r="V147" s="7">
        <v>90</v>
      </c>
      <c r="W147" s="59" t="e">
        <f t="shared" si="46"/>
        <v>#NUM!</v>
      </c>
      <c r="X147" s="6" t="e">
        <f t="shared" si="47"/>
        <v>#NUM!</v>
      </c>
      <c r="Y147" s="6" t="e">
        <f t="shared" si="48"/>
        <v>#NUM!</v>
      </c>
      <c r="Z147" s="6" t="e">
        <f t="shared" si="49"/>
        <v>#NUM!</v>
      </c>
      <c r="AA147" s="6" t="e">
        <f t="shared" si="50"/>
        <v>#NUM!</v>
      </c>
      <c r="AB147" s="6"/>
    </row>
    <row r="148" spans="2:28" x14ac:dyDescent="0.4">
      <c r="B148" s="7">
        <v>91</v>
      </c>
      <c r="C148" s="59" t="e">
        <f t="shared" si="41"/>
        <v>#NUM!</v>
      </c>
      <c r="D148" s="6" t="e">
        <f t="shared" si="42"/>
        <v>#NUM!</v>
      </c>
      <c r="E148" s="6" t="e">
        <f t="shared" si="43"/>
        <v>#NUM!</v>
      </c>
      <c r="F148" s="6" t="e">
        <f t="shared" si="44"/>
        <v>#NUM!</v>
      </c>
      <c r="G148" s="6" t="e">
        <f t="shared" si="45"/>
        <v>#NUM!</v>
      </c>
      <c r="H148" s="6"/>
      <c r="I148" s="6"/>
      <c r="V148" s="7">
        <v>91</v>
      </c>
      <c r="W148" s="59" t="e">
        <f t="shared" si="46"/>
        <v>#NUM!</v>
      </c>
      <c r="X148" s="6" t="e">
        <f t="shared" si="47"/>
        <v>#NUM!</v>
      </c>
      <c r="Y148" s="6" t="e">
        <f t="shared" si="48"/>
        <v>#NUM!</v>
      </c>
      <c r="Z148" s="6" t="e">
        <f t="shared" si="49"/>
        <v>#NUM!</v>
      </c>
      <c r="AA148" s="6" t="e">
        <f t="shared" si="50"/>
        <v>#NUM!</v>
      </c>
      <c r="AB148" s="6"/>
    </row>
    <row r="149" spans="2:28" x14ac:dyDescent="0.4">
      <c r="B149" s="7">
        <v>92</v>
      </c>
      <c r="C149" s="59" t="e">
        <f t="shared" si="41"/>
        <v>#NUM!</v>
      </c>
      <c r="D149" s="6" t="e">
        <f t="shared" si="42"/>
        <v>#NUM!</v>
      </c>
      <c r="E149" s="6" t="e">
        <f t="shared" si="43"/>
        <v>#NUM!</v>
      </c>
      <c r="F149" s="6" t="e">
        <f t="shared" si="44"/>
        <v>#NUM!</v>
      </c>
      <c r="G149" s="6" t="e">
        <f t="shared" si="45"/>
        <v>#NUM!</v>
      </c>
      <c r="H149" s="6"/>
      <c r="I149" s="6"/>
      <c r="V149" s="7">
        <v>92</v>
      </c>
      <c r="W149" s="59" t="e">
        <f t="shared" si="46"/>
        <v>#NUM!</v>
      </c>
      <c r="X149" s="6" t="e">
        <f t="shared" si="47"/>
        <v>#NUM!</v>
      </c>
      <c r="Y149" s="6" t="e">
        <f t="shared" si="48"/>
        <v>#NUM!</v>
      </c>
      <c r="Z149" s="6" t="e">
        <f t="shared" si="49"/>
        <v>#NUM!</v>
      </c>
      <c r="AA149" s="6" t="e">
        <f t="shared" si="50"/>
        <v>#NUM!</v>
      </c>
      <c r="AB149" s="6"/>
    </row>
    <row r="150" spans="2:28" x14ac:dyDescent="0.4">
      <c r="B150" s="7">
        <v>93</v>
      </c>
      <c r="C150" s="59" t="e">
        <f t="shared" si="41"/>
        <v>#NUM!</v>
      </c>
      <c r="D150" s="6" t="e">
        <f t="shared" si="42"/>
        <v>#NUM!</v>
      </c>
      <c r="E150" s="6" t="e">
        <f t="shared" si="43"/>
        <v>#NUM!</v>
      </c>
      <c r="F150" s="6" t="e">
        <f t="shared" si="44"/>
        <v>#NUM!</v>
      </c>
      <c r="G150" s="6" t="e">
        <f t="shared" si="45"/>
        <v>#NUM!</v>
      </c>
      <c r="H150" s="6"/>
      <c r="I150" s="6"/>
      <c r="V150" s="7">
        <v>93</v>
      </c>
      <c r="W150" s="59" t="e">
        <f t="shared" si="46"/>
        <v>#NUM!</v>
      </c>
      <c r="X150" s="6" t="e">
        <f t="shared" si="47"/>
        <v>#NUM!</v>
      </c>
      <c r="Y150" s="6" t="e">
        <f t="shared" si="48"/>
        <v>#NUM!</v>
      </c>
      <c r="Z150" s="6" t="e">
        <f t="shared" si="49"/>
        <v>#NUM!</v>
      </c>
      <c r="AA150" s="6" t="e">
        <f t="shared" si="50"/>
        <v>#NUM!</v>
      </c>
      <c r="AB150" s="6"/>
    </row>
    <row r="151" spans="2:28" x14ac:dyDescent="0.4">
      <c r="B151" s="7">
        <v>94</v>
      </c>
      <c r="C151" s="59" t="e">
        <f t="shared" si="41"/>
        <v>#NUM!</v>
      </c>
      <c r="D151" s="6" t="e">
        <f t="shared" si="42"/>
        <v>#NUM!</v>
      </c>
      <c r="E151" s="6" t="e">
        <f t="shared" si="43"/>
        <v>#NUM!</v>
      </c>
      <c r="F151" s="6" t="e">
        <f t="shared" si="44"/>
        <v>#NUM!</v>
      </c>
      <c r="G151" s="6" t="e">
        <f t="shared" si="45"/>
        <v>#NUM!</v>
      </c>
      <c r="H151" s="6"/>
      <c r="I151" s="6"/>
      <c r="V151" s="7">
        <v>94</v>
      </c>
      <c r="W151" s="59" t="e">
        <f t="shared" si="46"/>
        <v>#NUM!</v>
      </c>
      <c r="X151" s="6" t="e">
        <f t="shared" si="47"/>
        <v>#NUM!</v>
      </c>
      <c r="Y151" s="6" t="e">
        <f t="shared" si="48"/>
        <v>#NUM!</v>
      </c>
      <c r="Z151" s="6" t="e">
        <f t="shared" si="49"/>
        <v>#NUM!</v>
      </c>
      <c r="AA151" s="6" t="e">
        <f t="shared" si="50"/>
        <v>#NUM!</v>
      </c>
      <c r="AB151" s="6"/>
    </row>
    <row r="152" spans="2:28" x14ac:dyDescent="0.4">
      <c r="B152" s="7">
        <v>95</v>
      </c>
      <c r="C152" s="59" t="e">
        <f t="shared" si="41"/>
        <v>#NUM!</v>
      </c>
      <c r="D152" s="6" t="e">
        <f t="shared" si="42"/>
        <v>#NUM!</v>
      </c>
      <c r="E152" s="6" t="e">
        <f t="shared" si="43"/>
        <v>#NUM!</v>
      </c>
      <c r="F152" s="6" t="e">
        <f t="shared" si="44"/>
        <v>#NUM!</v>
      </c>
      <c r="G152" s="6" t="e">
        <f t="shared" si="45"/>
        <v>#NUM!</v>
      </c>
      <c r="H152" s="6"/>
      <c r="I152" s="6"/>
      <c r="V152" s="7">
        <v>95</v>
      </c>
      <c r="W152" s="59" t="e">
        <f t="shared" si="46"/>
        <v>#NUM!</v>
      </c>
      <c r="X152" s="6" t="e">
        <f t="shared" si="47"/>
        <v>#NUM!</v>
      </c>
      <c r="Y152" s="6" t="e">
        <f t="shared" si="48"/>
        <v>#NUM!</v>
      </c>
      <c r="Z152" s="6" t="e">
        <f t="shared" si="49"/>
        <v>#NUM!</v>
      </c>
      <c r="AA152" s="6" t="e">
        <f t="shared" si="50"/>
        <v>#NUM!</v>
      </c>
      <c r="AB152" s="6"/>
    </row>
    <row r="153" spans="2:28" x14ac:dyDescent="0.4">
      <c r="B153" s="7">
        <v>96</v>
      </c>
      <c r="C153" s="59" t="e">
        <f t="shared" si="41"/>
        <v>#NUM!</v>
      </c>
      <c r="D153" s="6" t="e">
        <f t="shared" si="42"/>
        <v>#NUM!</v>
      </c>
      <c r="E153" s="6" t="e">
        <f t="shared" si="43"/>
        <v>#NUM!</v>
      </c>
      <c r="F153" s="6" t="e">
        <f t="shared" si="44"/>
        <v>#NUM!</v>
      </c>
      <c r="G153" s="6" t="e">
        <f t="shared" si="45"/>
        <v>#NUM!</v>
      </c>
      <c r="H153" s="6"/>
      <c r="I153" s="6"/>
      <c r="V153" s="7">
        <v>96</v>
      </c>
      <c r="W153" s="59" t="e">
        <f t="shared" si="46"/>
        <v>#NUM!</v>
      </c>
      <c r="X153" s="6" t="e">
        <f t="shared" si="47"/>
        <v>#NUM!</v>
      </c>
      <c r="Y153" s="6" t="e">
        <f t="shared" si="48"/>
        <v>#NUM!</v>
      </c>
      <c r="Z153" s="6" t="e">
        <f t="shared" si="49"/>
        <v>#NUM!</v>
      </c>
      <c r="AA153" s="6" t="e">
        <f t="shared" si="50"/>
        <v>#NUM!</v>
      </c>
      <c r="AB153" s="6"/>
    </row>
    <row r="154" spans="2:28" x14ac:dyDescent="0.4">
      <c r="B154" s="7">
        <v>97</v>
      </c>
      <c r="C154" s="59" t="e">
        <f t="shared" si="41"/>
        <v>#NUM!</v>
      </c>
      <c r="D154" s="6" t="e">
        <f t="shared" si="42"/>
        <v>#NUM!</v>
      </c>
      <c r="E154" s="6" t="e">
        <f t="shared" si="43"/>
        <v>#NUM!</v>
      </c>
      <c r="F154" s="6" t="e">
        <f t="shared" si="44"/>
        <v>#NUM!</v>
      </c>
      <c r="G154" s="6" t="e">
        <f t="shared" si="45"/>
        <v>#NUM!</v>
      </c>
      <c r="H154" s="6"/>
      <c r="I154" s="6"/>
      <c r="V154" s="7">
        <v>97</v>
      </c>
      <c r="W154" s="59" t="e">
        <f t="shared" si="46"/>
        <v>#NUM!</v>
      </c>
      <c r="X154" s="6" t="e">
        <f t="shared" si="47"/>
        <v>#NUM!</v>
      </c>
      <c r="Y154" s="6" t="e">
        <f t="shared" si="48"/>
        <v>#NUM!</v>
      </c>
      <c r="Z154" s="6" t="e">
        <f t="shared" si="49"/>
        <v>#NUM!</v>
      </c>
      <c r="AA154" s="6" t="e">
        <f t="shared" si="50"/>
        <v>#NUM!</v>
      </c>
      <c r="AB154" s="6"/>
    </row>
    <row r="155" spans="2:28" x14ac:dyDescent="0.4">
      <c r="B155" s="7">
        <v>98</v>
      </c>
      <c r="C155" s="59" t="e">
        <f t="shared" si="41"/>
        <v>#NUM!</v>
      </c>
      <c r="D155" s="6" t="e">
        <f t="shared" si="42"/>
        <v>#NUM!</v>
      </c>
      <c r="E155" s="6" t="e">
        <f t="shared" si="43"/>
        <v>#NUM!</v>
      </c>
      <c r="F155" s="6" t="e">
        <f t="shared" si="44"/>
        <v>#NUM!</v>
      </c>
      <c r="G155" s="6" t="e">
        <f t="shared" si="45"/>
        <v>#NUM!</v>
      </c>
      <c r="H155" s="6"/>
      <c r="I155" s="6"/>
      <c r="V155" s="7">
        <v>98</v>
      </c>
      <c r="W155" s="59" t="e">
        <f t="shared" si="46"/>
        <v>#NUM!</v>
      </c>
      <c r="X155" s="6" t="e">
        <f t="shared" si="47"/>
        <v>#NUM!</v>
      </c>
      <c r="Y155" s="6" t="e">
        <f t="shared" si="48"/>
        <v>#NUM!</v>
      </c>
      <c r="Z155" s="6" t="e">
        <f t="shared" si="49"/>
        <v>#NUM!</v>
      </c>
      <c r="AA155" s="6" t="e">
        <f t="shared" si="50"/>
        <v>#NUM!</v>
      </c>
      <c r="AB155" s="6"/>
    </row>
    <row r="156" spans="2:28" x14ac:dyDescent="0.4">
      <c r="B156" s="7">
        <v>99</v>
      </c>
      <c r="C156" s="59" t="e">
        <f t="shared" si="41"/>
        <v>#NUM!</v>
      </c>
      <c r="D156" s="6" t="e">
        <f t="shared" si="42"/>
        <v>#NUM!</v>
      </c>
      <c r="E156" s="6" t="e">
        <f t="shared" si="43"/>
        <v>#NUM!</v>
      </c>
      <c r="F156" s="6" t="e">
        <f t="shared" si="44"/>
        <v>#NUM!</v>
      </c>
      <c r="G156" s="6" t="e">
        <f t="shared" si="45"/>
        <v>#NUM!</v>
      </c>
      <c r="H156" s="6"/>
      <c r="I156" s="6"/>
      <c r="V156" s="7">
        <v>99</v>
      </c>
      <c r="W156" s="59" t="e">
        <f t="shared" si="46"/>
        <v>#NUM!</v>
      </c>
      <c r="X156" s="6" t="e">
        <f t="shared" si="47"/>
        <v>#NUM!</v>
      </c>
      <c r="Y156" s="6" t="e">
        <f t="shared" si="48"/>
        <v>#NUM!</v>
      </c>
      <c r="Z156" s="6" t="e">
        <f t="shared" si="49"/>
        <v>#NUM!</v>
      </c>
      <c r="AA156" s="6" t="e">
        <f t="shared" si="50"/>
        <v>#NUM!</v>
      </c>
      <c r="AB156" s="6"/>
    </row>
    <row r="157" spans="2:28" x14ac:dyDescent="0.4">
      <c r="B157" s="7">
        <v>100</v>
      </c>
      <c r="C157" s="59" t="e">
        <f t="shared" si="41"/>
        <v>#NUM!</v>
      </c>
      <c r="D157" s="6" t="e">
        <f t="shared" si="42"/>
        <v>#NUM!</v>
      </c>
      <c r="E157" s="6" t="e">
        <f t="shared" si="43"/>
        <v>#NUM!</v>
      </c>
      <c r="F157" s="6" t="e">
        <f t="shared" si="44"/>
        <v>#NUM!</v>
      </c>
      <c r="G157" s="6" t="e">
        <f t="shared" si="45"/>
        <v>#NUM!</v>
      </c>
      <c r="H157" s="6"/>
      <c r="I157" s="6"/>
      <c r="V157" s="7">
        <v>100</v>
      </c>
      <c r="W157" s="59" t="e">
        <f t="shared" si="46"/>
        <v>#NUM!</v>
      </c>
      <c r="X157" s="6" t="e">
        <f t="shared" si="47"/>
        <v>#NUM!</v>
      </c>
      <c r="Y157" s="6" t="e">
        <f t="shared" si="48"/>
        <v>#NUM!</v>
      </c>
      <c r="Z157" s="6" t="e">
        <f t="shared" si="49"/>
        <v>#NUM!</v>
      </c>
      <c r="AA157" s="6" t="e">
        <f t="shared" si="50"/>
        <v>#NUM!</v>
      </c>
      <c r="AB157" s="6"/>
    </row>
    <row r="158" spans="2:28" x14ac:dyDescent="0.4">
      <c r="B158" s="7">
        <v>101</v>
      </c>
      <c r="C158" s="59" t="e">
        <f t="shared" si="41"/>
        <v>#NUM!</v>
      </c>
      <c r="D158" s="6" t="e">
        <f t="shared" si="42"/>
        <v>#NUM!</v>
      </c>
      <c r="E158" s="6" t="e">
        <f t="shared" si="43"/>
        <v>#NUM!</v>
      </c>
      <c r="F158" s="6" t="e">
        <f t="shared" si="44"/>
        <v>#NUM!</v>
      </c>
      <c r="G158" s="6" t="e">
        <f t="shared" si="45"/>
        <v>#NUM!</v>
      </c>
      <c r="H158" s="6"/>
      <c r="I158" s="6"/>
      <c r="V158" s="7">
        <v>101</v>
      </c>
      <c r="W158" s="59" t="e">
        <f t="shared" si="46"/>
        <v>#NUM!</v>
      </c>
      <c r="X158" s="6" t="e">
        <f t="shared" si="47"/>
        <v>#NUM!</v>
      </c>
      <c r="Y158" s="6" t="e">
        <f t="shared" si="48"/>
        <v>#NUM!</v>
      </c>
      <c r="Z158" s="6" t="e">
        <f t="shared" si="49"/>
        <v>#NUM!</v>
      </c>
      <c r="AA158" s="6" t="e">
        <f t="shared" si="50"/>
        <v>#NUM!</v>
      </c>
      <c r="AB158" s="6"/>
    </row>
    <row r="159" spans="2:28" x14ac:dyDescent="0.4">
      <c r="B159" s="7">
        <v>102</v>
      </c>
      <c r="C159" s="59" t="e">
        <f t="shared" si="41"/>
        <v>#NUM!</v>
      </c>
      <c r="D159" s="6" t="e">
        <f t="shared" si="42"/>
        <v>#NUM!</v>
      </c>
      <c r="E159" s="6" t="e">
        <f t="shared" si="43"/>
        <v>#NUM!</v>
      </c>
      <c r="F159" s="6" t="e">
        <f t="shared" si="44"/>
        <v>#NUM!</v>
      </c>
      <c r="G159" s="6" t="e">
        <f t="shared" si="45"/>
        <v>#NUM!</v>
      </c>
      <c r="H159" s="6"/>
      <c r="I159" s="6"/>
      <c r="V159" s="7">
        <v>102</v>
      </c>
      <c r="W159" s="59" t="e">
        <f t="shared" si="46"/>
        <v>#NUM!</v>
      </c>
      <c r="X159" s="6" t="e">
        <f t="shared" si="47"/>
        <v>#NUM!</v>
      </c>
      <c r="Y159" s="6" t="e">
        <f t="shared" si="48"/>
        <v>#NUM!</v>
      </c>
      <c r="Z159" s="6" t="e">
        <f t="shared" si="49"/>
        <v>#NUM!</v>
      </c>
      <c r="AA159" s="6" t="e">
        <f t="shared" si="50"/>
        <v>#NUM!</v>
      </c>
      <c r="AB159" s="6"/>
    </row>
    <row r="160" spans="2:28" x14ac:dyDescent="0.4">
      <c r="B160" s="7">
        <v>103</v>
      </c>
      <c r="C160" s="59" t="e">
        <f t="shared" si="41"/>
        <v>#NUM!</v>
      </c>
      <c r="D160" s="6" t="e">
        <f t="shared" si="42"/>
        <v>#NUM!</v>
      </c>
      <c r="E160" s="6" t="e">
        <f t="shared" si="43"/>
        <v>#NUM!</v>
      </c>
      <c r="F160" s="6" t="e">
        <f t="shared" si="44"/>
        <v>#NUM!</v>
      </c>
      <c r="G160" s="6" t="e">
        <f t="shared" si="45"/>
        <v>#NUM!</v>
      </c>
      <c r="H160" s="6"/>
      <c r="I160" s="6"/>
      <c r="V160" s="7">
        <v>103</v>
      </c>
      <c r="W160" s="59" t="e">
        <f t="shared" si="46"/>
        <v>#NUM!</v>
      </c>
      <c r="X160" s="6" t="e">
        <f t="shared" si="47"/>
        <v>#NUM!</v>
      </c>
      <c r="Y160" s="6" t="e">
        <f t="shared" si="48"/>
        <v>#NUM!</v>
      </c>
      <c r="Z160" s="6" t="e">
        <f t="shared" si="49"/>
        <v>#NUM!</v>
      </c>
      <c r="AA160" s="6" t="e">
        <f t="shared" si="50"/>
        <v>#NUM!</v>
      </c>
      <c r="AB160" s="6"/>
    </row>
    <row r="161" spans="2:28" x14ac:dyDescent="0.4">
      <c r="B161" s="7">
        <v>104</v>
      </c>
      <c r="C161" s="59" t="e">
        <f t="shared" si="41"/>
        <v>#NUM!</v>
      </c>
      <c r="D161" s="6" t="e">
        <f t="shared" si="42"/>
        <v>#NUM!</v>
      </c>
      <c r="E161" s="6" t="e">
        <f t="shared" si="43"/>
        <v>#NUM!</v>
      </c>
      <c r="F161" s="6" t="e">
        <f t="shared" si="44"/>
        <v>#NUM!</v>
      </c>
      <c r="G161" s="6" t="e">
        <f t="shared" si="45"/>
        <v>#NUM!</v>
      </c>
      <c r="H161" s="6"/>
      <c r="I161" s="6"/>
      <c r="V161" s="7">
        <v>104</v>
      </c>
      <c r="W161" s="59" t="e">
        <f t="shared" si="46"/>
        <v>#NUM!</v>
      </c>
      <c r="X161" s="6" t="e">
        <f t="shared" si="47"/>
        <v>#NUM!</v>
      </c>
      <c r="Y161" s="6" t="e">
        <f t="shared" si="48"/>
        <v>#NUM!</v>
      </c>
      <c r="Z161" s="6" t="e">
        <f t="shared" si="49"/>
        <v>#NUM!</v>
      </c>
      <c r="AA161" s="6" t="e">
        <f t="shared" si="50"/>
        <v>#NUM!</v>
      </c>
      <c r="AB161" s="6"/>
    </row>
    <row r="162" spans="2:28" x14ac:dyDescent="0.4">
      <c r="B162" s="7">
        <v>105</v>
      </c>
      <c r="C162" s="59" t="e">
        <f t="shared" si="41"/>
        <v>#NUM!</v>
      </c>
      <c r="D162" s="6" t="e">
        <f t="shared" si="42"/>
        <v>#NUM!</v>
      </c>
      <c r="E162" s="6" t="e">
        <f t="shared" si="43"/>
        <v>#NUM!</v>
      </c>
      <c r="F162" s="6" t="e">
        <f t="shared" si="44"/>
        <v>#NUM!</v>
      </c>
      <c r="G162" s="6" t="e">
        <f t="shared" si="45"/>
        <v>#NUM!</v>
      </c>
      <c r="H162" s="6"/>
      <c r="I162" s="6"/>
      <c r="V162" s="7">
        <v>105</v>
      </c>
      <c r="W162" s="59" t="e">
        <f t="shared" si="46"/>
        <v>#NUM!</v>
      </c>
      <c r="X162" s="6" t="e">
        <f t="shared" si="47"/>
        <v>#NUM!</v>
      </c>
      <c r="Y162" s="6" t="e">
        <f t="shared" si="48"/>
        <v>#NUM!</v>
      </c>
      <c r="Z162" s="6" t="e">
        <f t="shared" si="49"/>
        <v>#NUM!</v>
      </c>
      <c r="AA162" s="6" t="e">
        <f t="shared" si="50"/>
        <v>#NUM!</v>
      </c>
      <c r="AB162" s="6"/>
    </row>
    <row r="163" spans="2:28" x14ac:dyDescent="0.4">
      <c r="B163" s="7">
        <v>106</v>
      </c>
      <c r="C163" s="59" t="e">
        <f t="shared" si="41"/>
        <v>#NUM!</v>
      </c>
      <c r="D163" s="6" t="e">
        <f t="shared" si="42"/>
        <v>#NUM!</v>
      </c>
      <c r="E163" s="6" t="e">
        <f t="shared" si="43"/>
        <v>#NUM!</v>
      </c>
      <c r="F163" s="6" t="e">
        <f t="shared" si="44"/>
        <v>#NUM!</v>
      </c>
      <c r="G163" s="6" t="e">
        <f t="shared" si="45"/>
        <v>#NUM!</v>
      </c>
      <c r="H163" s="6"/>
      <c r="I163" s="6"/>
      <c r="V163" s="7">
        <v>106</v>
      </c>
      <c r="W163" s="59" t="e">
        <f t="shared" si="46"/>
        <v>#NUM!</v>
      </c>
      <c r="X163" s="6" t="e">
        <f t="shared" si="47"/>
        <v>#NUM!</v>
      </c>
      <c r="Y163" s="6" t="e">
        <f t="shared" si="48"/>
        <v>#NUM!</v>
      </c>
      <c r="Z163" s="6" t="e">
        <f t="shared" si="49"/>
        <v>#NUM!</v>
      </c>
      <c r="AA163" s="6" t="e">
        <f t="shared" si="50"/>
        <v>#NUM!</v>
      </c>
      <c r="AB163" s="6"/>
    </row>
    <row r="164" spans="2:28" x14ac:dyDescent="0.4">
      <c r="B164" s="7">
        <v>107</v>
      </c>
      <c r="C164" s="59" t="e">
        <f t="shared" si="41"/>
        <v>#NUM!</v>
      </c>
      <c r="D164" s="6" t="e">
        <f t="shared" si="42"/>
        <v>#NUM!</v>
      </c>
      <c r="E164" s="6" t="e">
        <f t="shared" si="43"/>
        <v>#NUM!</v>
      </c>
      <c r="F164" s="6" t="e">
        <f t="shared" si="44"/>
        <v>#NUM!</v>
      </c>
      <c r="G164" s="6" t="e">
        <f t="shared" si="45"/>
        <v>#NUM!</v>
      </c>
      <c r="H164" s="6"/>
      <c r="I164" s="6"/>
      <c r="V164" s="7">
        <v>107</v>
      </c>
      <c r="W164" s="59" t="e">
        <f t="shared" si="46"/>
        <v>#NUM!</v>
      </c>
      <c r="X164" s="6" t="e">
        <f t="shared" si="47"/>
        <v>#NUM!</v>
      </c>
      <c r="Y164" s="6" t="e">
        <f t="shared" si="48"/>
        <v>#NUM!</v>
      </c>
      <c r="Z164" s="6" t="e">
        <f t="shared" si="49"/>
        <v>#NUM!</v>
      </c>
      <c r="AA164" s="6" t="e">
        <f t="shared" si="50"/>
        <v>#NUM!</v>
      </c>
      <c r="AB164" s="6"/>
    </row>
    <row r="165" spans="2:28" x14ac:dyDescent="0.4">
      <c r="B165" s="7">
        <v>108</v>
      </c>
      <c r="C165" s="59" t="e">
        <f t="shared" si="41"/>
        <v>#NUM!</v>
      </c>
      <c r="D165" s="6" t="e">
        <f t="shared" si="42"/>
        <v>#NUM!</v>
      </c>
      <c r="E165" s="6" t="e">
        <f t="shared" si="43"/>
        <v>#NUM!</v>
      </c>
      <c r="F165" s="6" t="e">
        <f t="shared" si="44"/>
        <v>#NUM!</v>
      </c>
      <c r="G165" s="6" t="e">
        <f t="shared" si="45"/>
        <v>#NUM!</v>
      </c>
      <c r="H165" s="6"/>
      <c r="I165" s="6"/>
      <c r="V165" s="7">
        <v>108</v>
      </c>
      <c r="W165" s="59" t="e">
        <f t="shared" si="46"/>
        <v>#NUM!</v>
      </c>
      <c r="X165" s="6" t="e">
        <f t="shared" si="47"/>
        <v>#NUM!</v>
      </c>
      <c r="Y165" s="6" t="e">
        <f t="shared" si="48"/>
        <v>#NUM!</v>
      </c>
      <c r="Z165" s="6" t="e">
        <f t="shared" si="49"/>
        <v>#NUM!</v>
      </c>
      <c r="AA165" s="6" t="e">
        <f t="shared" si="50"/>
        <v>#NUM!</v>
      </c>
      <c r="AB165" s="6"/>
    </row>
    <row r="166" spans="2:28" x14ac:dyDescent="0.4">
      <c r="B166" s="7">
        <v>109</v>
      </c>
      <c r="C166" s="59" t="e">
        <f t="shared" si="41"/>
        <v>#NUM!</v>
      </c>
      <c r="D166" s="6" t="e">
        <f t="shared" si="42"/>
        <v>#NUM!</v>
      </c>
      <c r="E166" s="6" t="e">
        <f t="shared" si="43"/>
        <v>#NUM!</v>
      </c>
      <c r="F166" s="6" t="e">
        <f t="shared" si="44"/>
        <v>#NUM!</v>
      </c>
      <c r="G166" s="6" t="e">
        <f t="shared" si="45"/>
        <v>#NUM!</v>
      </c>
      <c r="H166" s="6"/>
      <c r="I166" s="6"/>
      <c r="V166" s="7">
        <v>109</v>
      </c>
      <c r="W166" s="59" t="e">
        <f t="shared" si="46"/>
        <v>#NUM!</v>
      </c>
      <c r="X166" s="6" t="e">
        <f t="shared" si="47"/>
        <v>#NUM!</v>
      </c>
      <c r="Y166" s="6" t="e">
        <f t="shared" si="48"/>
        <v>#NUM!</v>
      </c>
      <c r="Z166" s="6" t="e">
        <f t="shared" si="49"/>
        <v>#NUM!</v>
      </c>
      <c r="AA166" s="6" t="e">
        <f t="shared" si="50"/>
        <v>#NUM!</v>
      </c>
      <c r="AB166" s="6"/>
    </row>
    <row r="167" spans="2:28" x14ac:dyDescent="0.4">
      <c r="B167" s="7">
        <v>110</v>
      </c>
      <c r="C167" s="59" t="e">
        <f t="shared" si="41"/>
        <v>#NUM!</v>
      </c>
      <c r="D167" s="6" t="e">
        <f t="shared" si="42"/>
        <v>#NUM!</v>
      </c>
      <c r="E167" s="6" t="e">
        <f t="shared" si="43"/>
        <v>#NUM!</v>
      </c>
      <c r="F167" s="6" t="e">
        <f t="shared" si="44"/>
        <v>#NUM!</v>
      </c>
      <c r="G167" s="6" t="e">
        <f t="shared" si="45"/>
        <v>#NUM!</v>
      </c>
      <c r="H167" s="6"/>
      <c r="I167" s="6"/>
      <c r="V167" s="7">
        <v>110</v>
      </c>
      <c r="W167" s="59" t="e">
        <f t="shared" si="46"/>
        <v>#NUM!</v>
      </c>
      <c r="X167" s="6" t="e">
        <f t="shared" si="47"/>
        <v>#NUM!</v>
      </c>
      <c r="Y167" s="6" t="e">
        <f t="shared" si="48"/>
        <v>#NUM!</v>
      </c>
      <c r="Z167" s="6" t="e">
        <f t="shared" si="49"/>
        <v>#NUM!</v>
      </c>
      <c r="AA167" s="6" t="e">
        <f t="shared" si="50"/>
        <v>#NUM!</v>
      </c>
      <c r="AB167" s="6"/>
    </row>
    <row r="168" spans="2:28" x14ac:dyDescent="0.4">
      <c r="B168" s="7">
        <v>111</v>
      </c>
      <c r="C168" s="59" t="e">
        <f t="shared" si="41"/>
        <v>#NUM!</v>
      </c>
      <c r="D168" s="6" t="e">
        <f t="shared" si="42"/>
        <v>#NUM!</v>
      </c>
      <c r="E168" s="6" t="e">
        <f t="shared" si="43"/>
        <v>#NUM!</v>
      </c>
      <c r="F168" s="6" t="e">
        <f t="shared" si="44"/>
        <v>#NUM!</v>
      </c>
      <c r="G168" s="6" t="e">
        <f t="shared" si="45"/>
        <v>#NUM!</v>
      </c>
      <c r="H168" s="6"/>
      <c r="I168" s="6"/>
      <c r="V168" s="7">
        <v>111</v>
      </c>
      <c r="W168" s="59" t="e">
        <f t="shared" si="46"/>
        <v>#NUM!</v>
      </c>
      <c r="X168" s="6" t="e">
        <f t="shared" si="47"/>
        <v>#NUM!</v>
      </c>
      <c r="Y168" s="6" t="e">
        <f t="shared" si="48"/>
        <v>#NUM!</v>
      </c>
      <c r="Z168" s="6" t="e">
        <f t="shared" si="49"/>
        <v>#NUM!</v>
      </c>
      <c r="AA168" s="6" t="e">
        <f t="shared" si="50"/>
        <v>#NUM!</v>
      </c>
      <c r="AB168" s="6"/>
    </row>
    <row r="169" spans="2:28" x14ac:dyDescent="0.4">
      <c r="B169" s="7">
        <v>112</v>
      </c>
      <c r="C169" s="59" t="e">
        <f t="shared" si="41"/>
        <v>#NUM!</v>
      </c>
      <c r="D169" s="6" t="e">
        <f t="shared" si="42"/>
        <v>#NUM!</v>
      </c>
      <c r="E169" s="6" t="e">
        <f t="shared" si="43"/>
        <v>#NUM!</v>
      </c>
      <c r="F169" s="6" t="e">
        <f t="shared" si="44"/>
        <v>#NUM!</v>
      </c>
      <c r="G169" s="6" t="e">
        <f t="shared" si="45"/>
        <v>#NUM!</v>
      </c>
      <c r="H169" s="6"/>
      <c r="I169" s="6"/>
      <c r="V169" s="7">
        <v>112</v>
      </c>
      <c r="W169" s="59" t="e">
        <f t="shared" si="46"/>
        <v>#NUM!</v>
      </c>
      <c r="X169" s="6" t="e">
        <f t="shared" si="47"/>
        <v>#NUM!</v>
      </c>
      <c r="Y169" s="6" t="e">
        <f t="shared" si="48"/>
        <v>#NUM!</v>
      </c>
      <c r="Z169" s="6" t="e">
        <f t="shared" si="49"/>
        <v>#NUM!</v>
      </c>
      <c r="AA169" s="6" t="e">
        <f t="shared" si="50"/>
        <v>#NUM!</v>
      </c>
      <c r="AB169" s="6"/>
    </row>
    <row r="170" spans="2:28" x14ac:dyDescent="0.4">
      <c r="B170" s="7">
        <v>113</v>
      </c>
      <c r="C170" s="59" t="e">
        <f t="shared" si="41"/>
        <v>#NUM!</v>
      </c>
      <c r="D170" s="6" t="e">
        <f t="shared" si="42"/>
        <v>#NUM!</v>
      </c>
      <c r="E170" s="6" t="e">
        <f t="shared" si="43"/>
        <v>#NUM!</v>
      </c>
      <c r="F170" s="6" t="e">
        <f t="shared" si="44"/>
        <v>#NUM!</v>
      </c>
      <c r="G170" s="6" t="e">
        <f t="shared" si="45"/>
        <v>#NUM!</v>
      </c>
      <c r="H170" s="6"/>
      <c r="I170" s="6"/>
      <c r="V170" s="7">
        <v>113</v>
      </c>
      <c r="W170" s="59" t="e">
        <f t="shared" si="46"/>
        <v>#NUM!</v>
      </c>
      <c r="X170" s="6" t="e">
        <f t="shared" si="47"/>
        <v>#NUM!</v>
      </c>
      <c r="Y170" s="6" t="e">
        <f t="shared" si="48"/>
        <v>#NUM!</v>
      </c>
      <c r="Z170" s="6" t="e">
        <f t="shared" si="49"/>
        <v>#NUM!</v>
      </c>
      <c r="AA170" s="6" t="e">
        <f t="shared" si="50"/>
        <v>#NUM!</v>
      </c>
      <c r="AB170" s="6"/>
    </row>
    <row r="171" spans="2:28" x14ac:dyDescent="0.4">
      <c r="B171" s="7">
        <v>114</v>
      </c>
      <c r="C171" s="59" t="e">
        <f t="shared" si="41"/>
        <v>#NUM!</v>
      </c>
      <c r="D171" s="6" t="e">
        <f t="shared" si="42"/>
        <v>#NUM!</v>
      </c>
      <c r="E171" s="6" t="e">
        <f t="shared" si="43"/>
        <v>#NUM!</v>
      </c>
      <c r="F171" s="6" t="e">
        <f t="shared" si="44"/>
        <v>#NUM!</v>
      </c>
      <c r="G171" s="6" t="e">
        <f t="shared" si="45"/>
        <v>#NUM!</v>
      </c>
      <c r="H171" s="6"/>
      <c r="I171" s="6"/>
      <c r="V171" s="7">
        <v>114</v>
      </c>
      <c r="W171" s="59" t="e">
        <f t="shared" si="46"/>
        <v>#NUM!</v>
      </c>
      <c r="X171" s="6" t="e">
        <f t="shared" si="47"/>
        <v>#NUM!</v>
      </c>
      <c r="Y171" s="6" t="e">
        <f t="shared" si="48"/>
        <v>#NUM!</v>
      </c>
      <c r="Z171" s="6" t="e">
        <f t="shared" si="49"/>
        <v>#NUM!</v>
      </c>
      <c r="AA171" s="6" t="e">
        <f t="shared" si="50"/>
        <v>#NUM!</v>
      </c>
      <c r="AB171" s="6"/>
    </row>
    <row r="172" spans="2:28" x14ac:dyDescent="0.4">
      <c r="B172" s="7">
        <v>115</v>
      </c>
      <c r="C172" s="59" t="e">
        <f t="shared" si="41"/>
        <v>#NUM!</v>
      </c>
      <c r="D172" s="6" t="e">
        <f t="shared" si="42"/>
        <v>#NUM!</v>
      </c>
      <c r="E172" s="6" t="e">
        <f t="shared" si="43"/>
        <v>#NUM!</v>
      </c>
      <c r="F172" s="6" t="e">
        <f t="shared" si="44"/>
        <v>#NUM!</v>
      </c>
      <c r="G172" s="6" t="e">
        <f t="shared" si="45"/>
        <v>#NUM!</v>
      </c>
      <c r="H172" s="6"/>
      <c r="I172" s="6"/>
      <c r="V172" s="7">
        <v>115</v>
      </c>
      <c r="W172" s="59" t="e">
        <f t="shared" si="46"/>
        <v>#NUM!</v>
      </c>
      <c r="X172" s="6" t="e">
        <f t="shared" si="47"/>
        <v>#NUM!</v>
      </c>
      <c r="Y172" s="6" t="e">
        <f t="shared" si="48"/>
        <v>#NUM!</v>
      </c>
      <c r="Z172" s="6" t="e">
        <f t="shared" si="49"/>
        <v>#NUM!</v>
      </c>
      <c r="AA172" s="6" t="e">
        <f t="shared" si="50"/>
        <v>#NUM!</v>
      </c>
      <c r="AB172" s="6"/>
    </row>
    <row r="173" spans="2:28" x14ac:dyDescent="0.4">
      <c r="B173" s="7">
        <v>116</v>
      </c>
      <c r="C173" s="59" t="e">
        <f t="shared" si="41"/>
        <v>#NUM!</v>
      </c>
      <c r="D173" s="6" t="e">
        <f t="shared" si="42"/>
        <v>#NUM!</v>
      </c>
      <c r="E173" s="6" t="e">
        <f t="shared" si="43"/>
        <v>#NUM!</v>
      </c>
      <c r="F173" s="6" t="e">
        <f t="shared" si="44"/>
        <v>#NUM!</v>
      </c>
      <c r="G173" s="6" t="e">
        <f t="shared" si="45"/>
        <v>#NUM!</v>
      </c>
      <c r="H173" s="6"/>
      <c r="I173" s="6"/>
      <c r="V173" s="7">
        <v>116</v>
      </c>
      <c r="W173" s="59" t="e">
        <f t="shared" si="46"/>
        <v>#NUM!</v>
      </c>
      <c r="X173" s="6" t="e">
        <f t="shared" si="47"/>
        <v>#NUM!</v>
      </c>
      <c r="Y173" s="6" t="e">
        <f t="shared" si="48"/>
        <v>#NUM!</v>
      </c>
      <c r="Z173" s="6" t="e">
        <f t="shared" si="49"/>
        <v>#NUM!</v>
      </c>
      <c r="AA173" s="6" t="e">
        <f t="shared" si="50"/>
        <v>#NUM!</v>
      </c>
      <c r="AB173" s="6"/>
    </row>
    <row r="174" spans="2:28" x14ac:dyDescent="0.4">
      <c r="B174" s="7">
        <v>117</v>
      </c>
      <c r="C174" s="59" t="e">
        <f t="shared" si="41"/>
        <v>#NUM!</v>
      </c>
      <c r="D174" s="6" t="e">
        <f t="shared" si="42"/>
        <v>#NUM!</v>
      </c>
      <c r="E174" s="6" t="e">
        <f t="shared" si="43"/>
        <v>#NUM!</v>
      </c>
      <c r="F174" s="6" t="e">
        <f t="shared" si="44"/>
        <v>#NUM!</v>
      </c>
      <c r="G174" s="6" t="e">
        <f t="shared" si="45"/>
        <v>#NUM!</v>
      </c>
      <c r="H174" s="6"/>
      <c r="I174" s="6"/>
      <c r="V174" s="7">
        <v>117</v>
      </c>
      <c r="W174" s="59" t="e">
        <f t="shared" si="46"/>
        <v>#NUM!</v>
      </c>
      <c r="X174" s="6" t="e">
        <f t="shared" si="47"/>
        <v>#NUM!</v>
      </c>
      <c r="Y174" s="6" t="e">
        <f t="shared" si="48"/>
        <v>#NUM!</v>
      </c>
      <c r="Z174" s="6" t="e">
        <f t="shared" si="49"/>
        <v>#NUM!</v>
      </c>
      <c r="AA174" s="6" t="e">
        <f t="shared" si="50"/>
        <v>#NUM!</v>
      </c>
      <c r="AB174" s="6"/>
    </row>
    <row r="175" spans="2:28" x14ac:dyDescent="0.4">
      <c r="B175" s="7">
        <v>118</v>
      </c>
      <c r="C175" s="59" t="e">
        <f t="shared" si="41"/>
        <v>#NUM!</v>
      </c>
      <c r="D175" s="6" t="e">
        <f t="shared" si="42"/>
        <v>#NUM!</v>
      </c>
      <c r="E175" s="6" t="e">
        <f t="shared" si="43"/>
        <v>#NUM!</v>
      </c>
      <c r="F175" s="6" t="e">
        <f t="shared" si="44"/>
        <v>#NUM!</v>
      </c>
      <c r="G175" s="6" t="e">
        <f t="shared" si="45"/>
        <v>#NUM!</v>
      </c>
      <c r="H175" s="6"/>
      <c r="I175" s="6"/>
      <c r="V175" s="7">
        <v>118</v>
      </c>
      <c r="W175" s="59" t="e">
        <f t="shared" si="46"/>
        <v>#NUM!</v>
      </c>
      <c r="X175" s="6" t="e">
        <f t="shared" si="47"/>
        <v>#NUM!</v>
      </c>
      <c r="Y175" s="6" t="e">
        <f t="shared" si="48"/>
        <v>#NUM!</v>
      </c>
      <c r="Z175" s="6" t="e">
        <f t="shared" si="49"/>
        <v>#NUM!</v>
      </c>
      <c r="AA175" s="6" t="e">
        <f t="shared" si="50"/>
        <v>#NUM!</v>
      </c>
      <c r="AB175" s="6"/>
    </row>
    <row r="176" spans="2:28" x14ac:dyDescent="0.4">
      <c r="B176" s="7">
        <v>119</v>
      </c>
      <c r="C176" s="59" t="e">
        <f t="shared" si="41"/>
        <v>#NUM!</v>
      </c>
      <c r="D176" s="6" t="e">
        <f t="shared" si="42"/>
        <v>#NUM!</v>
      </c>
      <c r="E176" s="6" t="e">
        <f t="shared" si="43"/>
        <v>#NUM!</v>
      </c>
      <c r="F176" s="6" t="e">
        <f t="shared" si="44"/>
        <v>#NUM!</v>
      </c>
      <c r="G176" s="6" t="e">
        <f t="shared" si="45"/>
        <v>#NUM!</v>
      </c>
      <c r="H176" s="6"/>
      <c r="I176" s="6"/>
      <c r="V176" s="7">
        <v>119</v>
      </c>
      <c r="W176" s="59" t="e">
        <f t="shared" si="46"/>
        <v>#NUM!</v>
      </c>
      <c r="X176" s="6" t="e">
        <f t="shared" si="47"/>
        <v>#NUM!</v>
      </c>
      <c r="Y176" s="6" t="e">
        <f t="shared" si="48"/>
        <v>#NUM!</v>
      </c>
      <c r="Z176" s="6" t="e">
        <f t="shared" si="49"/>
        <v>#NUM!</v>
      </c>
      <c r="AA176" s="6" t="e">
        <f t="shared" si="50"/>
        <v>#NUM!</v>
      </c>
      <c r="AB176" s="6"/>
    </row>
    <row r="177" spans="2:28" x14ac:dyDescent="0.4">
      <c r="B177" s="7">
        <v>120</v>
      </c>
      <c r="C177" s="59" t="e">
        <f t="shared" si="41"/>
        <v>#NUM!</v>
      </c>
      <c r="D177" s="6" t="e">
        <f t="shared" si="42"/>
        <v>#NUM!</v>
      </c>
      <c r="E177" s="6" t="e">
        <f t="shared" si="43"/>
        <v>#NUM!</v>
      </c>
      <c r="F177" s="6" t="e">
        <f t="shared" si="44"/>
        <v>#NUM!</v>
      </c>
      <c r="G177" s="6" t="e">
        <f t="shared" si="45"/>
        <v>#NUM!</v>
      </c>
      <c r="H177" s="6"/>
      <c r="I177" s="6"/>
      <c r="V177" s="7">
        <v>120</v>
      </c>
      <c r="W177" s="59" t="e">
        <f t="shared" si="46"/>
        <v>#NUM!</v>
      </c>
      <c r="X177" s="6" t="e">
        <f t="shared" si="47"/>
        <v>#NUM!</v>
      </c>
      <c r="Y177" s="6" t="e">
        <f t="shared" si="48"/>
        <v>#NUM!</v>
      </c>
      <c r="Z177" s="6" t="e">
        <f t="shared" si="49"/>
        <v>#NUM!</v>
      </c>
      <c r="AA177" s="6" t="e">
        <f t="shared" si="50"/>
        <v>#NUM!</v>
      </c>
      <c r="AB177" s="6"/>
    </row>
    <row r="178" spans="2:28" x14ac:dyDescent="0.4">
      <c r="B178" s="7">
        <v>121</v>
      </c>
      <c r="C178" s="59" t="e">
        <f t="shared" si="41"/>
        <v>#NUM!</v>
      </c>
      <c r="D178" s="6" t="e">
        <f t="shared" si="42"/>
        <v>#NUM!</v>
      </c>
      <c r="E178" s="6" t="e">
        <f t="shared" si="43"/>
        <v>#NUM!</v>
      </c>
      <c r="F178" s="6" t="e">
        <f t="shared" si="44"/>
        <v>#NUM!</v>
      </c>
      <c r="G178" s="6" t="e">
        <f t="shared" si="45"/>
        <v>#NUM!</v>
      </c>
      <c r="H178" s="6"/>
      <c r="I178" s="6"/>
      <c r="V178" s="7">
        <v>121</v>
      </c>
      <c r="W178" s="59" t="e">
        <f t="shared" si="46"/>
        <v>#NUM!</v>
      </c>
      <c r="X178" s="6" t="e">
        <f t="shared" si="47"/>
        <v>#NUM!</v>
      </c>
      <c r="Y178" s="6" t="e">
        <f t="shared" si="48"/>
        <v>#NUM!</v>
      </c>
      <c r="Z178" s="6" t="e">
        <f t="shared" si="49"/>
        <v>#NUM!</v>
      </c>
      <c r="AA178" s="6" t="e">
        <f t="shared" si="50"/>
        <v>#NUM!</v>
      </c>
      <c r="AB178" s="6"/>
    </row>
    <row r="179" spans="2:28" x14ac:dyDescent="0.4">
      <c r="B179" s="7">
        <v>122</v>
      </c>
      <c r="C179" s="59" t="e">
        <f t="shared" si="41"/>
        <v>#NUM!</v>
      </c>
      <c r="D179" s="6" t="e">
        <f t="shared" si="42"/>
        <v>#NUM!</v>
      </c>
      <c r="E179" s="6" t="e">
        <f t="shared" si="43"/>
        <v>#NUM!</v>
      </c>
      <c r="F179" s="6" t="e">
        <f t="shared" si="44"/>
        <v>#NUM!</v>
      </c>
      <c r="G179" s="6" t="e">
        <f t="shared" si="45"/>
        <v>#NUM!</v>
      </c>
      <c r="H179" s="6"/>
      <c r="I179" s="6"/>
      <c r="V179" s="7">
        <v>122</v>
      </c>
      <c r="W179" s="59" t="e">
        <f t="shared" si="46"/>
        <v>#NUM!</v>
      </c>
      <c r="X179" s="6" t="e">
        <f t="shared" si="47"/>
        <v>#NUM!</v>
      </c>
      <c r="Y179" s="6" t="e">
        <f t="shared" si="48"/>
        <v>#NUM!</v>
      </c>
      <c r="Z179" s="6" t="e">
        <f t="shared" si="49"/>
        <v>#NUM!</v>
      </c>
      <c r="AA179" s="6" t="e">
        <f t="shared" si="50"/>
        <v>#NUM!</v>
      </c>
      <c r="AB179" s="6"/>
    </row>
    <row r="180" spans="2:28" x14ac:dyDescent="0.4">
      <c r="B180" s="7">
        <v>123</v>
      </c>
      <c r="C180" s="59" t="e">
        <f t="shared" si="41"/>
        <v>#NUM!</v>
      </c>
      <c r="D180" s="6" t="e">
        <f t="shared" si="42"/>
        <v>#NUM!</v>
      </c>
      <c r="E180" s="6" t="e">
        <f t="shared" si="43"/>
        <v>#NUM!</v>
      </c>
      <c r="F180" s="6" t="e">
        <f t="shared" si="44"/>
        <v>#NUM!</v>
      </c>
      <c r="G180" s="6" t="e">
        <f t="shared" si="45"/>
        <v>#NUM!</v>
      </c>
      <c r="H180" s="6"/>
      <c r="I180" s="6"/>
      <c r="V180" s="7">
        <v>123</v>
      </c>
      <c r="W180" s="59" t="e">
        <f t="shared" si="46"/>
        <v>#NUM!</v>
      </c>
      <c r="X180" s="6" t="e">
        <f t="shared" si="47"/>
        <v>#NUM!</v>
      </c>
      <c r="Y180" s="6" t="e">
        <f t="shared" si="48"/>
        <v>#NUM!</v>
      </c>
      <c r="Z180" s="6" t="e">
        <f t="shared" si="49"/>
        <v>#NUM!</v>
      </c>
      <c r="AA180" s="6" t="e">
        <f t="shared" si="50"/>
        <v>#NUM!</v>
      </c>
      <c r="AB180" s="6"/>
    </row>
    <row r="181" spans="2:28" x14ac:dyDescent="0.4">
      <c r="B181" s="7">
        <v>124</v>
      </c>
      <c r="C181" s="59" t="e">
        <f t="shared" si="41"/>
        <v>#NUM!</v>
      </c>
      <c r="D181" s="6" t="e">
        <f t="shared" si="42"/>
        <v>#NUM!</v>
      </c>
      <c r="E181" s="6" t="e">
        <f t="shared" si="43"/>
        <v>#NUM!</v>
      </c>
      <c r="F181" s="6" t="e">
        <f t="shared" si="44"/>
        <v>#NUM!</v>
      </c>
      <c r="G181" s="6" t="e">
        <f t="shared" si="45"/>
        <v>#NUM!</v>
      </c>
      <c r="H181" s="6"/>
      <c r="I181" s="6"/>
      <c r="V181" s="7">
        <v>124</v>
      </c>
      <c r="W181" s="59" t="e">
        <f t="shared" si="46"/>
        <v>#NUM!</v>
      </c>
      <c r="X181" s="6" t="e">
        <f t="shared" si="47"/>
        <v>#NUM!</v>
      </c>
      <c r="Y181" s="6" t="e">
        <f t="shared" si="48"/>
        <v>#NUM!</v>
      </c>
      <c r="Z181" s="6" t="e">
        <f t="shared" si="49"/>
        <v>#NUM!</v>
      </c>
      <c r="AA181" s="6" t="e">
        <f t="shared" si="50"/>
        <v>#NUM!</v>
      </c>
      <c r="AB181" s="6"/>
    </row>
    <row r="182" spans="2:28" x14ac:dyDescent="0.4">
      <c r="B182" s="7">
        <v>125</v>
      </c>
      <c r="C182" s="59" t="e">
        <f t="shared" si="41"/>
        <v>#NUM!</v>
      </c>
      <c r="D182" s="6" t="e">
        <f t="shared" si="42"/>
        <v>#NUM!</v>
      </c>
      <c r="E182" s="6" t="e">
        <f t="shared" si="43"/>
        <v>#NUM!</v>
      </c>
      <c r="F182" s="6" t="e">
        <f t="shared" si="44"/>
        <v>#NUM!</v>
      </c>
      <c r="G182" s="6" t="e">
        <f t="shared" si="45"/>
        <v>#NUM!</v>
      </c>
      <c r="H182" s="6"/>
      <c r="I182" s="6"/>
      <c r="V182" s="7">
        <v>125</v>
      </c>
      <c r="W182" s="59" t="e">
        <f t="shared" si="46"/>
        <v>#NUM!</v>
      </c>
      <c r="X182" s="6" t="e">
        <f t="shared" si="47"/>
        <v>#NUM!</v>
      </c>
      <c r="Y182" s="6" t="e">
        <f t="shared" si="48"/>
        <v>#NUM!</v>
      </c>
      <c r="Z182" s="6" t="e">
        <f t="shared" si="49"/>
        <v>#NUM!</v>
      </c>
      <c r="AA182" s="6" t="e">
        <f t="shared" si="50"/>
        <v>#NUM!</v>
      </c>
      <c r="AB182" s="6"/>
    </row>
    <row r="183" spans="2:28" x14ac:dyDescent="0.4">
      <c r="B183" s="7">
        <v>126</v>
      </c>
      <c r="C183" s="59" t="e">
        <f t="shared" si="41"/>
        <v>#NUM!</v>
      </c>
      <c r="D183" s="6" t="e">
        <f t="shared" si="42"/>
        <v>#NUM!</v>
      </c>
      <c r="E183" s="6" t="e">
        <f t="shared" si="43"/>
        <v>#NUM!</v>
      </c>
      <c r="F183" s="6" t="e">
        <f t="shared" si="44"/>
        <v>#NUM!</v>
      </c>
      <c r="G183" s="6" t="e">
        <f t="shared" si="45"/>
        <v>#NUM!</v>
      </c>
      <c r="H183" s="6"/>
      <c r="I183" s="6"/>
      <c r="V183" s="7">
        <v>126</v>
      </c>
      <c r="W183" s="59" t="e">
        <f t="shared" si="46"/>
        <v>#NUM!</v>
      </c>
      <c r="X183" s="6" t="e">
        <f t="shared" si="47"/>
        <v>#NUM!</v>
      </c>
      <c r="Y183" s="6" t="e">
        <f t="shared" si="48"/>
        <v>#NUM!</v>
      </c>
      <c r="Z183" s="6" t="e">
        <f t="shared" si="49"/>
        <v>#NUM!</v>
      </c>
      <c r="AA183" s="6" t="e">
        <f t="shared" si="50"/>
        <v>#NUM!</v>
      </c>
      <c r="AB183" s="6"/>
    </row>
    <row r="184" spans="2:28" x14ac:dyDescent="0.4">
      <c r="B184" s="7">
        <v>127</v>
      </c>
      <c r="C184" s="59" t="e">
        <f t="shared" si="41"/>
        <v>#NUM!</v>
      </c>
      <c r="D184" s="6" t="e">
        <f t="shared" si="42"/>
        <v>#NUM!</v>
      </c>
      <c r="E184" s="6" t="e">
        <f t="shared" si="43"/>
        <v>#NUM!</v>
      </c>
      <c r="F184" s="6" t="e">
        <f t="shared" si="44"/>
        <v>#NUM!</v>
      </c>
      <c r="G184" s="6" t="e">
        <f t="shared" si="45"/>
        <v>#NUM!</v>
      </c>
      <c r="H184" s="6"/>
      <c r="I184" s="6"/>
      <c r="V184" s="7">
        <v>127</v>
      </c>
      <c r="W184" s="59" t="e">
        <f t="shared" si="46"/>
        <v>#NUM!</v>
      </c>
      <c r="X184" s="6" t="e">
        <f t="shared" si="47"/>
        <v>#NUM!</v>
      </c>
      <c r="Y184" s="6" t="e">
        <f t="shared" si="48"/>
        <v>#NUM!</v>
      </c>
      <c r="Z184" s="6" t="e">
        <f t="shared" si="49"/>
        <v>#NUM!</v>
      </c>
      <c r="AA184" s="6" t="e">
        <f t="shared" si="50"/>
        <v>#NUM!</v>
      </c>
      <c r="AB184" s="6"/>
    </row>
    <row r="185" spans="2:28" x14ac:dyDescent="0.4">
      <c r="B185" s="7">
        <v>128</v>
      </c>
      <c r="C185" s="59" t="e">
        <f t="shared" si="41"/>
        <v>#NUM!</v>
      </c>
      <c r="D185" s="6" t="e">
        <f t="shared" si="42"/>
        <v>#NUM!</v>
      </c>
      <c r="E185" s="6" t="e">
        <f t="shared" si="43"/>
        <v>#NUM!</v>
      </c>
      <c r="F185" s="6" t="e">
        <f t="shared" si="44"/>
        <v>#NUM!</v>
      </c>
      <c r="G185" s="6" t="e">
        <f t="shared" si="45"/>
        <v>#NUM!</v>
      </c>
      <c r="H185" s="6"/>
      <c r="I185" s="6"/>
      <c r="V185" s="7">
        <v>128</v>
      </c>
      <c r="W185" s="59" t="e">
        <f t="shared" si="46"/>
        <v>#NUM!</v>
      </c>
      <c r="X185" s="6" t="e">
        <f t="shared" si="47"/>
        <v>#NUM!</v>
      </c>
      <c r="Y185" s="6" t="e">
        <f t="shared" si="48"/>
        <v>#NUM!</v>
      </c>
      <c r="Z185" s="6" t="e">
        <f t="shared" si="49"/>
        <v>#NUM!</v>
      </c>
      <c r="AA185" s="6" t="e">
        <f t="shared" si="50"/>
        <v>#NUM!</v>
      </c>
      <c r="AB185" s="6"/>
    </row>
    <row r="186" spans="2:28" x14ac:dyDescent="0.4">
      <c r="B186" s="7">
        <v>129</v>
      </c>
      <c r="C186" s="59" t="e">
        <f t="shared" si="41"/>
        <v>#NUM!</v>
      </c>
      <c r="D186" s="6" t="e">
        <f t="shared" si="42"/>
        <v>#NUM!</v>
      </c>
      <c r="E186" s="6" t="e">
        <f t="shared" si="43"/>
        <v>#NUM!</v>
      </c>
      <c r="F186" s="6" t="e">
        <f t="shared" si="44"/>
        <v>#NUM!</v>
      </c>
      <c r="G186" s="6" t="e">
        <f t="shared" si="45"/>
        <v>#NUM!</v>
      </c>
      <c r="H186" s="6"/>
      <c r="I186" s="6"/>
      <c r="V186" s="7">
        <v>129</v>
      </c>
      <c r="W186" s="59" t="e">
        <f t="shared" si="46"/>
        <v>#NUM!</v>
      </c>
      <c r="X186" s="6" t="e">
        <f t="shared" si="47"/>
        <v>#NUM!</v>
      </c>
      <c r="Y186" s="6" t="e">
        <f t="shared" si="48"/>
        <v>#NUM!</v>
      </c>
      <c r="Z186" s="6" t="e">
        <f t="shared" si="49"/>
        <v>#NUM!</v>
      </c>
      <c r="AA186" s="6" t="e">
        <f t="shared" si="50"/>
        <v>#NUM!</v>
      </c>
      <c r="AB186" s="6"/>
    </row>
    <row r="187" spans="2:28" x14ac:dyDescent="0.4">
      <c r="B187" s="7">
        <v>130</v>
      </c>
      <c r="C187" s="59" t="e">
        <f t="shared" ref="C187:C250" si="51">G186</f>
        <v>#NUM!</v>
      </c>
      <c r="D187" s="6" t="e">
        <f t="shared" ref="D187:D250" si="52">-PMT($D$7/12,$D$9*12,$D$6,,)</f>
        <v>#NUM!</v>
      </c>
      <c r="E187" s="6" t="e">
        <f t="shared" ref="E187:E250" si="53">C187*$D$7/12</f>
        <v>#NUM!</v>
      </c>
      <c r="F187" s="6" t="e">
        <f t="shared" ref="F187:F250" si="54">D187-E187</f>
        <v>#NUM!</v>
      </c>
      <c r="G187" s="6" t="e">
        <f t="shared" ref="G187:G250" si="55">C187-F187</f>
        <v>#NUM!</v>
      </c>
      <c r="H187" s="6"/>
      <c r="I187" s="6"/>
      <c r="V187" s="7">
        <v>130</v>
      </c>
      <c r="W187" s="59" t="e">
        <f t="shared" ref="W187:W250" si="56">AA186</f>
        <v>#NUM!</v>
      </c>
      <c r="X187" s="6" t="e">
        <f t="shared" ref="X187:X250" si="57">-PMT($X$7/12,$X$9*12,$X$6,,)</f>
        <v>#NUM!</v>
      </c>
      <c r="Y187" s="6" t="e">
        <f t="shared" ref="Y187:Y250" si="58">W187*$X$7/12</f>
        <v>#NUM!</v>
      </c>
      <c r="Z187" s="6" t="e">
        <f t="shared" ref="Z187:Z250" si="59">X187-Y187</f>
        <v>#NUM!</v>
      </c>
      <c r="AA187" s="6" t="e">
        <f t="shared" ref="AA187:AA250" si="60">W187-Z187</f>
        <v>#NUM!</v>
      </c>
      <c r="AB187" s="6"/>
    </row>
    <row r="188" spans="2:28" x14ac:dyDescent="0.4">
      <c r="B188" s="7">
        <v>131</v>
      </c>
      <c r="C188" s="59" t="e">
        <f t="shared" si="51"/>
        <v>#NUM!</v>
      </c>
      <c r="D188" s="6" t="e">
        <f t="shared" si="52"/>
        <v>#NUM!</v>
      </c>
      <c r="E188" s="6" t="e">
        <f t="shared" si="53"/>
        <v>#NUM!</v>
      </c>
      <c r="F188" s="6" t="e">
        <f t="shared" si="54"/>
        <v>#NUM!</v>
      </c>
      <c r="G188" s="6" t="e">
        <f t="shared" si="55"/>
        <v>#NUM!</v>
      </c>
      <c r="H188" s="6"/>
      <c r="I188" s="6"/>
      <c r="V188" s="7">
        <v>131</v>
      </c>
      <c r="W188" s="59" t="e">
        <f t="shared" si="56"/>
        <v>#NUM!</v>
      </c>
      <c r="X188" s="6" t="e">
        <f t="shared" si="57"/>
        <v>#NUM!</v>
      </c>
      <c r="Y188" s="6" t="e">
        <f t="shared" si="58"/>
        <v>#NUM!</v>
      </c>
      <c r="Z188" s="6" t="e">
        <f t="shared" si="59"/>
        <v>#NUM!</v>
      </c>
      <c r="AA188" s="6" t="e">
        <f t="shared" si="60"/>
        <v>#NUM!</v>
      </c>
      <c r="AB188" s="6"/>
    </row>
    <row r="189" spans="2:28" x14ac:dyDescent="0.4">
      <c r="B189" s="7">
        <v>132</v>
      </c>
      <c r="C189" s="59" t="e">
        <f t="shared" si="51"/>
        <v>#NUM!</v>
      </c>
      <c r="D189" s="6" t="e">
        <f t="shared" si="52"/>
        <v>#NUM!</v>
      </c>
      <c r="E189" s="6" t="e">
        <f t="shared" si="53"/>
        <v>#NUM!</v>
      </c>
      <c r="F189" s="6" t="e">
        <f t="shared" si="54"/>
        <v>#NUM!</v>
      </c>
      <c r="G189" s="6" t="e">
        <f t="shared" si="55"/>
        <v>#NUM!</v>
      </c>
      <c r="H189" s="6"/>
      <c r="I189" s="6"/>
      <c r="V189" s="7">
        <v>132</v>
      </c>
      <c r="W189" s="59" t="e">
        <f t="shared" si="56"/>
        <v>#NUM!</v>
      </c>
      <c r="X189" s="6" t="e">
        <f t="shared" si="57"/>
        <v>#NUM!</v>
      </c>
      <c r="Y189" s="6" t="e">
        <f t="shared" si="58"/>
        <v>#NUM!</v>
      </c>
      <c r="Z189" s="6" t="e">
        <f t="shared" si="59"/>
        <v>#NUM!</v>
      </c>
      <c r="AA189" s="6" t="e">
        <f t="shared" si="60"/>
        <v>#NUM!</v>
      </c>
      <c r="AB189" s="6"/>
    </row>
    <row r="190" spans="2:28" x14ac:dyDescent="0.4">
      <c r="B190" s="7">
        <v>133</v>
      </c>
      <c r="C190" s="59" t="e">
        <f t="shared" si="51"/>
        <v>#NUM!</v>
      </c>
      <c r="D190" s="6" t="e">
        <f t="shared" si="52"/>
        <v>#NUM!</v>
      </c>
      <c r="E190" s="6" t="e">
        <f t="shared" si="53"/>
        <v>#NUM!</v>
      </c>
      <c r="F190" s="6" t="e">
        <f t="shared" si="54"/>
        <v>#NUM!</v>
      </c>
      <c r="G190" s="6" t="e">
        <f t="shared" si="55"/>
        <v>#NUM!</v>
      </c>
      <c r="H190" s="6"/>
      <c r="I190" s="6"/>
      <c r="V190" s="7">
        <v>133</v>
      </c>
      <c r="W190" s="59" t="e">
        <f t="shared" si="56"/>
        <v>#NUM!</v>
      </c>
      <c r="X190" s="6" t="e">
        <f t="shared" si="57"/>
        <v>#NUM!</v>
      </c>
      <c r="Y190" s="6" t="e">
        <f t="shared" si="58"/>
        <v>#NUM!</v>
      </c>
      <c r="Z190" s="6" t="e">
        <f t="shared" si="59"/>
        <v>#NUM!</v>
      </c>
      <c r="AA190" s="6" t="e">
        <f t="shared" si="60"/>
        <v>#NUM!</v>
      </c>
      <c r="AB190" s="6"/>
    </row>
    <row r="191" spans="2:28" x14ac:dyDescent="0.4">
      <c r="B191" s="7">
        <v>134</v>
      </c>
      <c r="C191" s="59" t="e">
        <f t="shared" si="51"/>
        <v>#NUM!</v>
      </c>
      <c r="D191" s="6" t="e">
        <f t="shared" si="52"/>
        <v>#NUM!</v>
      </c>
      <c r="E191" s="6" t="e">
        <f t="shared" si="53"/>
        <v>#NUM!</v>
      </c>
      <c r="F191" s="6" t="e">
        <f t="shared" si="54"/>
        <v>#NUM!</v>
      </c>
      <c r="G191" s="6" t="e">
        <f t="shared" si="55"/>
        <v>#NUM!</v>
      </c>
      <c r="H191" s="6"/>
      <c r="I191" s="6"/>
      <c r="V191" s="7">
        <v>134</v>
      </c>
      <c r="W191" s="59" t="e">
        <f t="shared" si="56"/>
        <v>#NUM!</v>
      </c>
      <c r="X191" s="6" t="e">
        <f t="shared" si="57"/>
        <v>#NUM!</v>
      </c>
      <c r="Y191" s="6" t="e">
        <f t="shared" si="58"/>
        <v>#NUM!</v>
      </c>
      <c r="Z191" s="6" t="e">
        <f t="shared" si="59"/>
        <v>#NUM!</v>
      </c>
      <c r="AA191" s="6" t="e">
        <f t="shared" si="60"/>
        <v>#NUM!</v>
      </c>
      <c r="AB191" s="6"/>
    </row>
    <row r="192" spans="2:28" x14ac:dyDescent="0.4">
      <c r="B192" s="7">
        <v>135</v>
      </c>
      <c r="C192" s="59" t="e">
        <f t="shared" si="51"/>
        <v>#NUM!</v>
      </c>
      <c r="D192" s="6" t="e">
        <f t="shared" si="52"/>
        <v>#NUM!</v>
      </c>
      <c r="E192" s="6" t="e">
        <f t="shared" si="53"/>
        <v>#NUM!</v>
      </c>
      <c r="F192" s="6" t="e">
        <f t="shared" si="54"/>
        <v>#NUM!</v>
      </c>
      <c r="G192" s="6" t="e">
        <f t="shared" si="55"/>
        <v>#NUM!</v>
      </c>
      <c r="H192" s="6"/>
      <c r="I192" s="6"/>
      <c r="V192" s="7">
        <v>135</v>
      </c>
      <c r="W192" s="59" t="e">
        <f t="shared" si="56"/>
        <v>#NUM!</v>
      </c>
      <c r="X192" s="6" t="e">
        <f t="shared" si="57"/>
        <v>#NUM!</v>
      </c>
      <c r="Y192" s="6" t="e">
        <f t="shared" si="58"/>
        <v>#NUM!</v>
      </c>
      <c r="Z192" s="6" t="e">
        <f t="shared" si="59"/>
        <v>#NUM!</v>
      </c>
      <c r="AA192" s="6" t="e">
        <f t="shared" si="60"/>
        <v>#NUM!</v>
      </c>
      <c r="AB192" s="6"/>
    </row>
    <row r="193" spans="2:28" x14ac:dyDescent="0.4">
      <c r="B193" s="7">
        <v>136</v>
      </c>
      <c r="C193" s="59" t="e">
        <f t="shared" si="51"/>
        <v>#NUM!</v>
      </c>
      <c r="D193" s="6" t="e">
        <f t="shared" si="52"/>
        <v>#NUM!</v>
      </c>
      <c r="E193" s="6" t="e">
        <f t="shared" si="53"/>
        <v>#NUM!</v>
      </c>
      <c r="F193" s="6" t="e">
        <f t="shared" si="54"/>
        <v>#NUM!</v>
      </c>
      <c r="G193" s="6" t="e">
        <f t="shared" si="55"/>
        <v>#NUM!</v>
      </c>
      <c r="H193" s="6"/>
      <c r="I193" s="6"/>
      <c r="V193" s="7">
        <v>136</v>
      </c>
      <c r="W193" s="59" t="e">
        <f t="shared" si="56"/>
        <v>#NUM!</v>
      </c>
      <c r="X193" s="6" t="e">
        <f t="shared" si="57"/>
        <v>#NUM!</v>
      </c>
      <c r="Y193" s="6" t="e">
        <f t="shared" si="58"/>
        <v>#NUM!</v>
      </c>
      <c r="Z193" s="6" t="e">
        <f t="shared" si="59"/>
        <v>#NUM!</v>
      </c>
      <c r="AA193" s="6" t="e">
        <f t="shared" si="60"/>
        <v>#NUM!</v>
      </c>
      <c r="AB193" s="6"/>
    </row>
    <row r="194" spans="2:28" x14ac:dyDescent="0.4">
      <c r="B194" s="7">
        <v>137</v>
      </c>
      <c r="C194" s="59" t="e">
        <f t="shared" si="51"/>
        <v>#NUM!</v>
      </c>
      <c r="D194" s="6" t="e">
        <f t="shared" si="52"/>
        <v>#NUM!</v>
      </c>
      <c r="E194" s="6" t="e">
        <f t="shared" si="53"/>
        <v>#NUM!</v>
      </c>
      <c r="F194" s="6" t="e">
        <f t="shared" si="54"/>
        <v>#NUM!</v>
      </c>
      <c r="G194" s="6" t="e">
        <f t="shared" si="55"/>
        <v>#NUM!</v>
      </c>
      <c r="H194" s="6"/>
      <c r="I194" s="6"/>
      <c r="V194" s="7">
        <v>137</v>
      </c>
      <c r="W194" s="59" t="e">
        <f t="shared" si="56"/>
        <v>#NUM!</v>
      </c>
      <c r="X194" s="6" t="e">
        <f t="shared" si="57"/>
        <v>#NUM!</v>
      </c>
      <c r="Y194" s="6" t="e">
        <f t="shared" si="58"/>
        <v>#NUM!</v>
      </c>
      <c r="Z194" s="6" t="e">
        <f t="shared" si="59"/>
        <v>#NUM!</v>
      </c>
      <c r="AA194" s="6" t="e">
        <f t="shared" si="60"/>
        <v>#NUM!</v>
      </c>
      <c r="AB194" s="6"/>
    </row>
    <row r="195" spans="2:28" x14ac:dyDescent="0.4">
      <c r="B195" s="7">
        <v>138</v>
      </c>
      <c r="C195" s="59" t="e">
        <f t="shared" si="51"/>
        <v>#NUM!</v>
      </c>
      <c r="D195" s="6" t="e">
        <f t="shared" si="52"/>
        <v>#NUM!</v>
      </c>
      <c r="E195" s="6" t="e">
        <f t="shared" si="53"/>
        <v>#NUM!</v>
      </c>
      <c r="F195" s="6" t="e">
        <f t="shared" si="54"/>
        <v>#NUM!</v>
      </c>
      <c r="G195" s="6" t="e">
        <f t="shared" si="55"/>
        <v>#NUM!</v>
      </c>
      <c r="H195" s="6"/>
      <c r="I195" s="6"/>
      <c r="V195" s="7">
        <v>138</v>
      </c>
      <c r="W195" s="59" t="e">
        <f t="shared" si="56"/>
        <v>#NUM!</v>
      </c>
      <c r="X195" s="6" t="e">
        <f t="shared" si="57"/>
        <v>#NUM!</v>
      </c>
      <c r="Y195" s="6" t="e">
        <f t="shared" si="58"/>
        <v>#NUM!</v>
      </c>
      <c r="Z195" s="6" t="e">
        <f t="shared" si="59"/>
        <v>#NUM!</v>
      </c>
      <c r="AA195" s="6" t="e">
        <f t="shared" si="60"/>
        <v>#NUM!</v>
      </c>
      <c r="AB195" s="6"/>
    </row>
    <row r="196" spans="2:28" x14ac:dyDescent="0.4">
      <c r="B196" s="7">
        <v>139</v>
      </c>
      <c r="C196" s="59" t="e">
        <f t="shared" si="51"/>
        <v>#NUM!</v>
      </c>
      <c r="D196" s="6" t="e">
        <f t="shared" si="52"/>
        <v>#NUM!</v>
      </c>
      <c r="E196" s="6" t="e">
        <f t="shared" si="53"/>
        <v>#NUM!</v>
      </c>
      <c r="F196" s="6" t="e">
        <f t="shared" si="54"/>
        <v>#NUM!</v>
      </c>
      <c r="G196" s="6" t="e">
        <f t="shared" si="55"/>
        <v>#NUM!</v>
      </c>
      <c r="H196" s="6"/>
      <c r="I196" s="6"/>
      <c r="V196" s="7">
        <v>139</v>
      </c>
      <c r="W196" s="59" t="e">
        <f t="shared" si="56"/>
        <v>#NUM!</v>
      </c>
      <c r="X196" s="6" t="e">
        <f t="shared" si="57"/>
        <v>#NUM!</v>
      </c>
      <c r="Y196" s="6" t="e">
        <f t="shared" si="58"/>
        <v>#NUM!</v>
      </c>
      <c r="Z196" s="6" t="e">
        <f t="shared" si="59"/>
        <v>#NUM!</v>
      </c>
      <c r="AA196" s="6" t="e">
        <f t="shared" si="60"/>
        <v>#NUM!</v>
      </c>
      <c r="AB196" s="6"/>
    </row>
    <row r="197" spans="2:28" x14ac:dyDescent="0.4">
      <c r="B197" s="7">
        <v>140</v>
      </c>
      <c r="C197" s="59" t="e">
        <f t="shared" si="51"/>
        <v>#NUM!</v>
      </c>
      <c r="D197" s="6" t="e">
        <f t="shared" si="52"/>
        <v>#NUM!</v>
      </c>
      <c r="E197" s="6" t="e">
        <f t="shared" si="53"/>
        <v>#NUM!</v>
      </c>
      <c r="F197" s="6" t="e">
        <f t="shared" si="54"/>
        <v>#NUM!</v>
      </c>
      <c r="G197" s="6" t="e">
        <f t="shared" si="55"/>
        <v>#NUM!</v>
      </c>
      <c r="H197" s="6"/>
      <c r="I197" s="6"/>
      <c r="V197" s="7">
        <v>140</v>
      </c>
      <c r="W197" s="59" t="e">
        <f t="shared" si="56"/>
        <v>#NUM!</v>
      </c>
      <c r="X197" s="6" t="e">
        <f t="shared" si="57"/>
        <v>#NUM!</v>
      </c>
      <c r="Y197" s="6" t="e">
        <f t="shared" si="58"/>
        <v>#NUM!</v>
      </c>
      <c r="Z197" s="6" t="e">
        <f t="shared" si="59"/>
        <v>#NUM!</v>
      </c>
      <c r="AA197" s="6" t="e">
        <f t="shared" si="60"/>
        <v>#NUM!</v>
      </c>
      <c r="AB197" s="6"/>
    </row>
    <row r="198" spans="2:28" x14ac:dyDescent="0.4">
      <c r="B198" s="7">
        <v>141</v>
      </c>
      <c r="C198" s="59" t="e">
        <f t="shared" si="51"/>
        <v>#NUM!</v>
      </c>
      <c r="D198" s="6" t="e">
        <f t="shared" si="52"/>
        <v>#NUM!</v>
      </c>
      <c r="E198" s="6" t="e">
        <f t="shared" si="53"/>
        <v>#NUM!</v>
      </c>
      <c r="F198" s="6" t="e">
        <f t="shared" si="54"/>
        <v>#NUM!</v>
      </c>
      <c r="G198" s="6" t="e">
        <f t="shared" si="55"/>
        <v>#NUM!</v>
      </c>
      <c r="H198" s="6"/>
      <c r="I198" s="6"/>
      <c r="V198" s="7">
        <v>141</v>
      </c>
      <c r="W198" s="59" t="e">
        <f t="shared" si="56"/>
        <v>#NUM!</v>
      </c>
      <c r="X198" s="6" t="e">
        <f t="shared" si="57"/>
        <v>#NUM!</v>
      </c>
      <c r="Y198" s="6" t="e">
        <f t="shared" si="58"/>
        <v>#NUM!</v>
      </c>
      <c r="Z198" s="6" t="e">
        <f t="shared" si="59"/>
        <v>#NUM!</v>
      </c>
      <c r="AA198" s="6" t="e">
        <f t="shared" si="60"/>
        <v>#NUM!</v>
      </c>
      <c r="AB198" s="6"/>
    </row>
    <row r="199" spans="2:28" x14ac:dyDescent="0.4">
      <c r="B199" s="7">
        <v>142</v>
      </c>
      <c r="C199" s="59" t="e">
        <f t="shared" si="51"/>
        <v>#NUM!</v>
      </c>
      <c r="D199" s="6" t="e">
        <f t="shared" si="52"/>
        <v>#NUM!</v>
      </c>
      <c r="E199" s="6" t="e">
        <f t="shared" si="53"/>
        <v>#NUM!</v>
      </c>
      <c r="F199" s="6" t="e">
        <f t="shared" si="54"/>
        <v>#NUM!</v>
      </c>
      <c r="G199" s="6" t="e">
        <f t="shared" si="55"/>
        <v>#NUM!</v>
      </c>
      <c r="H199" s="6"/>
      <c r="I199" s="6"/>
      <c r="V199" s="7">
        <v>142</v>
      </c>
      <c r="W199" s="59" t="e">
        <f t="shared" si="56"/>
        <v>#NUM!</v>
      </c>
      <c r="X199" s="6" t="e">
        <f t="shared" si="57"/>
        <v>#NUM!</v>
      </c>
      <c r="Y199" s="6" t="e">
        <f t="shared" si="58"/>
        <v>#NUM!</v>
      </c>
      <c r="Z199" s="6" t="e">
        <f t="shared" si="59"/>
        <v>#NUM!</v>
      </c>
      <c r="AA199" s="6" t="e">
        <f t="shared" si="60"/>
        <v>#NUM!</v>
      </c>
      <c r="AB199" s="6"/>
    </row>
    <row r="200" spans="2:28" x14ac:dyDescent="0.4">
      <c r="B200" s="7">
        <v>143</v>
      </c>
      <c r="C200" s="59" t="e">
        <f t="shared" si="51"/>
        <v>#NUM!</v>
      </c>
      <c r="D200" s="6" t="e">
        <f t="shared" si="52"/>
        <v>#NUM!</v>
      </c>
      <c r="E200" s="6" t="e">
        <f t="shared" si="53"/>
        <v>#NUM!</v>
      </c>
      <c r="F200" s="6" t="e">
        <f t="shared" si="54"/>
        <v>#NUM!</v>
      </c>
      <c r="G200" s="6" t="e">
        <f t="shared" si="55"/>
        <v>#NUM!</v>
      </c>
      <c r="H200" s="6"/>
      <c r="I200" s="6"/>
      <c r="V200" s="7">
        <v>143</v>
      </c>
      <c r="W200" s="59" t="e">
        <f t="shared" si="56"/>
        <v>#NUM!</v>
      </c>
      <c r="X200" s="6" t="e">
        <f t="shared" si="57"/>
        <v>#NUM!</v>
      </c>
      <c r="Y200" s="6" t="e">
        <f t="shared" si="58"/>
        <v>#NUM!</v>
      </c>
      <c r="Z200" s="6" t="e">
        <f t="shared" si="59"/>
        <v>#NUM!</v>
      </c>
      <c r="AA200" s="6" t="e">
        <f t="shared" si="60"/>
        <v>#NUM!</v>
      </c>
      <c r="AB200" s="6"/>
    </row>
    <row r="201" spans="2:28" x14ac:dyDescent="0.4">
      <c r="B201" s="7">
        <v>144</v>
      </c>
      <c r="C201" s="59" t="e">
        <f t="shared" si="51"/>
        <v>#NUM!</v>
      </c>
      <c r="D201" s="6" t="e">
        <f t="shared" si="52"/>
        <v>#NUM!</v>
      </c>
      <c r="E201" s="6" t="e">
        <f t="shared" si="53"/>
        <v>#NUM!</v>
      </c>
      <c r="F201" s="6" t="e">
        <f t="shared" si="54"/>
        <v>#NUM!</v>
      </c>
      <c r="G201" s="6" t="e">
        <f t="shared" si="55"/>
        <v>#NUM!</v>
      </c>
      <c r="H201" s="6"/>
      <c r="I201" s="6"/>
      <c r="V201" s="7">
        <v>144</v>
      </c>
      <c r="W201" s="59" t="e">
        <f t="shared" si="56"/>
        <v>#NUM!</v>
      </c>
      <c r="X201" s="6" t="e">
        <f t="shared" si="57"/>
        <v>#NUM!</v>
      </c>
      <c r="Y201" s="6" t="e">
        <f t="shared" si="58"/>
        <v>#NUM!</v>
      </c>
      <c r="Z201" s="6" t="e">
        <f t="shared" si="59"/>
        <v>#NUM!</v>
      </c>
      <c r="AA201" s="6" t="e">
        <f t="shared" si="60"/>
        <v>#NUM!</v>
      </c>
      <c r="AB201" s="6"/>
    </row>
    <row r="202" spans="2:28" x14ac:dyDescent="0.4">
      <c r="B202" s="7">
        <v>145</v>
      </c>
      <c r="C202" s="59" t="e">
        <f t="shared" si="51"/>
        <v>#NUM!</v>
      </c>
      <c r="D202" s="6" t="e">
        <f t="shared" si="52"/>
        <v>#NUM!</v>
      </c>
      <c r="E202" s="6" t="e">
        <f t="shared" si="53"/>
        <v>#NUM!</v>
      </c>
      <c r="F202" s="6" t="e">
        <f t="shared" si="54"/>
        <v>#NUM!</v>
      </c>
      <c r="G202" s="6" t="e">
        <f t="shared" si="55"/>
        <v>#NUM!</v>
      </c>
      <c r="H202" s="6"/>
      <c r="I202" s="6"/>
      <c r="V202" s="7">
        <v>145</v>
      </c>
      <c r="W202" s="59" t="e">
        <f t="shared" si="56"/>
        <v>#NUM!</v>
      </c>
      <c r="X202" s="6" t="e">
        <f t="shared" si="57"/>
        <v>#NUM!</v>
      </c>
      <c r="Y202" s="6" t="e">
        <f t="shared" si="58"/>
        <v>#NUM!</v>
      </c>
      <c r="Z202" s="6" t="e">
        <f t="shared" si="59"/>
        <v>#NUM!</v>
      </c>
      <c r="AA202" s="6" t="e">
        <f t="shared" si="60"/>
        <v>#NUM!</v>
      </c>
      <c r="AB202" s="6"/>
    </row>
    <row r="203" spans="2:28" x14ac:dyDescent="0.4">
      <c r="B203" s="7">
        <v>146</v>
      </c>
      <c r="C203" s="59" t="e">
        <f t="shared" si="51"/>
        <v>#NUM!</v>
      </c>
      <c r="D203" s="6" t="e">
        <f t="shared" si="52"/>
        <v>#NUM!</v>
      </c>
      <c r="E203" s="6" t="e">
        <f t="shared" si="53"/>
        <v>#NUM!</v>
      </c>
      <c r="F203" s="6" t="e">
        <f t="shared" si="54"/>
        <v>#NUM!</v>
      </c>
      <c r="G203" s="6" t="e">
        <f t="shared" si="55"/>
        <v>#NUM!</v>
      </c>
      <c r="H203" s="6"/>
      <c r="I203" s="6"/>
      <c r="V203" s="7">
        <v>146</v>
      </c>
      <c r="W203" s="59" t="e">
        <f t="shared" si="56"/>
        <v>#NUM!</v>
      </c>
      <c r="X203" s="6" t="e">
        <f t="shared" si="57"/>
        <v>#NUM!</v>
      </c>
      <c r="Y203" s="6" t="e">
        <f t="shared" si="58"/>
        <v>#NUM!</v>
      </c>
      <c r="Z203" s="6" t="e">
        <f t="shared" si="59"/>
        <v>#NUM!</v>
      </c>
      <c r="AA203" s="6" t="e">
        <f t="shared" si="60"/>
        <v>#NUM!</v>
      </c>
      <c r="AB203" s="6"/>
    </row>
    <row r="204" spans="2:28" x14ac:dyDescent="0.4">
      <c r="B204" s="7">
        <v>147</v>
      </c>
      <c r="C204" s="59" t="e">
        <f t="shared" si="51"/>
        <v>#NUM!</v>
      </c>
      <c r="D204" s="6" t="e">
        <f t="shared" si="52"/>
        <v>#NUM!</v>
      </c>
      <c r="E204" s="6" t="e">
        <f t="shared" si="53"/>
        <v>#NUM!</v>
      </c>
      <c r="F204" s="6" t="e">
        <f t="shared" si="54"/>
        <v>#NUM!</v>
      </c>
      <c r="G204" s="6" t="e">
        <f t="shared" si="55"/>
        <v>#NUM!</v>
      </c>
      <c r="H204" s="6"/>
      <c r="I204" s="6"/>
      <c r="V204" s="7">
        <v>147</v>
      </c>
      <c r="W204" s="59" t="e">
        <f t="shared" si="56"/>
        <v>#NUM!</v>
      </c>
      <c r="X204" s="6" t="e">
        <f t="shared" si="57"/>
        <v>#NUM!</v>
      </c>
      <c r="Y204" s="6" t="e">
        <f t="shared" si="58"/>
        <v>#NUM!</v>
      </c>
      <c r="Z204" s="6" t="e">
        <f t="shared" si="59"/>
        <v>#NUM!</v>
      </c>
      <c r="AA204" s="6" t="e">
        <f t="shared" si="60"/>
        <v>#NUM!</v>
      </c>
      <c r="AB204" s="6"/>
    </row>
    <row r="205" spans="2:28" x14ac:dyDescent="0.4">
      <c r="B205" s="7">
        <v>148</v>
      </c>
      <c r="C205" s="59" t="e">
        <f t="shared" si="51"/>
        <v>#NUM!</v>
      </c>
      <c r="D205" s="6" t="e">
        <f t="shared" si="52"/>
        <v>#NUM!</v>
      </c>
      <c r="E205" s="6" t="e">
        <f t="shared" si="53"/>
        <v>#NUM!</v>
      </c>
      <c r="F205" s="6" t="e">
        <f t="shared" si="54"/>
        <v>#NUM!</v>
      </c>
      <c r="G205" s="6" t="e">
        <f t="shared" si="55"/>
        <v>#NUM!</v>
      </c>
      <c r="H205" s="6"/>
      <c r="I205" s="6"/>
      <c r="V205" s="7">
        <v>148</v>
      </c>
      <c r="W205" s="59" t="e">
        <f t="shared" si="56"/>
        <v>#NUM!</v>
      </c>
      <c r="X205" s="6" t="e">
        <f t="shared" si="57"/>
        <v>#NUM!</v>
      </c>
      <c r="Y205" s="6" t="e">
        <f t="shared" si="58"/>
        <v>#NUM!</v>
      </c>
      <c r="Z205" s="6" t="e">
        <f t="shared" si="59"/>
        <v>#NUM!</v>
      </c>
      <c r="AA205" s="6" t="e">
        <f t="shared" si="60"/>
        <v>#NUM!</v>
      </c>
      <c r="AB205" s="6"/>
    </row>
    <row r="206" spans="2:28" x14ac:dyDescent="0.4">
      <c r="B206" s="7">
        <v>149</v>
      </c>
      <c r="C206" s="59" t="e">
        <f t="shared" si="51"/>
        <v>#NUM!</v>
      </c>
      <c r="D206" s="6" t="e">
        <f t="shared" si="52"/>
        <v>#NUM!</v>
      </c>
      <c r="E206" s="6" t="e">
        <f t="shared" si="53"/>
        <v>#NUM!</v>
      </c>
      <c r="F206" s="6" t="e">
        <f t="shared" si="54"/>
        <v>#NUM!</v>
      </c>
      <c r="G206" s="6" t="e">
        <f t="shared" si="55"/>
        <v>#NUM!</v>
      </c>
      <c r="H206" s="6"/>
      <c r="I206" s="6"/>
      <c r="V206" s="7">
        <v>149</v>
      </c>
      <c r="W206" s="59" t="e">
        <f t="shared" si="56"/>
        <v>#NUM!</v>
      </c>
      <c r="X206" s="6" t="e">
        <f t="shared" si="57"/>
        <v>#NUM!</v>
      </c>
      <c r="Y206" s="6" t="e">
        <f t="shared" si="58"/>
        <v>#NUM!</v>
      </c>
      <c r="Z206" s="6" t="e">
        <f t="shared" si="59"/>
        <v>#NUM!</v>
      </c>
      <c r="AA206" s="6" t="e">
        <f t="shared" si="60"/>
        <v>#NUM!</v>
      </c>
      <c r="AB206" s="6"/>
    </row>
    <row r="207" spans="2:28" x14ac:dyDescent="0.4">
      <c r="B207" s="7">
        <v>150</v>
      </c>
      <c r="C207" s="59" t="e">
        <f t="shared" si="51"/>
        <v>#NUM!</v>
      </c>
      <c r="D207" s="6" t="e">
        <f t="shared" si="52"/>
        <v>#NUM!</v>
      </c>
      <c r="E207" s="6" t="e">
        <f t="shared" si="53"/>
        <v>#NUM!</v>
      </c>
      <c r="F207" s="6" t="e">
        <f t="shared" si="54"/>
        <v>#NUM!</v>
      </c>
      <c r="G207" s="6" t="e">
        <f t="shared" si="55"/>
        <v>#NUM!</v>
      </c>
      <c r="H207" s="6"/>
      <c r="I207" s="6"/>
      <c r="V207" s="7">
        <v>150</v>
      </c>
      <c r="W207" s="59" t="e">
        <f t="shared" si="56"/>
        <v>#NUM!</v>
      </c>
      <c r="X207" s="6" t="e">
        <f t="shared" si="57"/>
        <v>#NUM!</v>
      </c>
      <c r="Y207" s="6" t="e">
        <f t="shared" si="58"/>
        <v>#NUM!</v>
      </c>
      <c r="Z207" s="6" t="e">
        <f t="shared" si="59"/>
        <v>#NUM!</v>
      </c>
      <c r="AA207" s="6" t="e">
        <f t="shared" si="60"/>
        <v>#NUM!</v>
      </c>
      <c r="AB207" s="6"/>
    </row>
    <row r="208" spans="2:28" x14ac:dyDescent="0.4">
      <c r="B208" s="7">
        <v>151</v>
      </c>
      <c r="C208" s="59" t="e">
        <f t="shared" si="51"/>
        <v>#NUM!</v>
      </c>
      <c r="D208" s="6" t="e">
        <f t="shared" si="52"/>
        <v>#NUM!</v>
      </c>
      <c r="E208" s="6" t="e">
        <f t="shared" si="53"/>
        <v>#NUM!</v>
      </c>
      <c r="F208" s="6" t="e">
        <f t="shared" si="54"/>
        <v>#NUM!</v>
      </c>
      <c r="G208" s="6" t="e">
        <f t="shared" si="55"/>
        <v>#NUM!</v>
      </c>
      <c r="H208" s="6"/>
      <c r="I208" s="6"/>
      <c r="V208" s="7">
        <v>151</v>
      </c>
      <c r="W208" s="59" t="e">
        <f t="shared" si="56"/>
        <v>#NUM!</v>
      </c>
      <c r="X208" s="6" t="e">
        <f t="shared" si="57"/>
        <v>#NUM!</v>
      </c>
      <c r="Y208" s="6" t="e">
        <f t="shared" si="58"/>
        <v>#NUM!</v>
      </c>
      <c r="Z208" s="6" t="e">
        <f t="shared" si="59"/>
        <v>#NUM!</v>
      </c>
      <c r="AA208" s="6" t="e">
        <f t="shared" si="60"/>
        <v>#NUM!</v>
      </c>
      <c r="AB208" s="6"/>
    </row>
    <row r="209" spans="2:28" x14ac:dyDescent="0.4">
      <c r="B209" s="7">
        <v>152</v>
      </c>
      <c r="C209" s="59" t="e">
        <f t="shared" si="51"/>
        <v>#NUM!</v>
      </c>
      <c r="D209" s="6" t="e">
        <f t="shared" si="52"/>
        <v>#NUM!</v>
      </c>
      <c r="E209" s="6" t="e">
        <f t="shared" si="53"/>
        <v>#NUM!</v>
      </c>
      <c r="F209" s="6" t="e">
        <f t="shared" si="54"/>
        <v>#NUM!</v>
      </c>
      <c r="G209" s="6" t="e">
        <f t="shared" si="55"/>
        <v>#NUM!</v>
      </c>
      <c r="H209" s="6"/>
      <c r="I209" s="6"/>
      <c r="V209" s="7">
        <v>152</v>
      </c>
      <c r="W209" s="59" t="e">
        <f t="shared" si="56"/>
        <v>#NUM!</v>
      </c>
      <c r="X209" s="6" t="e">
        <f t="shared" si="57"/>
        <v>#NUM!</v>
      </c>
      <c r="Y209" s="6" t="e">
        <f t="shared" si="58"/>
        <v>#NUM!</v>
      </c>
      <c r="Z209" s="6" t="e">
        <f t="shared" si="59"/>
        <v>#NUM!</v>
      </c>
      <c r="AA209" s="6" t="e">
        <f t="shared" si="60"/>
        <v>#NUM!</v>
      </c>
      <c r="AB209" s="6"/>
    </row>
    <row r="210" spans="2:28" x14ac:dyDescent="0.4">
      <c r="B210" s="7">
        <v>153</v>
      </c>
      <c r="C210" s="59" t="e">
        <f t="shared" si="51"/>
        <v>#NUM!</v>
      </c>
      <c r="D210" s="6" t="e">
        <f t="shared" si="52"/>
        <v>#NUM!</v>
      </c>
      <c r="E210" s="6" t="e">
        <f t="shared" si="53"/>
        <v>#NUM!</v>
      </c>
      <c r="F210" s="6" t="e">
        <f t="shared" si="54"/>
        <v>#NUM!</v>
      </c>
      <c r="G210" s="6" t="e">
        <f t="shared" si="55"/>
        <v>#NUM!</v>
      </c>
      <c r="H210" s="6"/>
      <c r="I210" s="6"/>
      <c r="V210" s="7">
        <v>153</v>
      </c>
      <c r="W210" s="59" t="e">
        <f t="shared" si="56"/>
        <v>#NUM!</v>
      </c>
      <c r="X210" s="6" t="e">
        <f t="shared" si="57"/>
        <v>#NUM!</v>
      </c>
      <c r="Y210" s="6" t="e">
        <f t="shared" si="58"/>
        <v>#NUM!</v>
      </c>
      <c r="Z210" s="6" t="e">
        <f t="shared" si="59"/>
        <v>#NUM!</v>
      </c>
      <c r="AA210" s="6" t="e">
        <f t="shared" si="60"/>
        <v>#NUM!</v>
      </c>
      <c r="AB210" s="6"/>
    </row>
    <row r="211" spans="2:28" x14ac:dyDescent="0.4">
      <c r="B211" s="7">
        <v>154</v>
      </c>
      <c r="C211" s="59" t="e">
        <f t="shared" si="51"/>
        <v>#NUM!</v>
      </c>
      <c r="D211" s="6" t="e">
        <f t="shared" si="52"/>
        <v>#NUM!</v>
      </c>
      <c r="E211" s="6" t="e">
        <f t="shared" si="53"/>
        <v>#NUM!</v>
      </c>
      <c r="F211" s="6" t="e">
        <f t="shared" si="54"/>
        <v>#NUM!</v>
      </c>
      <c r="G211" s="6" t="e">
        <f t="shared" si="55"/>
        <v>#NUM!</v>
      </c>
      <c r="H211" s="6"/>
      <c r="I211" s="6"/>
      <c r="V211" s="7">
        <v>154</v>
      </c>
      <c r="W211" s="59" t="e">
        <f t="shared" si="56"/>
        <v>#NUM!</v>
      </c>
      <c r="X211" s="6" t="e">
        <f t="shared" si="57"/>
        <v>#NUM!</v>
      </c>
      <c r="Y211" s="6" t="e">
        <f t="shared" si="58"/>
        <v>#NUM!</v>
      </c>
      <c r="Z211" s="6" t="e">
        <f t="shared" si="59"/>
        <v>#NUM!</v>
      </c>
      <c r="AA211" s="6" t="e">
        <f t="shared" si="60"/>
        <v>#NUM!</v>
      </c>
      <c r="AB211" s="6"/>
    </row>
    <row r="212" spans="2:28" x14ac:dyDescent="0.4">
      <c r="B212" s="7">
        <v>155</v>
      </c>
      <c r="C212" s="59" t="e">
        <f t="shared" si="51"/>
        <v>#NUM!</v>
      </c>
      <c r="D212" s="6" t="e">
        <f t="shared" si="52"/>
        <v>#NUM!</v>
      </c>
      <c r="E212" s="6" t="e">
        <f t="shared" si="53"/>
        <v>#NUM!</v>
      </c>
      <c r="F212" s="6" t="e">
        <f t="shared" si="54"/>
        <v>#NUM!</v>
      </c>
      <c r="G212" s="6" t="e">
        <f t="shared" si="55"/>
        <v>#NUM!</v>
      </c>
      <c r="H212" s="6"/>
      <c r="I212" s="6"/>
      <c r="V212" s="7">
        <v>155</v>
      </c>
      <c r="W212" s="59" t="e">
        <f t="shared" si="56"/>
        <v>#NUM!</v>
      </c>
      <c r="X212" s="6" t="e">
        <f t="shared" si="57"/>
        <v>#NUM!</v>
      </c>
      <c r="Y212" s="6" t="e">
        <f t="shared" si="58"/>
        <v>#NUM!</v>
      </c>
      <c r="Z212" s="6" t="e">
        <f t="shared" si="59"/>
        <v>#NUM!</v>
      </c>
      <c r="AA212" s="6" t="e">
        <f t="shared" si="60"/>
        <v>#NUM!</v>
      </c>
      <c r="AB212" s="6"/>
    </row>
    <row r="213" spans="2:28" x14ac:dyDescent="0.4">
      <c r="B213" s="7">
        <v>156</v>
      </c>
      <c r="C213" s="59" t="e">
        <f t="shared" si="51"/>
        <v>#NUM!</v>
      </c>
      <c r="D213" s="6" t="e">
        <f t="shared" si="52"/>
        <v>#NUM!</v>
      </c>
      <c r="E213" s="6" t="e">
        <f t="shared" si="53"/>
        <v>#NUM!</v>
      </c>
      <c r="F213" s="6" t="e">
        <f t="shared" si="54"/>
        <v>#NUM!</v>
      </c>
      <c r="G213" s="6" t="e">
        <f t="shared" si="55"/>
        <v>#NUM!</v>
      </c>
      <c r="H213" s="6"/>
      <c r="I213" s="6"/>
      <c r="V213" s="7">
        <v>156</v>
      </c>
      <c r="W213" s="59" t="e">
        <f t="shared" si="56"/>
        <v>#NUM!</v>
      </c>
      <c r="X213" s="6" t="e">
        <f t="shared" si="57"/>
        <v>#NUM!</v>
      </c>
      <c r="Y213" s="6" t="e">
        <f t="shared" si="58"/>
        <v>#NUM!</v>
      </c>
      <c r="Z213" s="6" t="e">
        <f t="shared" si="59"/>
        <v>#NUM!</v>
      </c>
      <c r="AA213" s="6" t="e">
        <f t="shared" si="60"/>
        <v>#NUM!</v>
      </c>
      <c r="AB213" s="6"/>
    </row>
    <row r="214" spans="2:28" x14ac:dyDescent="0.4">
      <c r="B214" s="7">
        <v>157</v>
      </c>
      <c r="C214" s="59" t="e">
        <f t="shared" si="51"/>
        <v>#NUM!</v>
      </c>
      <c r="D214" s="6" t="e">
        <f t="shared" si="52"/>
        <v>#NUM!</v>
      </c>
      <c r="E214" s="6" t="e">
        <f t="shared" si="53"/>
        <v>#NUM!</v>
      </c>
      <c r="F214" s="6" t="e">
        <f t="shared" si="54"/>
        <v>#NUM!</v>
      </c>
      <c r="G214" s="6" t="e">
        <f t="shared" si="55"/>
        <v>#NUM!</v>
      </c>
      <c r="H214" s="6"/>
      <c r="I214" s="6"/>
      <c r="V214" s="7">
        <v>157</v>
      </c>
      <c r="W214" s="59" t="e">
        <f t="shared" si="56"/>
        <v>#NUM!</v>
      </c>
      <c r="X214" s="6" t="e">
        <f t="shared" si="57"/>
        <v>#NUM!</v>
      </c>
      <c r="Y214" s="6" t="e">
        <f t="shared" si="58"/>
        <v>#NUM!</v>
      </c>
      <c r="Z214" s="6" t="e">
        <f t="shared" si="59"/>
        <v>#NUM!</v>
      </c>
      <c r="AA214" s="6" t="e">
        <f t="shared" si="60"/>
        <v>#NUM!</v>
      </c>
      <c r="AB214" s="6"/>
    </row>
    <row r="215" spans="2:28" x14ac:dyDescent="0.4">
      <c r="B215" s="7">
        <v>158</v>
      </c>
      <c r="C215" s="59" t="e">
        <f t="shared" si="51"/>
        <v>#NUM!</v>
      </c>
      <c r="D215" s="6" t="e">
        <f t="shared" si="52"/>
        <v>#NUM!</v>
      </c>
      <c r="E215" s="6" t="e">
        <f t="shared" si="53"/>
        <v>#NUM!</v>
      </c>
      <c r="F215" s="6" t="e">
        <f t="shared" si="54"/>
        <v>#NUM!</v>
      </c>
      <c r="G215" s="6" t="e">
        <f t="shared" si="55"/>
        <v>#NUM!</v>
      </c>
      <c r="H215" s="6"/>
      <c r="I215" s="6"/>
      <c r="V215" s="7">
        <v>158</v>
      </c>
      <c r="W215" s="59" t="e">
        <f t="shared" si="56"/>
        <v>#NUM!</v>
      </c>
      <c r="X215" s="6" t="e">
        <f t="shared" si="57"/>
        <v>#NUM!</v>
      </c>
      <c r="Y215" s="6" t="e">
        <f t="shared" si="58"/>
        <v>#NUM!</v>
      </c>
      <c r="Z215" s="6" t="e">
        <f t="shared" si="59"/>
        <v>#NUM!</v>
      </c>
      <c r="AA215" s="6" t="e">
        <f t="shared" si="60"/>
        <v>#NUM!</v>
      </c>
      <c r="AB215" s="6"/>
    </row>
    <row r="216" spans="2:28" x14ac:dyDescent="0.4">
      <c r="B216" s="7">
        <v>159</v>
      </c>
      <c r="C216" s="59" t="e">
        <f t="shared" si="51"/>
        <v>#NUM!</v>
      </c>
      <c r="D216" s="6" t="e">
        <f t="shared" si="52"/>
        <v>#NUM!</v>
      </c>
      <c r="E216" s="6" t="e">
        <f t="shared" si="53"/>
        <v>#NUM!</v>
      </c>
      <c r="F216" s="6" t="e">
        <f t="shared" si="54"/>
        <v>#NUM!</v>
      </c>
      <c r="G216" s="6" t="e">
        <f t="shared" si="55"/>
        <v>#NUM!</v>
      </c>
      <c r="H216" s="6"/>
      <c r="I216" s="6"/>
      <c r="V216" s="7">
        <v>159</v>
      </c>
      <c r="W216" s="59" t="e">
        <f t="shared" si="56"/>
        <v>#NUM!</v>
      </c>
      <c r="X216" s="6" t="e">
        <f t="shared" si="57"/>
        <v>#NUM!</v>
      </c>
      <c r="Y216" s="6" t="e">
        <f t="shared" si="58"/>
        <v>#NUM!</v>
      </c>
      <c r="Z216" s="6" t="e">
        <f t="shared" si="59"/>
        <v>#NUM!</v>
      </c>
      <c r="AA216" s="6" t="e">
        <f t="shared" si="60"/>
        <v>#NUM!</v>
      </c>
      <c r="AB216" s="6"/>
    </row>
    <row r="217" spans="2:28" x14ac:dyDescent="0.4">
      <c r="B217" s="7">
        <v>160</v>
      </c>
      <c r="C217" s="59" t="e">
        <f t="shared" si="51"/>
        <v>#NUM!</v>
      </c>
      <c r="D217" s="6" t="e">
        <f t="shared" si="52"/>
        <v>#NUM!</v>
      </c>
      <c r="E217" s="6" t="e">
        <f t="shared" si="53"/>
        <v>#NUM!</v>
      </c>
      <c r="F217" s="6" t="e">
        <f t="shared" si="54"/>
        <v>#NUM!</v>
      </c>
      <c r="G217" s="6" t="e">
        <f t="shared" si="55"/>
        <v>#NUM!</v>
      </c>
      <c r="H217" s="6"/>
      <c r="I217" s="6"/>
      <c r="V217" s="7">
        <v>160</v>
      </c>
      <c r="W217" s="59" t="e">
        <f t="shared" si="56"/>
        <v>#NUM!</v>
      </c>
      <c r="X217" s="6" t="e">
        <f t="shared" si="57"/>
        <v>#NUM!</v>
      </c>
      <c r="Y217" s="6" t="e">
        <f t="shared" si="58"/>
        <v>#NUM!</v>
      </c>
      <c r="Z217" s="6" t="e">
        <f t="shared" si="59"/>
        <v>#NUM!</v>
      </c>
      <c r="AA217" s="6" t="e">
        <f t="shared" si="60"/>
        <v>#NUM!</v>
      </c>
      <c r="AB217" s="6"/>
    </row>
    <row r="218" spans="2:28" x14ac:dyDescent="0.4">
      <c r="B218" s="7">
        <v>161</v>
      </c>
      <c r="C218" s="59" t="e">
        <f t="shared" si="51"/>
        <v>#NUM!</v>
      </c>
      <c r="D218" s="6" t="e">
        <f t="shared" si="52"/>
        <v>#NUM!</v>
      </c>
      <c r="E218" s="6" t="e">
        <f t="shared" si="53"/>
        <v>#NUM!</v>
      </c>
      <c r="F218" s="6" t="e">
        <f t="shared" si="54"/>
        <v>#NUM!</v>
      </c>
      <c r="G218" s="6" t="e">
        <f t="shared" si="55"/>
        <v>#NUM!</v>
      </c>
      <c r="H218" s="6"/>
      <c r="I218" s="6"/>
      <c r="V218" s="7">
        <v>161</v>
      </c>
      <c r="W218" s="59" t="e">
        <f t="shared" si="56"/>
        <v>#NUM!</v>
      </c>
      <c r="X218" s="6" t="e">
        <f t="shared" si="57"/>
        <v>#NUM!</v>
      </c>
      <c r="Y218" s="6" t="e">
        <f t="shared" si="58"/>
        <v>#NUM!</v>
      </c>
      <c r="Z218" s="6" t="e">
        <f t="shared" si="59"/>
        <v>#NUM!</v>
      </c>
      <c r="AA218" s="6" t="e">
        <f t="shared" si="60"/>
        <v>#NUM!</v>
      </c>
      <c r="AB218" s="6"/>
    </row>
    <row r="219" spans="2:28" x14ac:dyDescent="0.4">
      <c r="B219" s="7">
        <v>162</v>
      </c>
      <c r="C219" s="59" t="e">
        <f t="shared" si="51"/>
        <v>#NUM!</v>
      </c>
      <c r="D219" s="6" t="e">
        <f t="shared" si="52"/>
        <v>#NUM!</v>
      </c>
      <c r="E219" s="6" t="e">
        <f t="shared" si="53"/>
        <v>#NUM!</v>
      </c>
      <c r="F219" s="6" t="e">
        <f t="shared" si="54"/>
        <v>#NUM!</v>
      </c>
      <c r="G219" s="6" t="e">
        <f t="shared" si="55"/>
        <v>#NUM!</v>
      </c>
      <c r="H219" s="6"/>
      <c r="I219" s="6"/>
      <c r="V219" s="7">
        <v>162</v>
      </c>
      <c r="W219" s="59" t="e">
        <f t="shared" si="56"/>
        <v>#NUM!</v>
      </c>
      <c r="X219" s="6" t="e">
        <f t="shared" si="57"/>
        <v>#NUM!</v>
      </c>
      <c r="Y219" s="6" t="e">
        <f t="shared" si="58"/>
        <v>#NUM!</v>
      </c>
      <c r="Z219" s="6" t="e">
        <f t="shared" si="59"/>
        <v>#NUM!</v>
      </c>
      <c r="AA219" s="6" t="e">
        <f t="shared" si="60"/>
        <v>#NUM!</v>
      </c>
      <c r="AB219" s="6"/>
    </row>
    <row r="220" spans="2:28" x14ac:dyDescent="0.4">
      <c r="B220" s="7">
        <v>163</v>
      </c>
      <c r="C220" s="59" t="e">
        <f t="shared" si="51"/>
        <v>#NUM!</v>
      </c>
      <c r="D220" s="6" t="e">
        <f t="shared" si="52"/>
        <v>#NUM!</v>
      </c>
      <c r="E220" s="6" t="e">
        <f t="shared" si="53"/>
        <v>#NUM!</v>
      </c>
      <c r="F220" s="6" t="e">
        <f t="shared" si="54"/>
        <v>#NUM!</v>
      </c>
      <c r="G220" s="6" t="e">
        <f t="shared" si="55"/>
        <v>#NUM!</v>
      </c>
      <c r="H220" s="6"/>
      <c r="I220" s="6"/>
      <c r="V220" s="7">
        <v>163</v>
      </c>
      <c r="W220" s="59" t="e">
        <f t="shared" si="56"/>
        <v>#NUM!</v>
      </c>
      <c r="X220" s="6" t="e">
        <f t="shared" si="57"/>
        <v>#NUM!</v>
      </c>
      <c r="Y220" s="6" t="e">
        <f t="shared" si="58"/>
        <v>#NUM!</v>
      </c>
      <c r="Z220" s="6" t="e">
        <f t="shared" si="59"/>
        <v>#NUM!</v>
      </c>
      <c r="AA220" s="6" t="e">
        <f t="shared" si="60"/>
        <v>#NUM!</v>
      </c>
      <c r="AB220" s="6"/>
    </row>
    <row r="221" spans="2:28" x14ac:dyDescent="0.4">
      <c r="B221" s="7">
        <v>164</v>
      </c>
      <c r="C221" s="59" t="e">
        <f t="shared" si="51"/>
        <v>#NUM!</v>
      </c>
      <c r="D221" s="6" t="e">
        <f t="shared" si="52"/>
        <v>#NUM!</v>
      </c>
      <c r="E221" s="6" t="e">
        <f t="shared" si="53"/>
        <v>#NUM!</v>
      </c>
      <c r="F221" s="6" t="e">
        <f t="shared" si="54"/>
        <v>#NUM!</v>
      </c>
      <c r="G221" s="6" t="e">
        <f t="shared" si="55"/>
        <v>#NUM!</v>
      </c>
      <c r="H221" s="6"/>
      <c r="I221" s="6"/>
      <c r="V221" s="7">
        <v>164</v>
      </c>
      <c r="W221" s="59" t="e">
        <f t="shared" si="56"/>
        <v>#NUM!</v>
      </c>
      <c r="X221" s="6" t="e">
        <f t="shared" si="57"/>
        <v>#NUM!</v>
      </c>
      <c r="Y221" s="6" t="e">
        <f t="shared" si="58"/>
        <v>#NUM!</v>
      </c>
      <c r="Z221" s="6" t="e">
        <f t="shared" si="59"/>
        <v>#NUM!</v>
      </c>
      <c r="AA221" s="6" t="e">
        <f t="shared" si="60"/>
        <v>#NUM!</v>
      </c>
      <c r="AB221" s="6"/>
    </row>
    <row r="222" spans="2:28" x14ac:dyDescent="0.4">
      <c r="B222" s="7">
        <v>165</v>
      </c>
      <c r="C222" s="59" t="e">
        <f t="shared" si="51"/>
        <v>#NUM!</v>
      </c>
      <c r="D222" s="6" t="e">
        <f t="shared" si="52"/>
        <v>#NUM!</v>
      </c>
      <c r="E222" s="6" t="e">
        <f t="shared" si="53"/>
        <v>#NUM!</v>
      </c>
      <c r="F222" s="6" t="e">
        <f t="shared" si="54"/>
        <v>#NUM!</v>
      </c>
      <c r="G222" s="6" t="e">
        <f t="shared" si="55"/>
        <v>#NUM!</v>
      </c>
      <c r="H222" s="6"/>
      <c r="I222" s="6"/>
      <c r="V222" s="7">
        <v>165</v>
      </c>
      <c r="W222" s="59" t="e">
        <f t="shared" si="56"/>
        <v>#NUM!</v>
      </c>
      <c r="X222" s="6" t="e">
        <f t="shared" si="57"/>
        <v>#NUM!</v>
      </c>
      <c r="Y222" s="6" t="e">
        <f t="shared" si="58"/>
        <v>#NUM!</v>
      </c>
      <c r="Z222" s="6" t="e">
        <f t="shared" si="59"/>
        <v>#NUM!</v>
      </c>
      <c r="AA222" s="6" t="e">
        <f t="shared" si="60"/>
        <v>#NUM!</v>
      </c>
      <c r="AB222" s="6"/>
    </row>
    <row r="223" spans="2:28" x14ac:dyDescent="0.4">
      <c r="B223" s="7">
        <v>166</v>
      </c>
      <c r="C223" s="59" t="e">
        <f t="shared" si="51"/>
        <v>#NUM!</v>
      </c>
      <c r="D223" s="6" t="e">
        <f t="shared" si="52"/>
        <v>#NUM!</v>
      </c>
      <c r="E223" s="6" t="e">
        <f t="shared" si="53"/>
        <v>#NUM!</v>
      </c>
      <c r="F223" s="6" t="e">
        <f t="shared" si="54"/>
        <v>#NUM!</v>
      </c>
      <c r="G223" s="6" t="e">
        <f t="shared" si="55"/>
        <v>#NUM!</v>
      </c>
      <c r="H223" s="6"/>
      <c r="I223" s="6"/>
      <c r="V223" s="7">
        <v>166</v>
      </c>
      <c r="W223" s="59" t="e">
        <f t="shared" si="56"/>
        <v>#NUM!</v>
      </c>
      <c r="X223" s="6" t="e">
        <f t="shared" si="57"/>
        <v>#NUM!</v>
      </c>
      <c r="Y223" s="6" t="e">
        <f t="shared" si="58"/>
        <v>#NUM!</v>
      </c>
      <c r="Z223" s="6" t="e">
        <f t="shared" si="59"/>
        <v>#NUM!</v>
      </c>
      <c r="AA223" s="6" t="e">
        <f t="shared" si="60"/>
        <v>#NUM!</v>
      </c>
      <c r="AB223" s="6"/>
    </row>
    <row r="224" spans="2:28" x14ac:dyDescent="0.4">
      <c r="B224" s="7">
        <v>167</v>
      </c>
      <c r="C224" s="59" t="e">
        <f t="shared" si="51"/>
        <v>#NUM!</v>
      </c>
      <c r="D224" s="6" t="e">
        <f t="shared" si="52"/>
        <v>#NUM!</v>
      </c>
      <c r="E224" s="6" t="e">
        <f t="shared" si="53"/>
        <v>#NUM!</v>
      </c>
      <c r="F224" s="6" t="e">
        <f t="shared" si="54"/>
        <v>#NUM!</v>
      </c>
      <c r="G224" s="6" t="e">
        <f t="shared" si="55"/>
        <v>#NUM!</v>
      </c>
      <c r="H224" s="6"/>
      <c r="I224" s="6"/>
      <c r="V224" s="7">
        <v>167</v>
      </c>
      <c r="W224" s="59" t="e">
        <f t="shared" si="56"/>
        <v>#NUM!</v>
      </c>
      <c r="X224" s="6" t="e">
        <f t="shared" si="57"/>
        <v>#NUM!</v>
      </c>
      <c r="Y224" s="6" t="e">
        <f t="shared" si="58"/>
        <v>#NUM!</v>
      </c>
      <c r="Z224" s="6" t="e">
        <f t="shared" si="59"/>
        <v>#NUM!</v>
      </c>
      <c r="AA224" s="6" t="e">
        <f t="shared" si="60"/>
        <v>#NUM!</v>
      </c>
      <c r="AB224" s="6"/>
    </row>
    <row r="225" spans="2:28" x14ac:dyDescent="0.4">
      <c r="B225" s="7">
        <v>168</v>
      </c>
      <c r="C225" s="59" t="e">
        <f t="shared" si="51"/>
        <v>#NUM!</v>
      </c>
      <c r="D225" s="6" t="e">
        <f t="shared" si="52"/>
        <v>#NUM!</v>
      </c>
      <c r="E225" s="6" t="e">
        <f t="shared" si="53"/>
        <v>#NUM!</v>
      </c>
      <c r="F225" s="6" t="e">
        <f t="shared" si="54"/>
        <v>#NUM!</v>
      </c>
      <c r="G225" s="6" t="e">
        <f t="shared" si="55"/>
        <v>#NUM!</v>
      </c>
      <c r="H225" s="6"/>
      <c r="I225" s="6"/>
      <c r="V225" s="7">
        <v>168</v>
      </c>
      <c r="W225" s="59" t="e">
        <f t="shared" si="56"/>
        <v>#NUM!</v>
      </c>
      <c r="X225" s="6" t="e">
        <f t="shared" si="57"/>
        <v>#NUM!</v>
      </c>
      <c r="Y225" s="6" t="e">
        <f t="shared" si="58"/>
        <v>#NUM!</v>
      </c>
      <c r="Z225" s="6" t="e">
        <f t="shared" si="59"/>
        <v>#NUM!</v>
      </c>
      <c r="AA225" s="6" t="e">
        <f t="shared" si="60"/>
        <v>#NUM!</v>
      </c>
      <c r="AB225" s="6"/>
    </row>
    <row r="226" spans="2:28" x14ac:dyDescent="0.4">
      <c r="B226" s="7">
        <v>169</v>
      </c>
      <c r="C226" s="59" t="e">
        <f t="shared" si="51"/>
        <v>#NUM!</v>
      </c>
      <c r="D226" s="6" t="e">
        <f t="shared" si="52"/>
        <v>#NUM!</v>
      </c>
      <c r="E226" s="6" t="e">
        <f t="shared" si="53"/>
        <v>#NUM!</v>
      </c>
      <c r="F226" s="6" t="e">
        <f t="shared" si="54"/>
        <v>#NUM!</v>
      </c>
      <c r="G226" s="6" t="e">
        <f t="shared" si="55"/>
        <v>#NUM!</v>
      </c>
      <c r="H226" s="6"/>
      <c r="I226" s="6"/>
      <c r="V226" s="7">
        <v>169</v>
      </c>
      <c r="W226" s="59" t="e">
        <f t="shared" si="56"/>
        <v>#NUM!</v>
      </c>
      <c r="X226" s="6" t="e">
        <f t="shared" si="57"/>
        <v>#NUM!</v>
      </c>
      <c r="Y226" s="6" t="e">
        <f t="shared" si="58"/>
        <v>#NUM!</v>
      </c>
      <c r="Z226" s="6" t="e">
        <f t="shared" si="59"/>
        <v>#NUM!</v>
      </c>
      <c r="AA226" s="6" t="e">
        <f t="shared" si="60"/>
        <v>#NUM!</v>
      </c>
      <c r="AB226" s="6"/>
    </row>
    <row r="227" spans="2:28" x14ac:dyDescent="0.4">
      <c r="B227" s="7">
        <v>170</v>
      </c>
      <c r="C227" s="59" t="e">
        <f t="shared" si="51"/>
        <v>#NUM!</v>
      </c>
      <c r="D227" s="6" t="e">
        <f t="shared" si="52"/>
        <v>#NUM!</v>
      </c>
      <c r="E227" s="6" t="e">
        <f t="shared" si="53"/>
        <v>#NUM!</v>
      </c>
      <c r="F227" s="6" t="e">
        <f t="shared" si="54"/>
        <v>#NUM!</v>
      </c>
      <c r="G227" s="6" t="e">
        <f t="shared" si="55"/>
        <v>#NUM!</v>
      </c>
      <c r="H227" s="6"/>
      <c r="I227" s="6"/>
      <c r="V227" s="7">
        <v>170</v>
      </c>
      <c r="W227" s="59" t="e">
        <f t="shared" si="56"/>
        <v>#NUM!</v>
      </c>
      <c r="X227" s="6" t="e">
        <f t="shared" si="57"/>
        <v>#NUM!</v>
      </c>
      <c r="Y227" s="6" t="e">
        <f t="shared" si="58"/>
        <v>#NUM!</v>
      </c>
      <c r="Z227" s="6" t="e">
        <f t="shared" si="59"/>
        <v>#NUM!</v>
      </c>
      <c r="AA227" s="6" t="e">
        <f t="shared" si="60"/>
        <v>#NUM!</v>
      </c>
      <c r="AB227" s="6"/>
    </row>
    <row r="228" spans="2:28" x14ac:dyDescent="0.4">
      <c r="B228" s="7">
        <v>171</v>
      </c>
      <c r="C228" s="59" t="e">
        <f t="shared" si="51"/>
        <v>#NUM!</v>
      </c>
      <c r="D228" s="6" t="e">
        <f t="shared" si="52"/>
        <v>#NUM!</v>
      </c>
      <c r="E228" s="6" t="e">
        <f t="shared" si="53"/>
        <v>#NUM!</v>
      </c>
      <c r="F228" s="6" t="e">
        <f t="shared" si="54"/>
        <v>#NUM!</v>
      </c>
      <c r="G228" s="6" t="e">
        <f t="shared" si="55"/>
        <v>#NUM!</v>
      </c>
      <c r="H228" s="6"/>
      <c r="I228" s="6"/>
      <c r="V228" s="7">
        <v>171</v>
      </c>
      <c r="W228" s="59" t="e">
        <f t="shared" si="56"/>
        <v>#NUM!</v>
      </c>
      <c r="X228" s="6" t="e">
        <f t="shared" si="57"/>
        <v>#NUM!</v>
      </c>
      <c r="Y228" s="6" t="e">
        <f t="shared" si="58"/>
        <v>#NUM!</v>
      </c>
      <c r="Z228" s="6" t="e">
        <f t="shared" si="59"/>
        <v>#NUM!</v>
      </c>
      <c r="AA228" s="6" t="e">
        <f t="shared" si="60"/>
        <v>#NUM!</v>
      </c>
      <c r="AB228" s="6"/>
    </row>
    <row r="229" spans="2:28" x14ac:dyDescent="0.4">
      <c r="B229" s="7">
        <v>172</v>
      </c>
      <c r="C229" s="59" t="e">
        <f t="shared" si="51"/>
        <v>#NUM!</v>
      </c>
      <c r="D229" s="6" t="e">
        <f t="shared" si="52"/>
        <v>#NUM!</v>
      </c>
      <c r="E229" s="6" t="e">
        <f t="shared" si="53"/>
        <v>#NUM!</v>
      </c>
      <c r="F229" s="6" t="e">
        <f t="shared" si="54"/>
        <v>#NUM!</v>
      </c>
      <c r="G229" s="6" t="e">
        <f t="shared" si="55"/>
        <v>#NUM!</v>
      </c>
      <c r="H229" s="6"/>
      <c r="I229" s="6"/>
      <c r="V229" s="7">
        <v>172</v>
      </c>
      <c r="W229" s="59" t="e">
        <f t="shared" si="56"/>
        <v>#NUM!</v>
      </c>
      <c r="X229" s="6" t="e">
        <f t="shared" si="57"/>
        <v>#NUM!</v>
      </c>
      <c r="Y229" s="6" t="e">
        <f t="shared" si="58"/>
        <v>#NUM!</v>
      </c>
      <c r="Z229" s="6" t="e">
        <f t="shared" si="59"/>
        <v>#NUM!</v>
      </c>
      <c r="AA229" s="6" t="e">
        <f t="shared" si="60"/>
        <v>#NUM!</v>
      </c>
      <c r="AB229" s="6"/>
    </row>
    <row r="230" spans="2:28" x14ac:dyDescent="0.4">
      <c r="B230" s="7">
        <v>173</v>
      </c>
      <c r="C230" s="59" t="e">
        <f t="shared" si="51"/>
        <v>#NUM!</v>
      </c>
      <c r="D230" s="6" t="e">
        <f t="shared" si="52"/>
        <v>#NUM!</v>
      </c>
      <c r="E230" s="6" t="e">
        <f t="shared" si="53"/>
        <v>#NUM!</v>
      </c>
      <c r="F230" s="6" t="e">
        <f t="shared" si="54"/>
        <v>#NUM!</v>
      </c>
      <c r="G230" s="6" t="e">
        <f t="shared" si="55"/>
        <v>#NUM!</v>
      </c>
      <c r="H230" s="6"/>
      <c r="I230" s="6"/>
      <c r="V230" s="7">
        <v>173</v>
      </c>
      <c r="W230" s="59" t="e">
        <f t="shared" si="56"/>
        <v>#NUM!</v>
      </c>
      <c r="X230" s="6" t="e">
        <f t="shared" si="57"/>
        <v>#NUM!</v>
      </c>
      <c r="Y230" s="6" t="e">
        <f t="shared" si="58"/>
        <v>#NUM!</v>
      </c>
      <c r="Z230" s="6" t="e">
        <f t="shared" si="59"/>
        <v>#NUM!</v>
      </c>
      <c r="AA230" s="6" t="e">
        <f t="shared" si="60"/>
        <v>#NUM!</v>
      </c>
      <c r="AB230" s="6"/>
    </row>
    <row r="231" spans="2:28" x14ac:dyDescent="0.4">
      <c r="B231" s="7">
        <v>174</v>
      </c>
      <c r="C231" s="59" t="e">
        <f t="shared" si="51"/>
        <v>#NUM!</v>
      </c>
      <c r="D231" s="6" t="e">
        <f t="shared" si="52"/>
        <v>#NUM!</v>
      </c>
      <c r="E231" s="6" t="e">
        <f t="shared" si="53"/>
        <v>#NUM!</v>
      </c>
      <c r="F231" s="6" t="e">
        <f t="shared" si="54"/>
        <v>#NUM!</v>
      </c>
      <c r="G231" s="6" t="e">
        <f t="shared" si="55"/>
        <v>#NUM!</v>
      </c>
      <c r="H231" s="6"/>
      <c r="I231" s="6"/>
      <c r="V231" s="7">
        <v>174</v>
      </c>
      <c r="W231" s="59" t="e">
        <f t="shared" si="56"/>
        <v>#NUM!</v>
      </c>
      <c r="X231" s="6" t="e">
        <f t="shared" si="57"/>
        <v>#NUM!</v>
      </c>
      <c r="Y231" s="6" t="e">
        <f t="shared" si="58"/>
        <v>#NUM!</v>
      </c>
      <c r="Z231" s="6" t="e">
        <f t="shared" si="59"/>
        <v>#NUM!</v>
      </c>
      <c r="AA231" s="6" t="e">
        <f t="shared" si="60"/>
        <v>#NUM!</v>
      </c>
      <c r="AB231" s="6"/>
    </row>
    <row r="232" spans="2:28" x14ac:dyDescent="0.4">
      <c r="B232" s="7">
        <v>175</v>
      </c>
      <c r="C232" s="59" t="e">
        <f t="shared" si="51"/>
        <v>#NUM!</v>
      </c>
      <c r="D232" s="6" t="e">
        <f t="shared" si="52"/>
        <v>#NUM!</v>
      </c>
      <c r="E232" s="6" t="e">
        <f t="shared" si="53"/>
        <v>#NUM!</v>
      </c>
      <c r="F232" s="6" t="e">
        <f t="shared" si="54"/>
        <v>#NUM!</v>
      </c>
      <c r="G232" s="6" t="e">
        <f t="shared" si="55"/>
        <v>#NUM!</v>
      </c>
      <c r="H232" s="6"/>
      <c r="I232" s="6"/>
      <c r="V232" s="7">
        <v>175</v>
      </c>
      <c r="W232" s="59" t="e">
        <f t="shared" si="56"/>
        <v>#NUM!</v>
      </c>
      <c r="X232" s="6" t="e">
        <f t="shared" si="57"/>
        <v>#NUM!</v>
      </c>
      <c r="Y232" s="6" t="e">
        <f t="shared" si="58"/>
        <v>#NUM!</v>
      </c>
      <c r="Z232" s="6" t="e">
        <f t="shared" si="59"/>
        <v>#NUM!</v>
      </c>
      <c r="AA232" s="6" t="e">
        <f t="shared" si="60"/>
        <v>#NUM!</v>
      </c>
      <c r="AB232" s="6"/>
    </row>
    <row r="233" spans="2:28" x14ac:dyDescent="0.4">
      <c r="B233" s="7">
        <v>176</v>
      </c>
      <c r="C233" s="59" t="e">
        <f t="shared" si="51"/>
        <v>#NUM!</v>
      </c>
      <c r="D233" s="6" t="e">
        <f t="shared" si="52"/>
        <v>#NUM!</v>
      </c>
      <c r="E233" s="6" t="e">
        <f t="shared" si="53"/>
        <v>#NUM!</v>
      </c>
      <c r="F233" s="6" t="e">
        <f t="shared" si="54"/>
        <v>#NUM!</v>
      </c>
      <c r="G233" s="6" t="e">
        <f t="shared" si="55"/>
        <v>#NUM!</v>
      </c>
      <c r="H233" s="6"/>
      <c r="I233" s="6"/>
      <c r="V233" s="7">
        <v>176</v>
      </c>
      <c r="W233" s="59" t="e">
        <f t="shared" si="56"/>
        <v>#NUM!</v>
      </c>
      <c r="X233" s="6" t="e">
        <f t="shared" si="57"/>
        <v>#NUM!</v>
      </c>
      <c r="Y233" s="6" t="e">
        <f t="shared" si="58"/>
        <v>#NUM!</v>
      </c>
      <c r="Z233" s="6" t="e">
        <f t="shared" si="59"/>
        <v>#NUM!</v>
      </c>
      <c r="AA233" s="6" t="e">
        <f t="shared" si="60"/>
        <v>#NUM!</v>
      </c>
      <c r="AB233" s="6"/>
    </row>
    <row r="234" spans="2:28" x14ac:dyDescent="0.4">
      <c r="B234" s="7">
        <v>177</v>
      </c>
      <c r="C234" s="59" t="e">
        <f t="shared" si="51"/>
        <v>#NUM!</v>
      </c>
      <c r="D234" s="6" t="e">
        <f t="shared" si="52"/>
        <v>#NUM!</v>
      </c>
      <c r="E234" s="6" t="e">
        <f t="shared" si="53"/>
        <v>#NUM!</v>
      </c>
      <c r="F234" s="6" t="e">
        <f t="shared" si="54"/>
        <v>#NUM!</v>
      </c>
      <c r="G234" s="6" t="e">
        <f t="shared" si="55"/>
        <v>#NUM!</v>
      </c>
      <c r="H234" s="6"/>
      <c r="I234" s="6"/>
      <c r="V234" s="7">
        <v>177</v>
      </c>
      <c r="W234" s="59" t="e">
        <f t="shared" si="56"/>
        <v>#NUM!</v>
      </c>
      <c r="X234" s="6" t="e">
        <f t="shared" si="57"/>
        <v>#NUM!</v>
      </c>
      <c r="Y234" s="6" t="e">
        <f t="shared" si="58"/>
        <v>#NUM!</v>
      </c>
      <c r="Z234" s="6" t="e">
        <f t="shared" si="59"/>
        <v>#NUM!</v>
      </c>
      <c r="AA234" s="6" t="e">
        <f t="shared" si="60"/>
        <v>#NUM!</v>
      </c>
      <c r="AB234" s="6"/>
    </row>
    <row r="235" spans="2:28" x14ac:dyDescent="0.4">
      <c r="B235" s="7">
        <v>178</v>
      </c>
      <c r="C235" s="59" t="e">
        <f t="shared" si="51"/>
        <v>#NUM!</v>
      </c>
      <c r="D235" s="6" t="e">
        <f t="shared" si="52"/>
        <v>#NUM!</v>
      </c>
      <c r="E235" s="6" t="e">
        <f t="shared" si="53"/>
        <v>#NUM!</v>
      </c>
      <c r="F235" s="6" t="e">
        <f t="shared" si="54"/>
        <v>#NUM!</v>
      </c>
      <c r="G235" s="6" t="e">
        <f t="shared" si="55"/>
        <v>#NUM!</v>
      </c>
      <c r="H235" s="6"/>
      <c r="I235" s="6"/>
      <c r="V235" s="7">
        <v>178</v>
      </c>
      <c r="W235" s="59" t="e">
        <f t="shared" si="56"/>
        <v>#NUM!</v>
      </c>
      <c r="X235" s="6" t="e">
        <f t="shared" si="57"/>
        <v>#NUM!</v>
      </c>
      <c r="Y235" s="6" t="e">
        <f t="shared" si="58"/>
        <v>#NUM!</v>
      </c>
      <c r="Z235" s="6" t="e">
        <f t="shared" si="59"/>
        <v>#NUM!</v>
      </c>
      <c r="AA235" s="6" t="e">
        <f t="shared" si="60"/>
        <v>#NUM!</v>
      </c>
      <c r="AB235" s="6"/>
    </row>
    <row r="236" spans="2:28" x14ac:dyDescent="0.4">
      <c r="B236" s="7">
        <v>179</v>
      </c>
      <c r="C236" s="59" t="e">
        <f t="shared" si="51"/>
        <v>#NUM!</v>
      </c>
      <c r="D236" s="6" t="e">
        <f t="shared" si="52"/>
        <v>#NUM!</v>
      </c>
      <c r="E236" s="6" t="e">
        <f t="shared" si="53"/>
        <v>#NUM!</v>
      </c>
      <c r="F236" s="6" t="e">
        <f t="shared" si="54"/>
        <v>#NUM!</v>
      </c>
      <c r="G236" s="6" t="e">
        <f t="shared" si="55"/>
        <v>#NUM!</v>
      </c>
      <c r="H236" s="6"/>
      <c r="I236" s="6"/>
      <c r="V236" s="7">
        <v>179</v>
      </c>
      <c r="W236" s="59" t="e">
        <f t="shared" si="56"/>
        <v>#NUM!</v>
      </c>
      <c r="X236" s="6" t="e">
        <f t="shared" si="57"/>
        <v>#NUM!</v>
      </c>
      <c r="Y236" s="6" t="e">
        <f t="shared" si="58"/>
        <v>#NUM!</v>
      </c>
      <c r="Z236" s="6" t="e">
        <f t="shared" si="59"/>
        <v>#NUM!</v>
      </c>
      <c r="AA236" s="6" t="e">
        <f t="shared" si="60"/>
        <v>#NUM!</v>
      </c>
      <c r="AB236" s="6"/>
    </row>
    <row r="237" spans="2:28" x14ac:dyDescent="0.4">
      <c r="B237" s="7">
        <v>180</v>
      </c>
      <c r="C237" s="59" t="e">
        <f t="shared" si="51"/>
        <v>#NUM!</v>
      </c>
      <c r="D237" s="6" t="e">
        <f t="shared" si="52"/>
        <v>#NUM!</v>
      </c>
      <c r="E237" s="6" t="e">
        <f t="shared" si="53"/>
        <v>#NUM!</v>
      </c>
      <c r="F237" s="6" t="e">
        <f t="shared" si="54"/>
        <v>#NUM!</v>
      </c>
      <c r="G237" s="6" t="e">
        <f t="shared" si="55"/>
        <v>#NUM!</v>
      </c>
      <c r="H237" s="6"/>
      <c r="I237" s="6"/>
      <c r="V237" s="7">
        <v>180</v>
      </c>
      <c r="W237" s="59" t="e">
        <f t="shared" si="56"/>
        <v>#NUM!</v>
      </c>
      <c r="X237" s="6" t="e">
        <f t="shared" si="57"/>
        <v>#NUM!</v>
      </c>
      <c r="Y237" s="6" t="e">
        <f t="shared" si="58"/>
        <v>#NUM!</v>
      </c>
      <c r="Z237" s="6" t="e">
        <f t="shared" si="59"/>
        <v>#NUM!</v>
      </c>
      <c r="AA237" s="6" t="e">
        <f t="shared" si="60"/>
        <v>#NUM!</v>
      </c>
      <c r="AB237" s="6"/>
    </row>
    <row r="238" spans="2:28" x14ac:dyDescent="0.4">
      <c r="B238" s="7">
        <v>181</v>
      </c>
      <c r="C238" s="59" t="e">
        <f t="shared" si="51"/>
        <v>#NUM!</v>
      </c>
      <c r="D238" s="6" t="e">
        <f t="shared" si="52"/>
        <v>#NUM!</v>
      </c>
      <c r="E238" s="6" t="e">
        <f t="shared" si="53"/>
        <v>#NUM!</v>
      </c>
      <c r="F238" s="6" t="e">
        <f t="shared" si="54"/>
        <v>#NUM!</v>
      </c>
      <c r="G238" s="6" t="e">
        <f t="shared" si="55"/>
        <v>#NUM!</v>
      </c>
      <c r="H238" s="6"/>
      <c r="I238" s="6"/>
      <c r="V238" s="7">
        <v>181</v>
      </c>
      <c r="W238" s="59" t="e">
        <f t="shared" si="56"/>
        <v>#NUM!</v>
      </c>
      <c r="X238" s="6" t="e">
        <f t="shared" si="57"/>
        <v>#NUM!</v>
      </c>
      <c r="Y238" s="6" t="e">
        <f t="shared" si="58"/>
        <v>#NUM!</v>
      </c>
      <c r="Z238" s="6" t="e">
        <f t="shared" si="59"/>
        <v>#NUM!</v>
      </c>
      <c r="AA238" s="6" t="e">
        <f t="shared" si="60"/>
        <v>#NUM!</v>
      </c>
      <c r="AB238" s="6"/>
    </row>
    <row r="239" spans="2:28" x14ac:dyDescent="0.4">
      <c r="B239" s="7">
        <v>182</v>
      </c>
      <c r="C239" s="59" t="e">
        <f t="shared" si="51"/>
        <v>#NUM!</v>
      </c>
      <c r="D239" s="6" t="e">
        <f t="shared" si="52"/>
        <v>#NUM!</v>
      </c>
      <c r="E239" s="6" t="e">
        <f t="shared" si="53"/>
        <v>#NUM!</v>
      </c>
      <c r="F239" s="6" t="e">
        <f t="shared" si="54"/>
        <v>#NUM!</v>
      </c>
      <c r="G239" s="6" t="e">
        <f t="shared" si="55"/>
        <v>#NUM!</v>
      </c>
      <c r="H239" s="6"/>
      <c r="I239" s="6"/>
      <c r="V239" s="7">
        <v>182</v>
      </c>
      <c r="W239" s="59" t="e">
        <f t="shared" si="56"/>
        <v>#NUM!</v>
      </c>
      <c r="X239" s="6" t="e">
        <f t="shared" si="57"/>
        <v>#NUM!</v>
      </c>
      <c r="Y239" s="6" t="e">
        <f t="shared" si="58"/>
        <v>#NUM!</v>
      </c>
      <c r="Z239" s="6" t="e">
        <f t="shared" si="59"/>
        <v>#NUM!</v>
      </c>
      <c r="AA239" s="6" t="e">
        <f t="shared" si="60"/>
        <v>#NUM!</v>
      </c>
      <c r="AB239" s="6"/>
    </row>
    <row r="240" spans="2:28" x14ac:dyDescent="0.4">
      <c r="B240" s="7">
        <v>183</v>
      </c>
      <c r="C240" s="59" t="e">
        <f t="shared" si="51"/>
        <v>#NUM!</v>
      </c>
      <c r="D240" s="6" t="e">
        <f t="shared" si="52"/>
        <v>#NUM!</v>
      </c>
      <c r="E240" s="6" t="e">
        <f t="shared" si="53"/>
        <v>#NUM!</v>
      </c>
      <c r="F240" s="6" t="e">
        <f t="shared" si="54"/>
        <v>#NUM!</v>
      </c>
      <c r="G240" s="6" t="e">
        <f t="shared" si="55"/>
        <v>#NUM!</v>
      </c>
      <c r="H240" s="6"/>
      <c r="I240" s="6"/>
      <c r="V240" s="7">
        <v>183</v>
      </c>
      <c r="W240" s="59" t="e">
        <f t="shared" si="56"/>
        <v>#NUM!</v>
      </c>
      <c r="X240" s="6" t="e">
        <f t="shared" si="57"/>
        <v>#NUM!</v>
      </c>
      <c r="Y240" s="6" t="e">
        <f t="shared" si="58"/>
        <v>#NUM!</v>
      </c>
      <c r="Z240" s="6" t="e">
        <f t="shared" si="59"/>
        <v>#NUM!</v>
      </c>
      <c r="AA240" s="6" t="e">
        <f t="shared" si="60"/>
        <v>#NUM!</v>
      </c>
      <c r="AB240" s="6"/>
    </row>
    <row r="241" spans="2:28" x14ac:dyDescent="0.4">
      <c r="B241" s="7">
        <v>184</v>
      </c>
      <c r="C241" s="59" t="e">
        <f t="shared" si="51"/>
        <v>#NUM!</v>
      </c>
      <c r="D241" s="6" t="e">
        <f t="shared" si="52"/>
        <v>#NUM!</v>
      </c>
      <c r="E241" s="6" t="e">
        <f t="shared" si="53"/>
        <v>#NUM!</v>
      </c>
      <c r="F241" s="6" t="e">
        <f t="shared" si="54"/>
        <v>#NUM!</v>
      </c>
      <c r="G241" s="6" t="e">
        <f t="shared" si="55"/>
        <v>#NUM!</v>
      </c>
      <c r="H241" s="6"/>
      <c r="I241" s="6"/>
      <c r="V241" s="7">
        <v>184</v>
      </c>
      <c r="W241" s="59" t="e">
        <f t="shared" si="56"/>
        <v>#NUM!</v>
      </c>
      <c r="X241" s="6" t="e">
        <f t="shared" si="57"/>
        <v>#NUM!</v>
      </c>
      <c r="Y241" s="6" t="e">
        <f t="shared" si="58"/>
        <v>#NUM!</v>
      </c>
      <c r="Z241" s="6" t="e">
        <f t="shared" si="59"/>
        <v>#NUM!</v>
      </c>
      <c r="AA241" s="6" t="e">
        <f t="shared" si="60"/>
        <v>#NUM!</v>
      </c>
      <c r="AB241" s="6"/>
    </row>
    <row r="242" spans="2:28" x14ac:dyDescent="0.4">
      <c r="B242" s="7">
        <v>185</v>
      </c>
      <c r="C242" s="59" t="e">
        <f t="shared" si="51"/>
        <v>#NUM!</v>
      </c>
      <c r="D242" s="6" t="e">
        <f t="shared" si="52"/>
        <v>#NUM!</v>
      </c>
      <c r="E242" s="6" t="e">
        <f t="shared" si="53"/>
        <v>#NUM!</v>
      </c>
      <c r="F242" s="6" t="e">
        <f t="shared" si="54"/>
        <v>#NUM!</v>
      </c>
      <c r="G242" s="6" t="e">
        <f t="shared" si="55"/>
        <v>#NUM!</v>
      </c>
      <c r="H242" s="6"/>
      <c r="I242" s="6"/>
      <c r="V242" s="7">
        <v>185</v>
      </c>
      <c r="W242" s="59" t="e">
        <f t="shared" si="56"/>
        <v>#NUM!</v>
      </c>
      <c r="X242" s="6" t="e">
        <f t="shared" si="57"/>
        <v>#NUM!</v>
      </c>
      <c r="Y242" s="6" t="e">
        <f t="shared" si="58"/>
        <v>#NUM!</v>
      </c>
      <c r="Z242" s="6" t="e">
        <f t="shared" si="59"/>
        <v>#NUM!</v>
      </c>
      <c r="AA242" s="6" t="e">
        <f t="shared" si="60"/>
        <v>#NUM!</v>
      </c>
      <c r="AB242" s="6"/>
    </row>
    <row r="243" spans="2:28" x14ac:dyDescent="0.4">
      <c r="B243" s="7">
        <v>186</v>
      </c>
      <c r="C243" s="59" t="e">
        <f t="shared" si="51"/>
        <v>#NUM!</v>
      </c>
      <c r="D243" s="6" t="e">
        <f t="shared" si="52"/>
        <v>#NUM!</v>
      </c>
      <c r="E243" s="6" t="e">
        <f t="shared" si="53"/>
        <v>#NUM!</v>
      </c>
      <c r="F243" s="6" t="e">
        <f t="shared" si="54"/>
        <v>#NUM!</v>
      </c>
      <c r="G243" s="6" t="e">
        <f t="shared" si="55"/>
        <v>#NUM!</v>
      </c>
      <c r="H243" s="6"/>
      <c r="I243" s="6"/>
      <c r="V243" s="7">
        <v>186</v>
      </c>
      <c r="W243" s="59" t="e">
        <f t="shared" si="56"/>
        <v>#NUM!</v>
      </c>
      <c r="X243" s="6" t="e">
        <f t="shared" si="57"/>
        <v>#NUM!</v>
      </c>
      <c r="Y243" s="6" t="e">
        <f t="shared" si="58"/>
        <v>#NUM!</v>
      </c>
      <c r="Z243" s="6" t="e">
        <f t="shared" si="59"/>
        <v>#NUM!</v>
      </c>
      <c r="AA243" s="6" t="e">
        <f t="shared" si="60"/>
        <v>#NUM!</v>
      </c>
      <c r="AB243" s="6"/>
    </row>
    <row r="244" spans="2:28" x14ac:dyDescent="0.4">
      <c r="B244" s="7">
        <v>187</v>
      </c>
      <c r="C244" s="59" t="e">
        <f t="shared" si="51"/>
        <v>#NUM!</v>
      </c>
      <c r="D244" s="6" t="e">
        <f t="shared" si="52"/>
        <v>#NUM!</v>
      </c>
      <c r="E244" s="6" t="e">
        <f t="shared" si="53"/>
        <v>#NUM!</v>
      </c>
      <c r="F244" s="6" t="e">
        <f t="shared" si="54"/>
        <v>#NUM!</v>
      </c>
      <c r="G244" s="6" t="e">
        <f t="shared" si="55"/>
        <v>#NUM!</v>
      </c>
      <c r="H244" s="6"/>
      <c r="I244" s="6"/>
      <c r="V244" s="7">
        <v>187</v>
      </c>
      <c r="W244" s="59" t="e">
        <f t="shared" si="56"/>
        <v>#NUM!</v>
      </c>
      <c r="X244" s="6" t="e">
        <f t="shared" si="57"/>
        <v>#NUM!</v>
      </c>
      <c r="Y244" s="6" t="e">
        <f t="shared" si="58"/>
        <v>#NUM!</v>
      </c>
      <c r="Z244" s="6" t="e">
        <f t="shared" si="59"/>
        <v>#NUM!</v>
      </c>
      <c r="AA244" s="6" t="e">
        <f t="shared" si="60"/>
        <v>#NUM!</v>
      </c>
      <c r="AB244" s="6"/>
    </row>
    <row r="245" spans="2:28" x14ac:dyDescent="0.4">
      <c r="B245" s="7">
        <v>188</v>
      </c>
      <c r="C245" s="59" t="e">
        <f t="shared" si="51"/>
        <v>#NUM!</v>
      </c>
      <c r="D245" s="6" t="e">
        <f t="shared" si="52"/>
        <v>#NUM!</v>
      </c>
      <c r="E245" s="6" t="e">
        <f t="shared" si="53"/>
        <v>#NUM!</v>
      </c>
      <c r="F245" s="6" t="e">
        <f t="shared" si="54"/>
        <v>#NUM!</v>
      </c>
      <c r="G245" s="6" t="e">
        <f t="shared" si="55"/>
        <v>#NUM!</v>
      </c>
      <c r="H245" s="6"/>
      <c r="I245" s="6"/>
      <c r="V245" s="7">
        <v>188</v>
      </c>
      <c r="W245" s="59" t="e">
        <f t="shared" si="56"/>
        <v>#NUM!</v>
      </c>
      <c r="X245" s="6" t="e">
        <f t="shared" si="57"/>
        <v>#NUM!</v>
      </c>
      <c r="Y245" s="6" t="e">
        <f t="shared" si="58"/>
        <v>#NUM!</v>
      </c>
      <c r="Z245" s="6" t="e">
        <f t="shared" si="59"/>
        <v>#NUM!</v>
      </c>
      <c r="AA245" s="6" t="e">
        <f t="shared" si="60"/>
        <v>#NUM!</v>
      </c>
      <c r="AB245" s="6"/>
    </row>
    <row r="246" spans="2:28" x14ac:dyDescent="0.4">
      <c r="B246" s="7">
        <v>189</v>
      </c>
      <c r="C246" s="59" t="e">
        <f t="shared" si="51"/>
        <v>#NUM!</v>
      </c>
      <c r="D246" s="6" t="e">
        <f t="shared" si="52"/>
        <v>#NUM!</v>
      </c>
      <c r="E246" s="6" t="e">
        <f t="shared" si="53"/>
        <v>#NUM!</v>
      </c>
      <c r="F246" s="6" t="e">
        <f t="shared" si="54"/>
        <v>#NUM!</v>
      </c>
      <c r="G246" s="6" t="e">
        <f t="shared" si="55"/>
        <v>#NUM!</v>
      </c>
      <c r="H246" s="6"/>
      <c r="I246" s="6"/>
      <c r="V246" s="7">
        <v>189</v>
      </c>
      <c r="W246" s="59" t="e">
        <f t="shared" si="56"/>
        <v>#NUM!</v>
      </c>
      <c r="X246" s="6" t="e">
        <f t="shared" si="57"/>
        <v>#NUM!</v>
      </c>
      <c r="Y246" s="6" t="e">
        <f t="shared" si="58"/>
        <v>#NUM!</v>
      </c>
      <c r="Z246" s="6" t="e">
        <f t="shared" si="59"/>
        <v>#NUM!</v>
      </c>
      <c r="AA246" s="6" t="e">
        <f t="shared" si="60"/>
        <v>#NUM!</v>
      </c>
      <c r="AB246" s="6"/>
    </row>
    <row r="247" spans="2:28" x14ac:dyDescent="0.4">
      <c r="B247" s="7">
        <v>190</v>
      </c>
      <c r="C247" s="59" t="e">
        <f t="shared" si="51"/>
        <v>#NUM!</v>
      </c>
      <c r="D247" s="6" t="e">
        <f t="shared" si="52"/>
        <v>#NUM!</v>
      </c>
      <c r="E247" s="6" t="e">
        <f t="shared" si="53"/>
        <v>#NUM!</v>
      </c>
      <c r="F247" s="6" t="e">
        <f t="shared" si="54"/>
        <v>#NUM!</v>
      </c>
      <c r="G247" s="6" t="e">
        <f t="shared" si="55"/>
        <v>#NUM!</v>
      </c>
      <c r="H247" s="6"/>
      <c r="I247" s="6"/>
      <c r="V247" s="7">
        <v>190</v>
      </c>
      <c r="W247" s="59" t="e">
        <f t="shared" si="56"/>
        <v>#NUM!</v>
      </c>
      <c r="X247" s="6" t="e">
        <f t="shared" si="57"/>
        <v>#NUM!</v>
      </c>
      <c r="Y247" s="6" t="e">
        <f t="shared" si="58"/>
        <v>#NUM!</v>
      </c>
      <c r="Z247" s="6" t="e">
        <f t="shared" si="59"/>
        <v>#NUM!</v>
      </c>
      <c r="AA247" s="6" t="e">
        <f t="shared" si="60"/>
        <v>#NUM!</v>
      </c>
      <c r="AB247" s="6"/>
    </row>
    <row r="248" spans="2:28" x14ac:dyDescent="0.4">
      <c r="B248" s="7">
        <v>191</v>
      </c>
      <c r="C248" s="59" t="e">
        <f t="shared" si="51"/>
        <v>#NUM!</v>
      </c>
      <c r="D248" s="6" t="e">
        <f t="shared" si="52"/>
        <v>#NUM!</v>
      </c>
      <c r="E248" s="6" t="e">
        <f t="shared" si="53"/>
        <v>#NUM!</v>
      </c>
      <c r="F248" s="6" t="e">
        <f t="shared" si="54"/>
        <v>#NUM!</v>
      </c>
      <c r="G248" s="6" t="e">
        <f t="shared" si="55"/>
        <v>#NUM!</v>
      </c>
      <c r="H248" s="6"/>
      <c r="I248" s="6"/>
      <c r="V248" s="7">
        <v>191</v>
      </c>
      <c r="W248" s="59" t="e">
        <f t="shared" si="56"/>
        <v>#NUM!</v>
      </c>
      <c r="X248" s="6" t="e">
        <f t="shared" si="57"/>
        <v>#NUM!</v>
      </c>
      <c r="Y248" s="6" t="e">
        <f t="shared" si="58"/>
        <v>#NUM!</v>
      </c>
      <c r="Z248" s="6" t="e">
        <f t="shared" si="59"/>
        <v>#NUM!</v>
      </c>
      <c r="AA248" s="6" t="e">
        <f t="shared" si="60"/>
        <v>#NUM!</v>
      </c>
      <c r="AB248" s="6"/>
    </row>
    <row r="249" spans="2:28" x14ac:dyDescent="0.4">
      <c r="B249" s="7">
        <v>192</v>
      </c>
      <c r="C249" s="59" t="e">
        <f t="shared" si="51"/>
        <v>#NUM!</v>
      </c>
      <c r="D249" s="6" t="e">
        <f t="shared" si="52"/>
        <v>#NUM!</v>
      </c>
      <c r="E249" s="6" t="e">
        <f t="shared" si="53"/>
        <v>#NUM!</v>
      </c>
      <c r="F249" s="6" t="e">
        <f t="shared" si="54"/>
        <v>#NUM!</v>
      </c>
      <c r="G249" s="6" t="e">
        <f t="shared" si="55"/>
        <v>#NUM!</v>
      </c>
      <c r="H249" s="6"/>
      <c r="I249" s="6"/>
      <c r="V249" s="7">
        <v>192</v>
      </c>
      <c r="W249" s="59" t="e">
        <f t="shared" si="56"/>
        <v>#NUM!</v>
      </c>
      <c r="X249" s="6" t="e">
        <f t="shared" si="57"/>
        <v>#NUM!</v>
      </c>
      <c r="Y249" s="6" t="e">
        <f t="shared" si="58"/>
        <v>#NUM!</v>
      </c>
      <c r="Z249" s="6" t="e">
        <f t="shared" si="59"/>
        <v>#NUM!</v>
      </c>
      <c r="AA249" s="6" t="e">
        <f t="shared" si="60"/>
        <v>#NUM!</v>
      </c>
      <c r="AB249" s="6"/>
    </row>
    <row r="250" spans="2:28" x14ac:dyDescent="0.4">
      <c r="B250" s="7">
        <v>193</v>
      </c>
      <c r="C250" s="59" t="e">
        <f t="shared" si="51"/>
        <v>#NUM!</v>
      </c>
      <c r="D250" s="6" t="e">
        <f t="shared" si="52"/>
        <v>#NUM!</v>
      </c>
      <c r="E250" s="6" t="e">
        <f t="shared" si="53"/>
        <v>#NUM!</v>
      </c>
      <c r="F250" s="6" t="e">
        <f t="shared" si="54"/>
        <v>#NUM!</v>
      </c>
      <c r="G250" s="6" t="e">
        <f t="shared" si="55"/>
        <v>#NUM!</v>
      </c>
      <c r="H250" s="6"/>
      <c r="I250" s="6"/>
      <c r="V250" s="7">
        <v>193</v>
      </c>
      <c r="W250" s="59" t="e">
        <f t="shared" si="56"/>
        <v>#NUM!</v>
      </c>
      <c r="X250" s="6" t="e">
        <f t="shared" si="57"/>
        <v>#NUM!</v>
      </c>
      <c r="Y250" s="6" t="e">
        <f t="shared" si="58"/>
        <v>#NUM!</v>
      </c>
      <c r="Z250" s="6" t="e">
        <f t="shared" si="59"/>
        <v>#NUM!</v>
      </c>
      <c r="AA250" s="6" t="e">
        <f t="shared" si="60"/>
        <v>#NUM!</v>
      </c>
      <c r="AB250" s="6"/>
    </row>
    <row r="251" spans="2:28" x14ac:dyDescent="0.4">
      <c r="B251" s="7">
        <v>194</v>
      </c>
      <c r="C251" s="59" t="e">
        <f t="shared" ref="C251:C314" si="61">G250</f>
        <v>#NUM!</v>
      </c>
      <c r="D251" s="6" t="e">
        <f t="shared" ref="D251:D314" si="62">-PMT($D$7/12,$D$9*12,$D$6,,)</f>
        <v>#NUM!</v>
      </c>
      <c r="E251" s="6" t="e">
        <f t="shared" ref="E251:E314" si="63">C251*$D$7/12</f>
        <v>#NUM!</v>
      </c>
      <c r="F251" s="6" t="e">
        <f t="shared" ref="F251:F314" si="64">D251-E251</f>
        <v>#NUM!</v>
      </c>
      <c r="G251" s="6" t="e">
        <f t="shared" ref="G251:G314" si="65">C251-F251</f>
        <v>#NUM!</v>
      </c>
      <c r="H251" s="6"/>
      <c r="I251" s="6"/>
      <c r="V251" s="7">
        <v>194</v>
      </c>
      <c r="W251" s="59" t="e">
        <f t="shared" ref="W251:W314" si="66">AA250</f>
        <v>#NUM!</v>
      </c>
      <c r="X251" s="6" t="e">
        <f t="shared" ref="X251:X314" si="67">-PMT($X$7/12,$X$9*12,$X$6,,)</f>
        <v>#NUM!</v>
      </c>
      <c r="Y251" s="6" t="e">
        <f t="shared" ref="Y251:Y314" si="68">W251*$X$7/12</f>
        <v>#NUM!</v>
      </c>
      <c r="Z251" s="6" t="e">
        <f t="shared" ref="Z251:Z314" si="69">X251-Y251</f>
        <v>#NUM!</v>
      </c>
      <c r="AA251" s="6" t="e">
        <f t="shared" ref="AA251:AA314" si="70">W251-Z251</f>
        <v>#NUM!</v>
      </c>
      <c r="AB251" s="6"/>
    </row>
    <row r="252" spans="2:28" x14ac:dyDescent="0.4">
      <c r="B252" s="7">
        <v>195</v>
      </c>
      <c r="C252" s="59" t="e">
        <f t="shared" si="61"/>
        <v>#NUM!</v>
      </c>
      <c r="D252" s="6" t="e">
        <f t="shared" si="62"/>
        <v>#NUM!</v>
      </c>
      <c r="E252" s="6" t="e">
        <f t="shared" si="63"/>
        <v>#NUM!</v>
      </c>
      <c r="F252" s="6" t="e">
        <f t="shared" si="64"/>
        <v>#NUM!</v>
      </c>
      <c r="G252" s="6" t="e">
        <f t="shared" si="65"/>
        <v>#NUM!</v>
      </c>
      <c r="H252" s="6"/>
      <c r="I252" s="6"/>
      <c r="V252" s="7">
        <v>195</v>
      </c>
      <c r="W252" s="59" t="e">
        <f t="shared" si="66"/>
        <v>#NUM!</v>
      </c>
      <c r="X252" s="6" t="e">
        <f t="shared" si="67"/>
        <v>#NUM!</v>
      </c>
      <c r="Y252" s="6" t="e">
        <f t="shared" si="68"/>
        <v>#NUM!</v>
      </c>
      <c r="Z252" s="6" t="e">
        <f t="shared" si="69"/>
        <v>#NUM!</v>
      </c>
      <c r="AA252" s="6" t="e">
        <f t="shared" si="70"/>
        <v>#NUM!</v>
      </c>
      <c r="AB252" s="6"/>
    </row>
    <row r="253" spans="2:28" x14ac:dyDescent="0.4">
      <c r="B253" s="7">
        <v>196</v>
      </c>
      <c r="C253" s="59" t="e">
        <f t="shared" si="61"/>
        <v>#NUM!</v>
      </c>
      <c r="D253" s="6" t="e">
        <f t="shared" si="62"/>
        <v>#NUM!</v>
      </c>
      <c r="E253" s="6" t="e">
        <f t="shared" si="63"/>
        <v>#NUM!</v>
      </c>
      <c r="F253" s="6" t="e">
        <f t="shared" si="64"/>
        <v>#NUM!</v>
      </c>
      <c r="G253" s="6" t="e">
        <f t="shared" si="65"/>
        <v>#NUM!</v>
      </c>
      <c r="H253" s="6"/>
      <c r="I253" s="6"/>
      <c r="V253" s="7">
        <v>196</v>
      </c>
      <c r="W253" s="59" t="e">
        <f t="shared" si="66"/>
        <v>#NUM!</v>
      </c>
      <c r="X253" s="6" t="e">
        <f t="shared" si="67"/>
        <v>#NUM!</v>
      </c>
      <c r="Y253" s="6" t="e">
        <f t="shared" si="68"/>
        <v>#NUM!</v>
      </c>
      <c r="Z253" s="6" t="e">
        <f t="shared" si="69"/>
        <v>#NUM!</v>
      </c>
      <c r="AA253" s="6" t="e">
        <f t="shared" si="70"/>
        <v>#NUM!</v>
      </c>
      <c r="AB253" s="6"/>
    </row>
    <row r="254" spans="2:28" x14ac:dyDescent="0.4">
      <c r="B254" s="7">
        <v>197</v>
      </c>
      <c r="C254" s="59" t="e">
        <f t="shared" si="61"/>
        <v>#NUM!</v>
      </c>
      <c r="D254" s="6" t="e">
        <f t="shared" si="62"/>
        <v>#NUM!</v>
      </c>
      <c r="E254" s="6" t="e">
        <f t="shared" si="63"/>
        <v>#NUM!</v>
      </c>
      <c r="F254" s="6" t="e">
        <f t="shared" si="64"/>
        <v>#NUM!</v>
      </c>
      <c r="G254" s="6" t="e">
        <f t="shared" si="65"/>
        <v>#NUM!</v>
      </c>
      <c r="H254" s="6"/>
      <c r="I254" s="6"/>
      <c r="V254" s="7">
        <v>197</v>
      </c>
      <c r="W254" s="59" t="e">
        <f t="shared" si="66"/>
        <v>#NUM!</v>
      </c>
      <c r="X254" s="6" t="e">
        <f t="shared" si="67"/>
        <v>#NUM!</v>
      </c>
      <c r="Y254" s="6" t="e">
        <f t="shared" si="68"/>
        <v>#NUM!</v>
      </c>
      <c r="Z254" s="6" t="e">
        <f t="shared" si="69"/>
        <v>#NUM!</v>
      </c>
      <c r="AA254" s="6" t="e">
        <f t="shared" si="70"/>
        <v>#NUM!</v>
      </c>
      <c r="AB254" s="6"/>
    </row>
    <row r="255" spans="2:28" x14ac:dyDescent="0.4">
      <c r="B255" s="7">
        <v>198</v>
      </c>
      <c r="C255" s="59" t="e">
        <f t="shared" si="61"/>
        <v>#NUM!</v>
      </c>
      <c r="D255" s="6" t="e">
        <f t="shared" si="62"/>
        <v>#NUM!</v>
      </c>
      <c r="E255" s="6" t="e">
        <f t="shared" si="63"/>
        <v>#NUM!</v>
      </c>
      <c r="F255" s="6" t="e">
        <f t="shared" si="64"/>
        <v>#NUM!</v>
      </c>
      <c r="G255" s="6" t="e">
        <f t="shared" si="65"/>
        <v>#NUM!</v>
      </c>
      <c r="H255" s="6"/>
      <c r="I255" s="6"/>
      <c r="V255" s="7">
        <v>198</v>
      </c>
      <c r="W255" s="59" t="e">
        <f t="shared" si="66"/>
        <v>#NUM!</v>
      </c>
      <c r="X255" s="6" t="e">
        <f t="shared" si="67"/>
        <v>#NUM!</v>
      </c>
      <c r="Y255" s="6" t="e">
        <f t="shared" si="68"/>
        <v>#NUM!</v>
      </c>
      <c r="Z255" s="6" t="e">
        <f t="shared" si="69"/>
        <v>#NUM!</v>
      </c>
      <c r="AA255" s="6" t="e">
        <f t="shared" si="70"/>
        <v>#NUM!</v>
      </c>
      <c r="AB255" s="6"/>
    </row>
    <row r="256" spans="2:28" x14ac:dyDescent="0.4">
      <c r="B256" s="7">
        <v>199</v>
      </c>
      <c r="C256" s="59" t="e">
        <f t="shared" si="61"/>
        <v>#NUM!</v>
      </c>
      <c r="D256" s="6" t="e">
        <f t="shared" si="62"/>
        <v>#NUM!</v>
      </c>
      <c r="E256" s="6" t="e">
        <f t="shared" si="63"/>
        <v>#NUM!</v>
      </c>
      <c r="F256" s="6" t="e">
        <f t="shared" si="64"/>
        <v>#NUM!</v>
      </c>
      <c r="G256" s="6" t="e">
        <f t="shared" si="65"/>
        <v>#NUM!</v>
      </c>
      <c r="H256" s="6"/>
      <c r="I256" s="6"/>
      <c r="V256" s="7">
        <v>199</v>
      </c>
      <c r="W256" s="59" t="e">
        <f t="shared" si="66"/>
        <v>#NUM!</v>
      </c>
      <c r="X256" s="6" t="e">
        <f t="shared" si="67"/>
        <v>#NUM!</v>
      </c>
      <c r="Y256" s="6" t="e">
        <f t="shared" si="68"/>
        <v>#NUM!</v>
      </c>
      <c r="Z256" s="6" t="e">
        <f t="shared" si="69"/>
        <v>#NUM!</v>
      </c>
      <c r="AA256" s="6" t="e">
        <f t="shared" si="70"/>
        <v>#NUM!</v>
      </c>
      <c r="AB256" s="6"/>
    </row>
    <row r="257" spans="2:28" x14ac:dyDescent="0.4">
      <c r="B257" s="7">
        <v>200</v>
      </c>
      <c r="C257" s="59" t="e">
        <f t="shared" si="61"/>
        <v>#NUM!</v>
      </c>
      <c r="D257" s="6" t="e">
        <f t="shared" si="62"/>
        <v>#NUM!</v>
      </c>
      <c r="E257" s="6" t="e">
        <f t="shared" si="63"/>
        <v>#NUM!</v>
      </c>
      <c r="F257" s="6" t="e">
        <f t="shared" si="64"/>
        <v>#NUM!</v>
      </c>
      <c r="G257" s="6" t="e">
        <f t="shared" si="65"/>
        <v>#NUM!</v>
      </c>
      <c r="H257" s="6"/>
      <c r="I257" s="6"/>
      <c r="V257" s="7">
        <v>200</v>
      </c>
      <c r="W257" s="59" t="e">
        <f t="shared" si="66"/>
        <v>#NUM!</v>
      </c>
      <c r="X257" s="6" t="e">
        <f t="shared" si="67"/>
        <v>#NUM!</v>
      </c>
      <c r="Y257" s="6" t="e">
        <f t="shared" si="68"/>
        <v>#NUM!</v>
      </c>
      <c r="Z257" s="6" t="e">
        <f t="shared" si="69"/>
        <v>#NUM!</v>
      </c>
      <c r="AA257" s="6" t="e">
        <f t="shared" si="70"/>
        <v>#NUM!</v>
      </c>
      <c r="AB257" s="6"/>
    </row>
    <row r="258" spans="2:28" x14ac:dyDescent="0.4">
      <c r="B258" s="7">
        <v>201</v>
      </c>
      <c r="C258" s="59" t="e">
        <f t="shared" si="61"/>
        <v>#NUM!</v>
      </c>
      <c r="D258" s="6" t="e">
        <f t="shared" si="62"/>
        <v>#NUM!</v>
      </c>
      <c r="E258" s="6" t="e">
        <f t="shared" si="63"/>
        <v>#NUM!</v>
      </c>
      <c r="F258" s="6" t="e">
        <f t="shared" si="64"/>
        <v>#NUM!</v>
      </c>
      <c r="G258" s="6" t="e">
        <f t="shared" si="65"/>
        <v>#NUM!</v>
      </c>
      <c r="H258" s="6"/>
      <c r="I258" s="6"/>
      <c r="V258" s="7">
        <v>201</v>
      </c>
      <c r="W258" s="59" t="e">
        <f t="shared" si="66"/>
        <v>#NUM!</v>
      </c>
      <c r="X258" s="6" t="e">
        <f t="shared" si="67"/>
        <v>#NUM!</v>
      </c>
      <c r="Y258" s="6" t="e">
        <f t="shared" si="68"/>
        <v>#NUM!</v>
      </c>
      <c r="Z258" s="6" t="e">
        <f t="shared" si="69"/>
        <v>#NUM!</v>
      </c>
      <c r="AA258" s="6" t="e">
        <f t="shared" si="70"/>
        <v>#NUM!</v>
      </c>
      <c r="AB258" s="6"/>
    </row>
    <row r="259" spans="2:28" x14ac:dyDescent="0.4">
      <c r="B259" s="7">
        <v>202</v>
      </c>
      <c r="C259" s="59" t="e">
        <f t="shared" si="61"/>
        <v>#NUM!</v>
      </c>
      <c r="D259" s="6" t="e">
        <f t="shared" si="62"/>
        <v>#NUM!</v>
      </c>
      <c r="E259" s="6" t="e">
        <f t="shared" si="63"/>
        <v>#NUM!</v>
      </c>
      <c r="F259" s="6" t="e">
        <f t="shared" si="64"/>
        <v>#NUM!</v>
      </c>
      <c r="G259" s="6" t="e">
        <f t="shared" si="65"/>
        <v>#NUM!</v>
      </c>
      <c r="H259" s="6"/>
      <c r="I259" s="6"/>
      <c r="V259" s="7">
        <v>202</v>
      </c>
      <c r="W259" s="59" t="e">
        <f t="shared" si="66"/>
        <v>#NUM!</v>
      </c>
      <c r="X259" s="6" t="e">
        <f t="shared" si="67"/>
        <v>#NUM!</v>
      </c>
      <c r="Y259" s="6" t="e">
        <f t="shared" si="68"/>
        <v>#NUM!</v>
      </c>
      <c r="Z259" s="6" t="e">
        <f t="shared" si="69"/>
        <v>#NUM!</v>
      </c>
      <c r="AA259" s="6" t="e">
        <f t="shared" si="70"/>
        <v>#NUM!</v>
      </c>
      <c r="AB259" s="6"/>
    </row>
    <row r="260" spans="2:28" x14ac:dyDescent="0.4">
      <c r="B260" s="7">
        <v>203</v>
      </c>
      <c r="C260" s="59" t="e">
        <f t="shared" si="61"/>
        <v>#NUM!</v>
      </c>
      <c r="D260" s="6" t="e">
        <f t="shared" si="62"/>
        <v>#NUM!</v>
      </c>
      <c r="E260" s="6" t="e">
        <f t="shared" si="63"/>
        <v>#NUM!</v>
      </c>
      <c r="F260" s="6" t="e">
        <f t="shared" si="64"/>
        <v>#NUM!</v>
      </c>
      <c r="G260" s="6" t="e">
        <f t="shared" si="65"/>
        <v>#NUM!</v>
      </c>
      <c r="H260" s="6"/>
      <c r="I260" s="6"/>
      <c r="V260" s="7">
        <v>203</v>
      </c>
      <c r="W260" s="59" t="e">
        <f t="shared" si="66"/>
        <v>#NUM!</v>
      </c>
      <c r="X260" s="6" t="e">
        <f t="shared" si="67"/>
        <v>#NUM!</v>
      </c>
      <c r="Y260" s="6" t="e">
        <f t="shared" si="68"/>
        <v>#NUM!</v>
      </c>
      <c r="Z260" s="6" t="e">
        <f t="shared" si="69"/>
        <v>#NUM!</v>
      </c>
      <c r="AA260" s="6" t="e">
        <f t="shared" si="70"/>
        <v>#NUM!</v>
      </c>
      <c r="AB260" s="6"/>
    </row>
    <row r="261" spans="2:28" x14ac:dyDescent="0.4">
      <c r="B261" s="7">
        <v>204</v>
      </c>
      <c r="C261" s="59" t="e">
        <f t="shared" si="61"/>
        <v>#NUM!</v>
      </c>
      <c r="D261" s="6" t="e">
        <f t="shared" si="62"/>
        <v>#NUM!</v>
      </c>
      <c r="E261" s="6" t="e">
        <f t="shared" si="63"/>
        <v>#NUM!</v>
      </c>
      <c r="F261" s="6" t="e">
        <f t="shared" si="64"/>
        <v>#NUM!</v>
      </c>
      <c r="G261" s="6" t="e">
        <f t="shared" si="65"/>
        <v>#NUM!</v>
      </c>
      <c r="H261" s="6"/>
      <c r="I261" s="6"/>
      <c r="V261" s="7">
        <v>204</v>
      </c>
      <c r="W261" s="59" t="e">
        <f t="shared" si="66"/>
        <v>#NUM!</v>
      </c>
      <c r="X261" s="6" t="e">
        <f t="shared" si="67"/>
        <v>#NUM!</v>
      </c>
      <c r="Y261" s="6" t="e">
        <f t="shared" si="68"/>
        <v>#NUM!</v>
      </c>
      <c r="Z261" s="6" t="e">
        <f t="shared" si="69"/>
        <v>#NUM!</v>
      </c>
      <c r="AA261" s="6" t="e">
        <f t="shared" si="70"/>
        <v>#NUM!</v>
      </c>
      <c r="AB261" s="6"/>
    </row>
    <row r="262" spans="2:28" x14ac:dyDescent="0.4">
      <c r="B262" s="7">
        <v>205</v>
      </c>
      <c r="C262" s="59" t="e">
        <f t="shared" si="61"/>
        <v>#NUM!</v>
      </c>
      <c r="D262" s="6" t="e">
        <f t="shared" si="62"/>
        <v>#NUM!</v>
      </c>
      <c r="E262" s="6" t="e">
        <f t="shared" si="63"/>
        <v>#NUM!</v>
      </c>
      <c r="F262" s="6" t="e">
        <f t="shared" si="64"/>
        <v>#NUM!</v>
      </c>
      <c r="G262" s="6" t="e">
        <f t="shared" si="65"/>
        <v>#NUM!</v>
      </c>
      <c r="H262" s="6"/>
      <c r="I262" s="6"/>
      <c r="V262" s="7">
        <v>205</v>
      </c>
      <c r="W262" s="59" t="e">
        <f t="shared" si="66"/>
        <v>#NUM!</v>
      </c>
      <c r="X262" s="6" t="e">
        <f t="shared" si="67"/>
        <v>#NUM!</v>
      </c>
      <c r="Y262" s="6" t="e">
        <f t="shared" si="68"/>
        <v>#NUM!</v>
      </c>
      <c r="Z262" s="6" t="e">
        <f t="shared" si="69"/>
        <v>#NUM!</v>
      </c>
      <c r="AA262" s="6" t="e">
        <f t="shared" si="70"/>
        <v>#NUM!</v>
      </c>
      <c r="AB262" s="6"/>
    </row>
    <row r="263" spans="2:28" x14ac:dyDescent="0.4">
      <c r="B263" s="7">
        <v>206</v>
      </c>
      <c r="C263" s="59" t="e">
        <f t="shared" si="61"/>
        <v>#NUM!</v>
      </c>
      <c r="D263" s="6" t="e">
        <f t="shared" si="62"/>
        <v>#NUM!</v>
      </c>
      <c r="E263" s="6" t="e">
        <f t="shared" si="63"/>
        <v>#NUM!</v>
      </c>
      <c r="F263" s="6" t="e">
        <f t="shared" si="64"/>
        <v>#NUM!</v>
      </c>
      <c r="G263" s="6" t="e">
        <f t="shared" si="65"/>
        <v>#NUM!</v>
      </c>
      <c r="H263" s="6"/>
      <c r="I263" s="6"/>
      <c r="V263" s="7">
        <v>206</v>
      </c>
      <c r="W263" s="59" t="e">
        <f t="shared" si="66"/>
        <v>#NUM!</v>
      </c>
      <c r="X263" s="6" t="e">
        <f t="shared" si="67"/>
        <v>#NUM!</v>
      </c>
      <c r="Y263" s="6" t="e">
        <f t="shared" si="68"/>
        <v>#NUM!</v>
      </c>
      <c r="Z263" s="6" t="e">
        <f t="shared" si="69"/>
        <v>#NUM!</v>
      </c>
      <c r="AA263" s="6" t="e">
        <f t="shared" si="70"/>
        <v>#NUM!</v>
      </c>
      <c r="AB263" s="6"/>
    </row>
    <row r="264" spans="2:28" x14ac:dyDescent="0.4">
      <c r="B264" s="7">
        <v>207</v>
      </c>
      <c r="C264" s="59" t="e">
        <f t="shared" si="61"/>
        <v>#NUM!</v>
      </c>
      <c r="D264" s="6" t="e">
        <f t="shared" si="62"/>
        <v>#NUM!</v>
      </c>
      <c r="E264" s="6" t="e">
        <f t="shared" si="63"/>
        <v>#NUM!</v>
      </c>
      <c r="F264" s="6" t="e">
        <f t="shared" si="64"/>
        <v>#NUM!</v>
      </c>
      <c r="G264" s="6" t="e">
        <f t="shared" si="65"/>
        <v>#NUM!</v>
      </c>
      <c r="H264" s="6"/>
      <c r="I264" s="6"/>
      <c r="V264" s="7">
        <v>207</v>
      </c>
      <c r="W264" s="59" t="e">
        <f t="shared" si="66"/>
        <v>#NUM!</v>
      </c>
      <c r="X264" s="6" t="e">
        <f t="shared" si="67"/>
        <v>#NUM!</v>
      </c>
      <c r="Y264" s="6" t="e">
        <f t="shared" si="68"/>
        <v>#NUM!</v>
      </c>
      <c r="Z264" s="6" t="e">
        <f t="shared" si="69"/>
        <v>#NUM!</v>
      </c>
      <c r="AA264" s="6" t="e">
        <f t="shared" si="70"/>
        <v>#NUM!</v>
      </c>
      <c r="AB264" s="6"/>
    </row>
    <row r="265" spans="2:28" x14ac:dyDescent="0.4">
      <c r="B265" s="7">
        <v>208</v>
      </c>
      <c r="C265" s="59" t="e">
        <f t="shared" si="61"/>
        <v>#NUM!</v>
      </c>
      <c r="D265" s="6" t="e">
        <f t="shared" si="62"/>
        <v>#NUM!</v>
      </c>
      <c r="E265" s="6" t="e">
        <f t="shared" si="63"/>
        <v>#NUM!</v>
      </c>
      <c r="F265" s="6" t="e">
        <f t="shared" si="64"/>
        <v>#NUM!</v>
      </c>
      <c r="G265" s="6" t="e">
        <f t="shared" si="65"/>
        <v>#NUM!</v>
      </c>
      <c r="H265" s="6"/>
      <c r="I265" s="6"/>
      <c r="V265" s="7">
        <v>208</v>
      </c>
      <c r="W265" s="59" t="e">
        <f t="shared" si="66"/>
        <v>#NUM!</v>
      </c>
      <c r="X265" s="6" t="e">
        <f t="shared" si="67"/>
        <v>#NUM!</v>
      </c>
      <c r="Y265" s="6" t="e">
        <f t="shared" si="68"/>
        <v>#NUM!</v>
      </c>
      <c r="Z265" s="6" t="e">
        <f t="shared" si="69"/>
        <v>#NUM!</v>
      </c>
      <c r="AA265" s="6" t="e">
        <f t="shared" si="70"/>
        <v>#NUM!</v>
      </c>
      <c r="AB265" s="6"/>
    </row>
    <row r="266" spans="2:28" x14ac:dyDescent="0.4">
      <c r="B266" s="7">
        <v>209</v>
      </c>
      <c r="C266" s="59" t="e">
        <f t="shared" si="61"/>
        <v>#NUM!</v>
      </c>
      <c r="D266" s="6" t="e">
        <f t="shared" si="62"/>
        <v>#NUM!</v>
      </c>
      <c r="E266" s="6" t="e">
        <f t="shared" si="63"/>
        <v>#NUM!</v>
      </c>
      <c r="F266" s="6" t="e">
        <f t="shared" si="64"/>
        <v>#NUM!</v>
      </c>
      <c r="G266" s="6" t="e">
        <f t="shared" si="65"/>
        <v>#NUM!</v>
      </c>
      <c r="H266" s="6"/>
      <c r="I266" s="6"/>
      <c r="V266" s="7">
        <v>209</v>
      </c>
      <c r="W266" s="59" t="e">
        <f t="shared" si="66"/>
        <v>#NUM!</v>
      </c>
      <c r="X266" s="6" t="e">
        <f t="shared" si="67"/>
        <v>#NUM!</v>
      </c>
      <c r="Y266" s="6" t="e">
        <f t="shared" si="68"/>
        <v>#NUM!</v>
      </c>
      <c r="Z266" s="6" t="e">
        <f t="shared" si="69"/>
        <v>#NUM!</v>
      </c>
      <c r="AA266" s="6" t="e">
        <f t="shared" si="70"/>
        <v>#NUM!</v>
      </c>
      <c r="AB266" s="6"/>
    </row>
    <row r="267" spans="2:28" x14ac:dyDescent="0.4">
      <c r="B267" s="7">
        <v>210</v>
      </c>
      <c r="C267" s="59" t="e">
        <f t="shared" si="61"/>
        <v>#NUM!</v>
      </c>
      <c r="D267" s="6" t="e">
        <f t="shared" si="62"/>
        <v>#NUM!</v>
      </c>
      <c r="E267" s="6" t="e">
        <f t="shared" si="63"/>
        <v>#NUM!</v>
      </c>
      <c r="F267" s="6" t="e">
        <f t="shared" si="64"/>
        <v>#NUM!</v>
      </c>
      <c r="G267" s="6" t="e">
        <f t="shared" si="65"/>
        <v>#NUM!</v>
      </c>
      <c r="H267" s="6"/>
      <c r="I267" s="6"/>
      <c r="V267" s="7">
        <v>210</v>
      </c>
      <c r="W267" s="59" t="e">
        <f t="shared" si="66"/>
        <v>#NUM!</v>
      </c>
      <c r="X267" s="6" t="e">
        <f t="shared" si="67"/>
        <v>#NUM!</v>
      </c>
      <c r="Y267" s="6" t="e">
        <f t="shared" si="68"/>
        <v>#NUM!</v>
      </c>
      <c r="Z267" s="6" t="e">
        <f t="shared" si="69"/>
        <v>#NUM!</v>
      </c>
      <c r="AA267" s="6" t="e">
        <f t="shared" si="70"/>
        <v>#NUM!</v>
      </c>
      <c r="AB267" s="6"/>
    </row>
    <row r="268" spans="2:28" x14ac:dyDescent="0.4">
      <c r="B268" s="7">
        <v>211</v>
      </c>
      <c r="C268" s="59" t="e">
        <f t="shared" si="61"/>
        <v>#NUM!</v>
      </c>
      <c r="D268" s="6" t="e">
        <f t="shared" si="62"/>
        <v>#NUM!</v>
      </c>
      <c r="E268" s="6" t="e">
        <f t="shared" si="63"/>
        <v>#NUM!</v>
      </c>
      <c r="F268" s="6" t="e">
        <f t="shared" si="64"/>
        <v>#NUM!</v>
      </c>
      <c r="G268" s="6" t="e">
        <f t="shared" si="65"/>
        <v>#NUM!</v>
      </c>
      <c r="H268" s="6"/>
      <c r="I268" s="6"/>
      <c r="V268" s="7">
        <v>211</v>
      </c>
      <c r="W268" s="59" t="e">
        <f t="shared" si="66"/>
        <v>#NUM!</v>
      </c>
      <c r="X268" s="6" t="e">
        <f t="shared" si="67"/>
        <v>#NUM!</v>
      </c>
      <c r="Y268" s="6" t="e">
        <f t="shared" si="68"/>
        <v>#NUM!</v>
      </c>
      <c r="Z268" s="6" t="e">
        <f t="shared" si="69"/>
        <v>#NUM!</v>
      </c>
      <c r="AA268" s="6" t="e">
        <f t="shared" si="70"/>
        <v>#NUM!</v>
      </c>
      <c r="AB268" s="6"/>
    </row>
    <row r="269" spans="2:28" x14ac:dyDescent="0.4">
      <c r="B269" s="7">
        <v>212</v>
      </c>
      <c r="C269" s="59" t="e">
        <f t="shared" si="61"/>
        <v>#NUM!</v>
      </c>
      <c r="D269" s="6" t="e">
        <f t="shared" si="62"/>
        <v>#NUM!</v>
      </c>
      <c r="E269" s="6" t="e">
        <f t="shared" si="63"/>
        <v>#NUM!</v>
      </c>
      <c r="F269" s="6" t="e">
        <f t="shared" si="64"/>
        <v>#NUM!</v>
      </c>
      <c r="G269" s="6" t="e">
        <f t="shared" si="65"/>
        <v>#NUM!</v>
      </c>
      <c r="H269" s="6"/>
      <c r="I269" s="6"/>
      <c r="V269" s="7">
        <v>212</v>
      </c>
      <c r="W269" s="59" t="e">
        <f t="shared" si="66"/>
        <v>#NUM!</v>
      </c>
      <c r="X269" s="6" t="e">
        <f t="shared" si="67"/>
        <v>#NUM!</v>
      </c>
      <c r="Y269" s="6" t="e">
        <f t="shared" si="68"/>
        <v>#NUM!</v>
      </c>
      <c r="Z269" s="6" t="e">
        <f t="shared" si="69"/>
        <v>#NUM!</v>
      </c>
      <c r="AA269" s="6" t="e">
        <f t="shared" si="70"/>
        <v>#NUM!</v>
      </c>
      <c r="AB269" s="6"/>
    </row>
    <row r="270" spans="2:28" x14ac:dyDescent="0.4">
      <c r="B270" s="7">
        <v>213</v>
      </c>
      <c r="C270" s="59" t="e">
        <f t="shared" si="61"/>
        <v>#NUM!</v>
      </c>
      <c r="D270" s="6" t="e">
        <f t="shared" si="62"/>
        <v>#NUM!</v>
      </c>
      <c r="E270" s="6" t="e">
        <f t="shared" si="63"/>
        <v>#NUM!</v>
      </c>
      <c r="F270" s="6" t="e">
        <f t="shared" si="64"/>
        <v>#NUM!</v>
      </c>
      <c r="G270" s="6" t="e">
        <f t="shared" si="65"/>
        <v>#NUM!</v>
      </c>
      <c r="H270" s="6"/>
      <c r="I270" s="6"/>
      <c r="V270" s="7">
        <v>213</v>
      </c>
      <c r="W270" s="59" t="e">
        <f t="shared" si="66"/>
        <v>#NUM!</v>
      </c>
      <c r="X270" s="6" t="e">
        <f t="shared" si="67"/>
        <v>#NUM!</v>
      </c>
      <c r="Y270" s="6" t="e">
        <f t="shared" si="68"/>
        <v>#NUM!</v>
      </c>
      <c r="Z270" s="6" t="e">
        <f t="shared" si="69"/>
        <v>#NUM!</v>
      </c>
      <c r="AA270" s="6" t="e">
        <f t="shared" si="70"/>
        <v>#NUM!</v>
      </c>
      <c r="AB270" s="6"/>
    </row>
    <row r="271" spans="2:28" x14ac:dyDescent="0.4">
      <c r="B271" s="7">
        <v>214</v>
      </c>
      <c r="C271" s="59" t="e">
        <f t="shared" si="61"/>
        <v>#NUM!</v>
      </c>
      <c r="D271" s="6" t="e">
        <f t="shared" si="62"/>
        <v>#NUM!</v>
      </c>
      <c r="E271" s="6" t="e">
        <f t="shared" si="63"/>
        <v>#NUM!</v>
      </c>
      <c r="F271" s="6" t="e">
        <f t="shared" si="64"/>
        <v>#NUM!</v>
      </c>
      <c r="G271" s="6" t="e">
        <f t="shared" si="65"/>
        <v>#NUM!</v>
      </c>
      <c r="H271" s="6"/>
      <c r="I271" s="6"/>
      <c r="V271" s="7">
        <v>214</v>
      </c>
      <c r="W271" s="59" t="e">
        <f t="shared" si="66"/>
        <v>#NUM!</v>
      </c>
      <c r="X271" s="6" t="e">
        <f t="shared" si="67"/>
        <v>#NUM!</v>
      </c>
      <c r="Y271" s="6" t="e">
        <f t="shared" si="68"/>
        <v>#NUM!</v>
      </c>
      <c r="Z271" s="6" t="e">
        <f t="shared" si="69"/>
        <v>#NUM!</v>
      </c>
      <c r="AA271" s="6" t="e">
        <f t="shared" si="70"/>
        <v>#NUM!</v>
      </c>
      <c r="AB271" s="6"/>
    </row>
    <row r="272" spans="2:28" x14ac:dyDescent="0.4">
      <c r="B272" s="7">
        <v>215</v>
      </c>
      <c r="C272" s="59" t="e">
        <f t="shared" si="61"/>
        <v>#NUM!</v>
      </c>
      <c r="D272" s="6" t="e">
        <f t="shared" si="62"/>
        <v>#NUM!</v>
      </c>
      <c r="E272" s="6" t="e">
        <f t="shared" si="63"/>
        <v>#NUM!</v>
      </c>
      <c r="F272" s="6" t="e">
        <f t="shared" si="64"/>
        <v>#NUM!</v>
      </c>
      <c r="G272" s="6" t="e">
        <f t="shared" si="65"/>
        <v>#NUM!</v>
      </c>
      <c r="H272" s="6"/>
      <c r="I272" s="6"/>
      <c r="V272" s="7">
        <v>215</v>
      </c>
      <c r="W272" s="59" t="e">
        <f t="shared" si="66"/>
        <v>#NUM!</v>
      </c>
      <c r="X272" s="6" t="e">
        <f t="shared" si="67"/>
        <v>#NUM!</v>
      </c>
      <c r="Y272" s="6" t="e">
        <f t="shared" si="68"/>
        <v>#NUM!</v>
      </c>
      <c r="Z272" s="6" t="e">
        <f t="shared" si="69"/>
        <v>#NUM!</v>
      </c>
      <c r="AA272" s="6" t="e">
        <f t="shared" si="70"/>
        <v>#NUM!</v>
      </c>
      <c r="AB272" s="6"/>
    </row>
    <row r="273" spans="2:28" x14ac:dyDescent="0.4">
      <c r="B273" s="7">
        <v>216</v>
      </c>
      <c r="C273" s="59" t="e">
        <f t="shared" si="61"/>
        <v>#NUM!</v>
      </c>
      <c r="D273" s="6" t="e">
        <f t="shared" si="62"/>
        <v>#NUM!</v>
      </c>
      <c r="E273" s="6" t="e">
        <f t="shared" si="63"/>
        <v>#NUM!</v>
      </c>
      <c r="F273" s="6" t="e">
        <f t="shared" si="64"/>
        <v>#NUM!</v>
      </c>
      <c r="G273" s="6" t="e">
        <f t="shared" si="65"/>
        <v>#NUM!</v>
      </c>
      <c r="H273" s="6"/>
      <c r="I273" s="6"/>
      <c r="V273" s="7">
        <v>216</v>
      </c>
      <c r="W273" s="59" t="e">
        <f t="shared" si="66"/>
        <v>#NUM!</v>
      </c>
      <c r="X273" s="6" t="e">
        <f t="shared" si="67"/>
        <v>#NUM!</v>
      </c>
      <c r="Y273" s="6" t="e">
        <f t="shared" si="68"/>
        <v>#NUM!</v>
      </c>
      <c r="Z273" s="6" t="e">
        <f t="shared" si="69"/>
        <v>#NUM!</v>
      </c>
      <c r="AA273" s="6" t="e">
        <f t="shared" si="70"/>
        <v>#NUM!</v>
      </c>
      <c r="AB273" s="6"/>
    </row>
    <row r="274" spans="2:28" x14ac:dyDescent="0.4">
      <c r="B274" s="7">
        <v>217</v>
      </c>
      <c r="C274" s="59" t="e">
        <f t="shared" si="61"/>
        <v>#NUM!</v>
      </c>
      <c r="D274" s="6" t="e">
        <f t="shared" si="62"/>
        <v>#NUM!</v>
      </c>
      <c r="E274" s="6" t="e">
        <f t="shared" si="63"/>
        <v>#NUM!</v>
      </c>
      <c r="F274" s="6" t="e">
        <f t="shared" si="64"/>
        <v>#NUM!</v>
      </c>
      <c r="G274" s="6" t="e">
        <f t="shared" si="65"/>
        <v>#NUM!</v>
      </c>
      <c r="H274" s="6"/>
      <c r="I274" s="6"/>
      <c r="V274" s="7">
        <v>217</v>
      </c>
      <c r="W274" s="59" t="e">
        <f t="shared" si="66"/>
        <v>#NUM!</v>
      </c>
      <c r="X274" s="6" t="e">
        <f t="shared" si="67"/>
        <v>#NUM!</v>
      </c>
      <c r="Y274" s="6" t="e">
        <f t="shared" si="68"/>
        <v>#NUM!</v>
      </c>
      <c r="Z274" s="6" t="e">
        <f t="shared" si="69"/>
        <v>#NUM!</v>
      </c>
      <c r="AA274" s="6" t="e">
        <f t="shared" si="70"/>
        <v>#NUM!</v>
      </c>
      <c r="AB274" s="6"/>
    </row>
    <row r="275" spans="2:28" x14ac:dyDescent="0.4">
      <c r="B275" s="7">
        <v>218</v>
      </c>
      <c r="C275" s="59" t="e">
        <f t="shared" si="61"/>
        <v>#NUM!</v>
      </c>
      <c r="D275" s="6" t="e">
        <f t="shared" si="62"/>
        <v>#NUM!</v>
      </c>
      <c r="E275" s="6" t="e">
        <f t="shared" si="63"/>
        <v>#NUM!</v>
      </c>
      <c r="F275" s="6" t="e">
        <f t="shared" si="64"/>
        <v>#NUM!</v>
      </c>
      <c r="G275" s="6" t="e">
        <f t="shared" si="65"/>
        <v>#NUM!</v>
      </c>
      <c r="H275" s="6"/>
      <c r="I275" s="6"/>
      <c r="V275" s="7">
        <v>218</v>
      </c>
      <c r="W275" s="59" t="e">
        <f t="shared" si="66"/>
        <v>#NUM!</v>
      </c>
      <c r="X275" s="6" t="e">
        <f t="shared" si="67"/>
        <v>#NUM!</v>
      </c>
      <c r="Y275" s="6" t="e">
        <f t="shared" si="68"/>
        <v>#NUM!</v>
      </c>
      <c r="Z275" s="6" t="e">
        <f t="shared" si="69"/>
        <v>#NUM!</v>
      </c>
      <c r="AA275" s="6" t="e">
        <f t="shared" si="70"/>
        <v>#NUM!</v>
      </c>
      <c r="AB275" s="6"/>
    </row>
    <row r="276" spans="2:28" x14ac:dyDescent="0.4">
      <c r="B276" s="7">
        <v>219</v>
      </c>
      <c r="C276" s="59" t="e">
        <f t="shared" si="61"/>
        <v>#NUM!</v>
      </c>
      <c r="D276" s="6" t="e">
        <f t="shared" si="62"/>
        <v>#NUM!</v>
      </c>
      <c r="E276" s="6" t="e">
        <f t="shared" si="63"/>
        <v>#NUM!</v>
      </c>
      <c r="F276" s="6" t="e">
        <f t="shared" si="64"/>
        <v>#NUM!</v>
      </c>
      <c r="G276" s="6" t="e">
        <f t="shared" si="65"/>
        <v>#NUM!</v>
      </c>
      <c r="H276" s="6"/>
      <c r="I276" s="6"/>
      <c r="V276" s="7">
        <v>219</v>
      </c>
      <c r="W276" s="59" t="e">
        <f t="shared" si="66"/>
        <v>#NUM!</v>
      </c>
      <c r="X276" s="6" t="e">
        <f t="shared" si="67"/>
        <v>#NUM!</v>
      </c>
      <c r="Y276" s="6" t="e">
        <f t="shared" si="68"/>
        <v>#NUM!</v>
      </c>
      <c r="Z276" s="6" t="e">
        <f t="shared" si="69"/>
        <v>#NUM!</v>
      </c>
      <c r="AA276" s="6" t="e">
        <f t="shared" si="70"/>
        <v>#NUM!</v>
      </c>
      <c r="AB276" s="6"/>
    </row>
    <row r="277" spans="2:28" x14ac:dyDescent="0.4">
      <c r="B277" s="7">
        <v>220</v>
      </c>
      <c r="C277" s="59" t="e">
        <f t="shared" si="61"/>
        <v>#NUM!</v>
      </c>
      <c r="D277" s="6" t="e">
        <f t="shared" si="62"/>
        <v>#NUM!</v>
      </c>
      <c r="E277" s="6" t="e">
        <f t="shared" si="63"/>
        <v>#NUM!</v>
      </c>
      <c r="F277" s="6" t="e">
        <f t="shared" si="64"/>
        <v>#NUM!</v>
      </c>
      <c r="G277" s="6" t="e">
        <f t="shared" si="65"/>
        <v>#NUM!</v>
      </c>
      <c r="H277" s="6"/>
      <c r="I277" s="6"/>
      <c r="V277" s="7">
        <v>220</v>
      </c>
      <c r="W277" s="59" t="e">
        <f t="shared" si="66"/>
        <v>#NUM!</v>
      </c>
      <c r="X277" s="6" t="e">
        <f t="shared" si="67"/>
        <v>#NUM!</v>
      </c>
      <c r="Y277" s="6" t="e">
        <f t="shared" si="68"/>
        <v>#NUM!</v>
      </c>
      <c r="Z277" s="6" t="e">
        <f t="shared" si="69"/>
        <v>#NUM!</v>
      </c>
      <c r="AA277" s="6" t="e">
        <f t="shared" si="70"/>
        <v>#NUM!</v>
      </c>
      <c r="AB277" s="6"/>
    </row>
    <row r="278" spans="2:28" x14ac:dyDescent="0.4">
      <c r="B278" s="7">
        <v>221</v>
      </c>
      <c r="C278" s="59" t="e">
        <f t="shared" si="61"/>
        <v>#NUM!</v>
      </c>
      <c r="D278" s="6" t="e">
        <f t="shared" si="62"/>
        <v>#NUM!</v>
      </c>
      <c r="E278" s="6" t="e">
        <f t="shared" si="63"/>
        <v>#NUM!</v>
      </c>
      <c r="F278" s="6" t="e">
        <f t="shared" si="64"/>
        <v>#NUM!</v>
      </c>
      <c r="G278" s="6" t="e">
        <f t="shared" si="65"/>
        <v>#NUM!</v>
      </c>
      <c r="H278" s="6"/>
      <c r="I278" s="6"/>
      <c r="V278" s="7">
        <v>221</v>
      </c>
      <c r="W278" s="59" t="e">
        <f t="shared" si="66"/>
        <v>#NUM!</v>
      </c>
      <c r="X278" s="6" t="e">
        <f t="shared" si="67"/>
        <v>#NUM!</v>
      </c>
      <c r="Y278" s="6" t="e">
        <f t="shared" si="68"/>
        <v>#NUM!</v>
      </c>
      <c r="Z278" s="6" t="e">
        <f t="shared" si="69"/>
        <v>#NUM!</v>
      </c>
      <c r="AA278" s="6" t="e">
        <f t="shared" si="70"/>
        <v>#NUM!</v>
      </c>
      <c r="AB278" s="6"/>
    </row>
    <row r="279" spans="2:28" x14ac:dyDescent="0.4">
      <c r="B279" s="7">
        <v>222</v>
      </c>
      <c r="C279" s="59" t="e">
        <f t="shared" si="61"/>
        <v>#NUM!</v>
      </c>
      <c r="D279" s="6" t="e">
        <f t="shared" si="62"/>
        <v>#NUM!</v>
      </c>
      <c r="E279" s="6" t="e">
        <f t="shared" si="63"/>
        <v>#NUM!</v>
      </c>
      <c r="F279" s="6" t="e">
        <f t="shared" si="64"/>
        <v>#NUM!</v>
      </c>
      <c r="G279" s="6" t="e">
        <f t="shared" si="65"/>
        <v>#NUM!</v>
      </c>
      <c r="H279" s="6"/>
      <c r="I279" s="6"/>
      <c r="V279" s="7">
        <v>222</v>
      </c>
      <c r="W279" s="59" t="e">
        <f t="shared" si="66"/>
        <v>#NUM!</v>
      </c>
      <c r="X279" s="6" t="e">
        <f t="shared" si="67"/>
        <v>#NUM!</v>
      </c>
      <c r="Y279" s="6" t="e">
        <f t="shared" si="68"/>
        <v>#NUM!</v>
      </c>
      <c r="Z279" s="6" t="e">
        <f t="shared" si="69"/>
        <v>#NUM!</v>
      </c>
      <c r="AA279" s="6" t="e">
        <f t="shared" si="70"/>
        <v>#NUM!</v>
      </c>
      <c r="AB279" s="6"/>
    </row>
    <row r="280" spans="2:28" x14ac:dyDescent="0.4">
      <c r="B280" s="7">
        <v>223</v>
      </c>
      <c r="C280" s="59" t="e">
        <f t="shared" si="61"/>
        <v>#NUM!</v>
      </c>
      <c r="D280" s="6" t="e">
        <f t="shared" si="62"/>
        <v>#NUM!</v>
      </c>
      <c r="E280" s="6" t="e">
        <f t="shared" si="63"/>
        <v>#NUM!</v>
      </c>
      <c r="F280" s="6" t="e">
        <f t="shared" si="64"/>
        <v>#NUM!</v>
      </c>
      <c r="G280" s="6" t="e">
        <f t="shared" si="65"/>
        <v>#NUM!</v>
      </c>
      <c r="H280" s="6"/>
      <c r="I280" s="6"/>
      <c r="V280" s="7">
        <v>223</v>
      </c>
      <c r="W280" s="59" t="e">
        <f t="shared" si="66"/>
        <v>#NUM!</v>
      </c>
      <c r="X280" s="6" t="e">
        <f t="shared" si="67"/>
        <v>#NUM!</v>
      </c>
      <c r="Y280" s="6" t="e">
        <f t="shared" si="68"/>
        <v>#NUM!</v>
      </c>
      <c r="Z280" s="6" t="e">
        <f t="shared" si="69"/>
        <v>#NUM!</v>
      </c>
      <c r="AA280" s="6" t="e">
        <f t="shared" si="70"/>
        <v>#NUM!</v>
      </c>
      <c r="AB280" s="6"/>
    </row>
    <row r="281" spans="2:28" x14ac:dyDescent="0.4">
      <c r="B281" s="7">
        <v>224</v>
      </c>
      <c r="C281" s="59" t="e">
        <f t="shared" si="61"/>
        <v>#NUM!</v>
      </c>
      <c r="D281" s="6" t="e">
        <f t="shared" si="62"/>
        <v>#NUM!</v>
      </c>
      <c r="E281" s="6" t="e">
        <f t="shared" si="63"/>
        <v>#NUM!</v>
      </c>
      <c r="F281" s="6" t="e">
        <f t="shared" si="64"/>
        <v>#NUM!</v>
      </c>
      <c r="G281" s="6" t="e">
        <f t="shared" si="65"/>
        <v>#NUM!</v>
      </c>
      <c r="H281" s="6"/>
      <c r="I281" s="6"/>
      <c r="V281" s="7">
        <v>224</v>
      </c>
      <c r="W281" s="59" t="e">
        <f t="shared" si="66"/>
        <v>#NUM!</v>
      </c>
      <c r="X281" s="6" t="e">
        <f t="shared" si="67"/>
        <v>#NUM!</v>
      </c>
      <c r="Y281" s="6" t="e">
        <f t="shared" si="68"/>
        <v>#NUM!</v>
      </c>
      <c r="Z281" s="6" t="e">
        <f t="shared" si="69"/>
        <v>#NUM!</v>
      </c>
      <c r="AA281" s="6" t="e">
        <f t="shared" si="70"/>
        <v>#NUM!</v>
      </c>
      <c r="AB281" s="6"/>
    </row>
    <row r="282" spans="2:28" x14ac:dyDescent="0.4">
      <c r="B282" s="7">
        <v>225</v>
      </c>
      <c r="C282" s="59" t="e">
        <f t="shared" si="61"/>
        <v>#NUM!</v>
      </c>
      <c r="D282" s="6" t="e">
        <f t="shared" si="62"/>
        <v>#NUM!</v>
      </c>
      <c r="E282" s="6" t="e">
        <f t="shared" si="63"/>
        <v>#NUM!</v>
      </c>
      <c r="F282" s="6" t="e">
        <f t="shared" si="64"/>
        <v>#NUM!</v>
      </c>
      <c r="G282" s="6" t="e">
        <f t="shared" si="65"/>
        <v>#NUM!</v>
      </c>
      <c r="H282" s="6"/>
      <c r="I282" s="6"/>
      <c r="V282" s="7">
        <v>225</v>
      </c>
      <c r="W282" s="59" t="e">
        <f t="shared" si="66"/>
        <v>#NUM!</v>
      </c>
      <c r="X282" s="6" t="e">
        <f t="shared" si="67"/>
        <v>#NUM!</v>
      </c>
      <c r="Y282" s="6" t="e">
        <f t="shared" si="68"/>
        <v>#NUM!</v>
      </c>
      <c r="Z282" s="6" t="e">
        <f t="shared" si="69"/>
        <v>#NUM!</v>
      </c>
      <c r="AA282" s="6" t="e">
        <f t="shared" si="70"/>
        <v>#NUM!</v>
      </c>
      <c r="AB282" s="6"/>
    </row>
    <row r="283" spans="2:28" x14ac:dyDescent="0.4">
      <c r="B283" s="7">
        <v>226</v>
      </c>
      <c r="C283" s="59" t="e">
        <f t="shared" si="61"/>
        <v>#NUM!</v>
      </c>
      <c r="D283" s="6" t="e">
        <f t="shared" si="62"/>
        <v>#NUM!</v>
      </c>
      <c r="E283" s="6" t="e">
        <f t="shared" si="63"/>
        <v>#NUM!</v>
      </c>
      <c r="F283" s="6" t="e">
        <f t="shared" si="64"/>
        <v>#NUM!</v>
      </c>
      <c r="G283" s="6" t="e">
        <f t="shared" si="65"/>
        <v>#NUM!</v>
      </c>
      <c r="H283" s="6"/>
      <c r="I283" s="6"/>
      <c r="V283" s="7">
        <v>226</v>
      </c>
      <c r="W283" s="59" t="e">
        <f t="shared" si="66"/>
        <v>#NUM!</v>
      </c>
      <c r="X283" s="6" t="e">
        <f t="shared" si="67"/>
        <v>#NUM!</v>
      </c>
      <c r="Y283" s="6" t="e">
        <f t="shared" si="68"/>
        <v>#NUM!</v>
      </c>
      <c r="Z283" s="6" t="e">
        <f t="shared" si="69"/>
        <v>#NUM!</v>
      </c>
      <c r="AA283" s="6" t="e">
        <f t="shared" si="70"/>
        <v>#NUM!</v>
      </c>
      <c r="AB283" s="6"/>
    </row>
    <row r="284" spans="2:28" x14ac:dyDescent="0.4">
      <c r="B284" s="7">
        <v>227</v>
      </c>
      <c r="C284" s="59" t="e">
        <f t="shared" si="61"/>
        <v>#NUM!</v>
      </c>
      <c r="D284" s="6" t="e">
        <f t="shared" si="62"/>
        <v>#NUM!</v>
      </c>
      <c r="E284" s="6" t="e">
        <f t="shared" si="63"/>
        <v>#NUM!</v>
      </c>
      <c r="F284" s="6" t="e">
        <f t="shared" si="64"/>
        <v>#NUM!</v>
      </c>
      <c r="G284" s="6" t="e">
        <f t="shared" si="65"/>
        <v>#NUM!</v>
      </c>
      <c r="H284" s="6"/>
      <c r="I284" s="6"/>
      <c r="V284" s="7">
        <v>227</v>
      </c>
      <c r="W284" s="59" t="e">
        <f t="shared" si="66"/>
        <v>#NUM!</v>
      </c>
      <c r="X284" s="6" t="e">
        <f t="shared" si="67"/>
        <v>#NUM!</v>
      </c>
      <c r="Y284" s="6" t="e">
        <f t="shared" si="68"/>
        <v>#NUM!</v>
      </c>
      <c r="Z284" s="6" t="e">
        <f t="shared" si="69"/>
        <v>#NUM!</v>
      </c>
      <c r="AA284" s="6" t="e">
        <f t="shared" si="70"/>
        <v>#NUM!</v>
      </c>
      <c r="AB284" s="6"/>
    </row>
    <row r="285" spans="2:28" x14ac:dyDescent="0.4">
      <c r="B285" s="7">
        <v>228</v>
      </c>
      <c r="C285" s="59" t="e">
        <f t="shared" si="61"/>
        <v>#NUM!</v>
      </c>
      <c r="D285" s="6" t="e">
        <f t="shared" si="62"/>
        <v>#NUM!</v>
      </c>
      <c r="E285" s="6" t="e">
        <f t="shared" si="63"/>
        <v>#NUM!</v>
      </c>
      <c r="F285" s="6" t="e">
        <f t="shared" si="64"/>
        <v>#NUM!</v>
      </c>
      <c r="G285" s="6" t="e">
        <f t="shared" si="65"/>
        <v>#NUM!</v>
      </c>
      <c r="H285" s="6"/>
      <c r="I285" s="6"/>
      <c r="V285" s="7">
        <v>228</v>
      </c>
      <c r="W285" s="59" t="e">
        <f t="shared" si="66"/>
        <v>#NUM!</v>
      </c>
      <c r="X285" s="6" t="e">
        <f t="shared" si="67"/>
        <v>#NUM!</v>
      </c>
      <c r="Y285" s="6" t="e">
        <f t="shared" si="68"/>
        <v>#NUM!</v>
      </c>
      <c r="Z285" s="6" t="e">
        <f t="shared" si="69"/>
        <v>#NUM!</v>
      </c>
      <c r="AA285" s="6" t="e">
        <f t="shared" si="70"/>
        <v>#NUM!</v>
      </c>
      <c r="AB285" s="6"/>
    </row>
    <row r="286" spans="2:28" x14ac:dyDescent="0.4">
      <c r="B286" s="7">
        <v>229</v>
      </c>
      <c r="C286" s="59" t="e">
        <f t="shared" si="61"/>
        <v>#NUM!</v>
      </c>
      <c r="D286" s="6" t="e">
        <f t="shared" si="62"/>
        <v>#NUM!</v>
      </c>
      <c r="E286" s="6" t="e">
        <f t="shared" si="63"/>
        <v>#NUM!</v>
      </c>
      <c r="F286" s="6" t="e">
        <f t="shared" si="64"/>
        <v>#NUM!</v>
      </c>
      <c r="G286" s="6" t="e">
        <f t="shared" si="65"/>
        <v>#NUM!</v>
      </c>
      <c r="H286" s="6"/>
      <c r="I286" s="6"/>
      <c r="V286" s="7">
        <v>229</v>
      </c>
      <c r="W286" s="59" t="e">
        <f t="shared" si="66"/>
        <v>#NUM!</v>
      </c>
      <c r="X286" s="6" t="e">
        <f t="shared" si="67"/>
        <v>#NUM!</v>
      </c>
      <c r="Y286" s="6" t="e">
        <f t="shared" si="68"/>
        <v>#NUM!</v>
      </c>
      <c r="Z286" s="6" t="e">
        <f t="shared" si="69"/>
        <v>#NUM!</v>
      </c>
      <c r="AA286" s="6" t="e">
        <f t="shared" si="70"/>
        <v>#NUM!</v>
      </c>
      <c r="AB286" s="6"/>
    </row>
    <row r="287" spans="2:28" x14ac:dyDescent="0.4">
      <c r="B287" s="7">
        <v>230</v>
      </c>
      <c r="C287" s="59" t="e">
        <f t="shared" si="61"/>
        <v>#NUM!</v>
      </c>
      <c r="D287" s="6" t="e">
        <f t="shared" si="62"/>
        <v>#NUM!</v>
      </c>
      <c r="E287" s="6" t="e">
        <f t="shared" si="63"/>
        <v>#NUM!</v>
      </c>
      <c r="F287" s="6" t="e">
        <f t="shared" si="64"/>
        <v>#NUM!</v>
      </c>
      <c r="G287" s="6" t="e">
        <f t="shared" si="65"/>
        <v>#NUM!</v>
      </c>
      <c r="H287" s="6"/>
      <c r="I287" s="6"/>
      <c r="V287" s="7">
        <v>230</v>
      </c>
      <c r="W287" s="59" t="e">
        <f t="shared" si="66"/>
        <v>#NUM!</v>
      </c>
      <c r="X287" s="6" t="e">
        <f t="shared" si="67"/>
        <v>#NUM!</v>
      </c>
      <c r="Y287" s="6" t="e">
        <f t="shared" si="68"/>
        <v>#NUM!</v>
      </c>
      <c r="Z287" s="6" t="e">
        <f t="shared" si="69"/>
        <v>#NUM!</v>
      </c>
      <c r="AA287" s="6" t="e">
        <f t="shared" si="70"/>
        <v>#NUM!</v>
      </c>
      <c r="AB287" s="6"/>
    </row>
    <row r="288" spans="2:28" x14ac:dyDescent="0.4">
      <c r="B288" s="7">
        <v>231</v>
      </c>
      <c r="C288" s="59" t="e">
        <f t="shared" si="61"/>
        <v>#NUM!</v>
      </c>
      <c r="D288" s="6" t="e">
        <f t="shared" si="62"/>
        <v>#NUM!</v>
      </c>
      <c r="E288" s="6" t="e">
        <f t="shared" si="63"/>
        <v>#NUM!</v>
      </c>
      <c r="F288" s="6" t="e">
        <f t="shared" si="64"/>
        <v>#NUM!</v>
      </c>
      <c r="G288" s="6" t="e">
        <f t="shared" si="65"/>
        <v>#NUM!</v>
      </c>
      <c r="H288" s="6"/>
      <c r="I288" s="6"/>
      <c r="V288" s="7">
        <v>231</v>
      </c>
      <c r="W288" s="59" t="e">
        <f t="shared" si="66"/>
        <v>#NUM!</v>
      </c>
      <c r="X288" s="6" t="e">
        <f t="shared" si="67"/>
        <v>#NUM!</v>
      </c>
      <c r="Y288" s="6" t="e">
        <f t="shared" si="68"/>
        <v>#NUM!</v>
      </c>
      <c r="Z288" s="6" t="e">
        <f t="shared" si="69"/>
        <v>#NUM!</v>
      </c>
      <c r="AA288" s="6" t="e">
        <f t="shared" si="70"/>
        <v>#NUM!</v>
      </c>
      <c r="AB288" s="6"/>
    </row>
    <row r="289" spans="2:28" x14ac:dyDescent="0.4">
      <c r="B289" s="7">
        <v>232</v>
      </c>
      <c r="C289" s="59" t="e">
        <f t="shared" si="61"/>
        <v>#NUM!</v>
      </c>
      <c r="D289" s="6" t="e">
        <f t="shared" si="62"/>
        <v>#NUM!</v>
      </c>
      <c r="E289" s="6" t="e">
        <f t="shared" si="63"/>
        <v>#NUM!</v>
      </c>
      <c r="F289" s="6" t="e">
        <f t="shared" si="64"/>
        <v>#NUM!</v>
      </c>
      <c r="G289" s="6" t="e">
        <f t="shared" si="65"/>
        <v>#NUM!</v>
      </c>
      <c r="H289" s="6"/>
      <c r="I289" s="6"/>
      <c r="V289" s="7">
        <v>232</v>
      </c>
      <c r="W289" s="59" t="e">
        <f t="shared" si="66"/>
        <v>#NUM!</v>
      </c>
      <c r="X289" s="6" t="e">
        <f t="shared" si="67"/>
        <v>#NUM!</v>
      </c>
      <c r="Y289" s="6" t="e">
        <f t="shared" si="68"/>
        <v>#NUM!</v>
      </c>
      <c r="Z289" s="6" t="e">
        <f t="shared" si="69"/>
        <v>#NUM!</v>
      </c>
      <c r="AA289" s="6" t="e">
        <f t="shared" si="70"/>
        <v>#NUM!</v>
      </c>
      <c r="AB289" s="6"/>
    </row>
    <row r="290" spans="2:28" x14ac:dyDescent="0.4">
      <c r="B290" s="7">
        <v>233</v>
      </c>
      <c r="C290" s="59" t="e">
        <f t="shared" si="61"/>
        <v>#NUM!</v>
      </c>
      <c r="D290" s="6" t="e">
        <f t="shared" si="62"/>
        <v>#NUM!</v>
      </c>
      <c r="E290" s="6" t="e">
        <f t="shared" si="63"/>
        <v>#NUM!</v>
      </c>
      <c r="F290" s="6" t="e">
        <f t="shared" si="64"/>
        <v>#NUM!</v>
      </c>
      <c r="G290" s="6" t="e">
        <f t="shared" si="65"/>
        <v>#NUM!</v>
      </c>
      <c r="H290" s="6"/>
      <c r="I290" s="6"/>
      <c r="V290" s="7">
        <v>233</v>
      </c>
      <c r="W290" s="59" t="e">
        <f t="shared" si="66"/>
        <v>#NUM!</v>
      </c>
      <c r="X290" s="6" t="e">
        <f t="shared" si="67"/>
        <v>#NUM!</v>
      </c>
      <c r="Y290" s="6" t="e">
        <f t="shared" si="68"/>
        <v>#NUM!</v>
      </c>
      <c r="Z290" s="6" t="e">
        <f t="shared" si="69"/>
        <v>#NUM!</v>
      </c>
      <c r="AA290" s="6" t="e">
        <f t="shared" si="70"/>
        <v>#NUM!</v>
      </c>
      <c r="AB290" s="6"/>
    </row>
    <row r="291" spans="2:28" x14ac:dyDescent="0.4">
      <c r="B291" s="7">
        <v>234</v>
      </c>
      <c r="C291" s="59" t="e">
        <f t="shared" si="61"/>
        <v>#NUM!</v>
      </c>
      <c r="D291" s="6" t="e">
        <f t="shared" si="62"/>
        <v>#NUM!</v>
      </c>
      <c r="E291" s="6" t="e">
        <f t="shared" si="63"/>
        <v>#NUM!</v>
      </c>
      <c r="F291" s="6" t="e">
        <f t="shared" si="64"/>
        <v>#NUM!</v>
      </c>
      <c r="G291" s="6" t="e">
        <f t="shared" si="65"/>
        <v>#NUM!</v>
      </c>
      <c r="H291" s="6"/>
      <c r="I291" s="6"/>
      <c r="V291" s="7">
        <v>234</v>
      </c>
      <c r="W291" s="59" t="e">
        <f t="shared" si="66"/>
        <v>#NUM!</v>
      </c>
      <c r="X291" s="6" t="e">
        <f t="shared" si="67"/>
        <v>#NUM!</v>
      </c>
      <c r="Y291" s="6" t="e">
        <f t="shared" si="68"/>
        <v>#NUM!</v>
      </c>
      <c r="Z291" s="6" t="e">
        <f t="shared" si="69"/>
        <v>#NUM!</v>
      </c>
      <c r="AA291" s="6" t="e">
        <f t="shared" si="70"/>
        <v>#NUM!</v>
      </c>
      <c r="AB291" s="6"/>
    </row>
    <row r="292" spans="2:28" x14ac:dyDescent="0.4">
      <c r="B292" s="7">
        <v>235</v>
      </c>
      <c r="C292" s="59" t="e">
        <f t="shared" si="61"/>
        <v>#NUM!</v>
      </c>
      <c r="D292" s="6" t="e">
        <f t="shared" si="62"/>
        <v>#NUM!</v>
      </c>
      <c r="E292" s="6" t="e">
        <f t="shared" si="63"/>
        <v>#NUM!</v>
      </c>
      <c r="F292" s="6" t="e">
        <f t="shared" si="64"/>
        <v>#NUM!</v>
      </c>
      <c r="G292" s="6" t="e">
        <f t="shared" si="65"/>
        <v>#NUM!</v>
      </c>
      <c r="H292" s="6"/>
      <c r="I292" s="6"/>
      <c r="V292" s="7">
        <v>235</v>
      </c>
      <c r="W292" s="59" t="e">
        <f t="shared" si="66"/>
        <v>#NUM!</v>
      </c>
      <c r="X292" s="6" t="e">
        <f t="shared" si="67"/>
        <v>#NUM!</v>
      </c>
      <c r="Y292" s="6" t="e">
        <f t="shared" si="68"/>
        <v>#NUM!</v>
      </c>
      <c r="Z292" s="6" t="e">
        <f t="shared" si="69"/>
        <v>#NUM!</v>
      </c>
      <c r="AA292" s="6" t="e">
        <f t="shared" si="70"/>
        <v>#NUM!</v>
      </c>
      <c r="AB292" s="6"/>
    </row>
    <row r="293" spans="2:28" x14ac:dyDescent="0.4">
      <c r="B293" s="7">
        <v>236</v>
      </c>
      <c r="C293" s="59" t="e">
        <f t="shared" si="61"/>
        <v>#NUM!</v>
      </c>
      <c r="D293" s="6" t="e">
        <f t="shared" si="62"/>
        <v>#NUM!</v>
      </c>
      <c r="E293" s="6" t="e">
        <f t="shared" si="63"/>
        <v>#NUM!</v>
      </c>
      <c r="F293" s="6" t="e">
        <f t="shared" si="64"/>
        <v>#NUM!</v>
      </c>
      <c r="G293" s="6" t="e">
        <f t="shared" si="65"/>
        <v>#NUM!</v>
      </c>
      <c r="H293" s="6"/>
      <c r="I293" s="6"/>
      <c r="V293" s="7">
        <v>236</v>
      </c>
      <c r="W293" s="59" t="e">
        <f t="shared" si="66"/>
        <v>#NUM!</v>
      </c>
      <c r="X293" s="6" t="e">
        <f t="shared" si="67"/>
        <v>#NUM!</v>
      </c>
      <c r="Y293" s="6" t="e">
        <f t="shared" si="68"/>
        <v>#NUM!</v>
      </c>
      <c r="Z293" s="6" t="e">
        <f t="shared" si="69"/>
        <v>#NUM!</v>
      </c>
      <c r="AA293" s="6" t="e">
        <f t="shared" si="70"/>
        <v>#NUM!</v>
      </c>
      <c r="AB293" s="6"/>
    </row>
    <row r="294" spans="2:28" x14ac:dyDescent="0.4">
      <c r="B294" s="7">
        <v>237</v>
      </c>
      <c r="C294" s="59" t="e">
        <f t="shared" si="61"/>
        <v>#NUM!</v>
      </c>
      <c r="D294" s="6" t="e">
        <f t="shared" si="62"/>
        <v>#NUM!</v>
      </c>
      <c r="E294" s="6" t="e">
        <f t="shared" si="63"/>
        <v>#NUM!</v>
      </c>
      <c r="F294" s="6" t="e">
        <f t="shared" si="64"/>
        <v>#NUM!</v>
      </c>
      <c r="G294" s="6" t="e">
        <f t="shared" si="65"/>
        <v>#NUM!</v>
      </c>
      <c r="H294" s="6"/>
      <c r="I294" s="6"/>
      <c r="V294" s="7">
        <v>237</v>
      </c>
      <c r="W294" s="59" t="e">
        <f t="shared" si="66"/>
        <v>#NUM!</v>
      </c>
      <c r="X294" s="6" t="e">
        <f t="shared" si="67"/>
        <v>#NUM!</v>
      </c>
      <c r="Y294" s="6" t="e">
        <f t="shared" si="68"/>
        <v>#NUM!</v>
      </c>
      <c r="Z294" s="6" t="e">
        <f t="shared" si="69"/>
        <v>#NUM!</v>
      </c>
      <c r="AA294" s="6" t="e">
        <f t="shared" si="70"/>
        <v>#NUM!</v>
      </c>
      <c r="AB294" s="6"/>
    </row>
    <row r="295" spans="2:28" x14ac:dyDescent="0.4">
      <c r="B295" s="7">
        <v>238</v>
      </c>
      <c r="C295" s="59" t="e">
        <f t="shared" si="61"/>
        <v>#NUM!</v>
      </c>
      <c r="D295" s="6" t="e">
        <f t="shared" si="62"/>
        <v>#NUM!</v>
      </c>
      <c r="E295" s="6" t="e">
        <f t="shared" si="63"/>
        <v>#NUM!</v>
      </c>
      <c r="F295" s="6" t="e">
        <f t="shared" si="64"/>
        <v>#NUM!</v>
      </c>
      <c r="G295" s="6" t="e">
        <f t="shared" si="65"/>
        <v>#NUM!</v>
      </c>
      <c r="H295" s="6"/>
      <c r="I295" s="6"/>
      <c r="V295" s="7">
        <v>238</v>
      </c>
      <c r="W295" s="59" t="e">
        <f t="shared" si="66"/>
        <v>#NUM!</v>
      </c>
      <c r="X295" s="6" t="e">
        <f t="shared" si="67"/>
        <v>#NUM!</v>
      </c>
      <c r="Y295" s="6" t="e">
        <f t="shared" si="68"/>
        <v>#NUM!</v>
      </c>
      <c r="Z295" s="6" t="e">
        <f t="shared" si="69"/>
        <v>#NUM!</v>
      </c>
      <c r="AA295" s="6" t="e">
        <f t="shared" si="70"/>
        <v>#NUM!</v>
      </c>
      <c r="AB295" s="6"/>
    </row>
    <row r="296" spans="2:28" x14ac:dyDescent="0.4">
      <c r="B296" s="7">
        <v>239</v>
      </c>
      <c r="C296" s="59" t="e">
        <f t="shared" si="61"/>
        <v>#NUM!</v>
      </c>
      <c r="D296" s="6" t="e">
        <f t="shared" si="62"/>
        <v>#NUM!</v>
      </c>
      <c r="E296" s="6" t="e">
        <f t="shared" si="63"/>
        <v>#NUM!</v>
      </c>
      <c r="F296" s="6" t="e">
        <f t="shared" si="64"/>
        <v>#NUM!</v>
      </c>
      <c r="G296" s="6" t="e">
        <f t="shared" si="65"/>
        <v>#NUM!</v>
      </c>
      <c r="H296" s="6"/>
      <c r="I296" s="6"/>
      <c r="V296" s="7">
        <v>239</v>
      </c>
      <c r="W296" s="59" t="e">
        <f t="shared" si="66"/>
        <v>#NUM!</v>
      </c>
      <c r="X296" s="6" t="e">
        <f t="shared" si="67"/>
        <v>#NUM!</v>
      </c>
      <c r="Y296" s="6" t="e">
        <f t="shared" si="68"/>
        <v>#NUM!</v>
      </c>
      <c r="Z296" s="6" t="e">
        <f t="shared" si="69"/>
        <v>#NUM!</v>
      </c>
      <c r="AA296" s="6" t="e">
        <f t="shared" si="70"/>
        <v>#NUM!</v>
      </c>
      <c r="AB296" s="6"/>
    </row>
    <row r="297" spans="2:28" x14ac:dyDescent="0.4">
      <c r="B297" s="7">
        <v>240</v>
      </c>
      <c r="C297" s="59" t="e">
        <f t="shared" si="61"/>
        <v>#NUM!</v>
      </c>
      <c r="D297" s="6" t="e">
        <f t="shared" si="62"/>
        <v>#NUM!</v>
      </c>
      <c r="E297" s="6" t="e">
        <f t="shared" si="63"/>
        <v>#NUM!</v>
      </c>
      <c r="F297" s="6" t="e">
        <f t="shared" si="64"/>
        <v>#NUM!</v>
      </c>
      <c r="G297" s="6" t="e">
        <f t="shared" si="65"/>
        <v>#NUM!</v>
      </c>
      <c r="H297" s="6"/>
      <c r="I297" s="6"/>
      <c r="V297" s="7">
        <v>240</v>
      </c>
      <c r="W297" s="59" t="e">
        <f t="shared" si="66"/>
        <v>#NUM!</v>
      </c>
      <c r="X297" s="6" t="e">
        <f t="shared" si="67"/>
        <v>#NUM!</v>
      </c>
      <c r="Y297" s="6" t="e">
        <f t="shared" si="68"/>
        <v>#NUM!</v>
      </c>
      <c r="Z297" s="6" t="e">
        <f t="shared" si="69"/>
        <v>#NUM!</v>
      </c>
      <c r="AA297" s="6" t="e">
        <f t="shared" si="70"/>
        <v>#NUM!</v>
      </c>
      <c r="AB297" s="6"/>
    </row>
    <row r="298" spans="2:28" x14ac:dyDescent="0.4">
      <c r="B298" s="7">
        <v>241</v>
      </c>
      <c r="C298" s="59" t="e">
        <f t="shared" si="61"/>
        <v>#NUM!</v>
      </c>
      <c r="D298" s="6" t="e">
        <f t="shared" si="62"/>
        <v>#NUM!</v>
      </c>
      <c r="E298" s="6" t="e">
        <f t="shared" si="63"/>
        <v>#NUM!</v>
      </c>
      <c r="F298" s="6" t="e">
        <f t="shared" si="64"/>
        <v>#NUM!</v>
      </c>
      <c r="G298" s="6" t="e">
        <f t="shared" si="65"/>
        <v>#NUM!</v>
      </c>
      <c r="H298" s="6"/>
      <c r="I298" s="6"/>
      <c r="V298" s="7">
        <v>241</v>
      </c>
      <c r="W298" s="59" t="e">
        <f t="shared" si="66"/>
        <v>#NUM!</v>
      </c>
      <c r="X298" s="6" t="e">
        <f t="shared" si="67"/>
        <v>#NUM!</v>
      </c>
      <c r="Y298" s="6" t="e">
        <f t="shared" si="68"/>
        <v>#NUM!</v>
      </c>
      <c r="Z298" s="6" t="e">
        <f t="shared" si="69"/>
        <v>#NUM!</v>
      </c>
      <c r="AA298" s="6" t="e">
        <f t="shared" si="70"/>
        <v>#NUM!</v>
      </c>
      <c r="AB298" s="6"/>
    </row>
    <row r="299" spans="2:28" x14ac:dyDescent="0.4">
      <c r="B299" s="7">
        <v>242</v>
      </c>
      <c r="C299" s="59" t="e">
        <f t="shared" si="61"/>
        <v>#NUM!</v>
      </c>
      <c r="D299" s="6" t="e">
        <f t="shared" si="62"/>
        <v>#NUM!</v>
      </c>
      <c r="E299" s="6" t="e">
        <f t="shared" si="63"/>
        <v>#NUM!</v>
      </c>
      <c r="F299" s="6" t="e">
        <f t="shared" si="64"/>
        <v>#NUM!</v>
      </c>
      <c r="G299" s="6" t="e">
        <f t="shared" si="65"/>
        <v>#NUM!</v>
      </c>
      <c r="H299" s="6"/>
      <c r="I299" s="6"/>
      <c r="V299" s="7">
        <v>242</v>
      </c>
      <c r="W299" s="59" t="e">
        <f t="shared" si="66"/>
        <v>#NUM!</v>
      </c>
      <c r="X299" s="6" t="e">
        <f t="shared" si="67"/>
        <v>#NUM!</v>
      </c>
      <c r="Y299" s="6" t="e">
        <f t="shared" si="68"/>
        <v>#NUM!</v>
      </c>
      <c r="Z299" s="6" t="e">
        <f t="shared" si="69"/>
        <v>#NUM!</v>
      </c>
      <c r="AA299" s="6" t="e">
        <f t="shared" si="70"/>
        <v>#NUM!</v>
      </c>
      <c r="AB299" s="6"/>
    </row>
    <row r="300" spans="2:28" x14ac:dyDescent="0.4">
      <c r="B300" s="7">
        <v>243</v>
      </c>
      <c r="C300" s="59" t="e">
        <f t="shared" si="61"/>
        <v>#NUM!</v>
      </c>
      <c r="D300" s="6" t="e">
        <f t="shared" si="62"/>
        <v>#NUM!</v>
      </c>
      <c r="E300" s="6" t="e">
        <f t="shared" si="63"/>
        <v>#NUM!</v>
      </c>
      <c r="F300" s="6" t="e">
        <f t="shared" si="64"/>
        <v>#NUM!</v>
      </c>
      <c r="G300" s="6" t="e">
        <f t="shared" si="65"/>
        <v>#NUM!</v>
      </c>
      <c r="H300" s="6"/>
      <c r="I300" s="6"/>
      <c r="V300" s="7">
        <v>243</v>
      </c>
      <c r="W300" s="59" t="e">
        <f t="shared" si="66"/>
        <v>#NUM!</v>
      </c>
      <c r="X300" s="6" t="e">
        <f t="shared" si="67"/>
        <v>#NUM!</v>
      </c>
      <c r="Y300" s="6" t="e">
        <f t="shared" si="68"/>
        <v>#NUM!</v>
      </c>
      <c r="Z300" s="6" t="e">
        <f t="shared" si="69"/>
        <v>#NUM!</v>
      </c>
      <c r="AA300" s="6" t="e">
        <f t="shared" si="70"/>
        <v>#NUM!</v>
      </c>
      <c r="AB300" s="6"/>
    </row>
    <row r="301" spans="2:28" x14ac:dyDescent="0.4">
      <c r="B301" s="7">
        <v>244</v>
      </c>
      <c r="C301" s="59" t="e">
        <f t="shared" si="61"/>
        <v>#NUM!</v>
      </c>
      <c r="D301" s="6" t="e">
        <f t="shared" si="62"/>
        <v>#NUM!</v>
      </c>
      <c r="E301" s="6" t="e">
        <f t="shared" si="63"/>
        <v>#NUM!</v>
      </c>
      <c r="F301" s="6" t="e">
        <f t="shared" si="64"/>
        <v>#NUM!</v>
      </c>
      <c r="G301" s="6" t="e">
        <f t="shared" si="65"/>
        <v>#NUM!</v>
      </c>
      <c r="H301" s="6"/>
      <c r="I301" s="6"/>
      <c r="V301" s="7">
        <v>244</v>
      </c>
      <c r="W301" s="59" t="e">
        <f t="shared" si="66"/>
        <v>#NUM!</v>
      </c>
      <c r="X301" s="6" t="e">
        <f t="shared" si="67"/>
        <v>#NUM!</v>
      </c>
      <c r="Y301" s="6" t="e">
        <f t="shared" si="68"/>
        <v>#NUM!</v>
      </c>
      <c r="Z301" s="6" t="e">
        <f t="shared" si="69"/>
        <v>#NUM!</v>
      </c>
      <c r="AA301" s="6" t="e">
        <f t="shared" si="70"/>
        <v>#NUM!</v>
      </c>
      <c r="AB301" s="6"/>
    </row>
    <row r="302" spans="2:28" x14ac:dyDescent="0.4">
      <c r="B302" s="7">
        <v>245</v>
      </c>
      <c r="C302" s="59" t="e">
        <f t="shared" si="61"/>
        <v>#NUM!</v>
      </c>
      <c r="D302" s="6" t="e">
        <f t="shared" si="62"/>
        <v>#NUM!</v>
      </c>
      <c r="E302" s="6" t="e">
        <f t="shared" si="63"/>
        <v>#NUM!</v>
      </c>
      <c r="F302" s="6" t="e">
        <f t="shared" si="64"/>
        <v>#NUM!</v>
      </c>
      <c r="G302" s="6" t="e">
        <f t="shared" si="65"/>
        <v>#NUM!</v>
      </c>
      <c r="H302" s="6"/>
      <c r="I302" s="6"/>
      <c r="V302" s="7">
        <v>245</v>
      </c>
      <c r="W302" s="59" t="e">
        <f t="shared" si="66"/>
        <v>#NUM!</v>
      </c>
      <c r="X302" s="6" t="e">
        <f t="shared" si="67"/>
        <v>#NUM!</v>
      </c>
      <c r="Y302" s="6" t="e">
        <f t="shared" si="68"/>
        <v>#NUM!</v>
      </c>
      <c r="Z302" s="6" t="e">
        <f t="shared" si="69"/>
        <v>#NUM!</v>
      </c>
      <c r="AA302" s="6" t="e">
        <f t="shared" si="70"/>
        <v>#NUM!</v>
      </c>
      <c r="AB302" s="6"/>
    </row>
    <row r="303" spans="2:28" x14ac:dyDescent="0.4">
      <c r="B303" s="7">
        <v>246</v>
      </c>
      <c r="C303" s="59" t="e">
        <f t="shared" si="61"/>
        <v>#NUM!</v>
      </c>
      <c r="D303" s="6" t="e">
        <f t="shared" si="62"/>
        <v>#NUM!</v>
      </c>
      <c r="E303" s="6" t="e">
        <f t="shared" si="63"/>
        <v>#NUM!</v>
      </c>
      <c r="F303" s="6" t="e">
        <f t="shared" si="64"/>
        <v>#NUM!</v>
      </c>
      <c r="G303" s="6" t="e">
        <f t="shared" si="65"/>
        <v>#NUM!</v>
      </c>
      <c r="H303" s="6"/>
      <c r="I303" s="6"/>
      <c r="V303" s="7">
        <v>246</v>
      </c>
      <c r="W303" s="59" t="e">
        <f t="shared" si="66"/>
        <v>#NUM!</v>
      </c>
      <c r="X303" s="6" t="e">
        <f t="shared" si="67"/>
        <v>#NUM!</v>
      </c>
      <c r="Y303" s="6" t="e">
        <f t="shared" si="68"/>
        <v>#NUM!</v>
      </c>
      <c r="Z303" s="6" t="e">
        <f t="shared" si="69"/>
        <v>#NUM!</v>
      </c>
      <c r="AA303" s="6" t="e">
        <f t="shared" si="70"/>
        <v>#NUM!</v>
      </c>
      <c r="AB303" s="6"/>
    </row>
    <row r="304" spans="2:28" x14ac:dyDescent="0.4">
      <c r="B304" s="7">
        <v>247</v>
      </c>
      <c r="C304" s="59" t="e">
        <f t="shared" si="61"/>
        <v>#NUM!</v>
      </c>
      <c r="D304" s="6" t="e">
        <f t="shared" si="62"/>
        <v>#NUM!</v>
      </c>
      <c r="E304" s="6" t="e">
        <f t="shared" si="63"/>
        <v>#NUM!</v>
      </c>
      <c r="F304" s="6" t="e">
        <f t="shared" si="64"/>
        <v>#NUM!</v>
      </c>
      <c r="G304" s="6" t="e">
        <f t="shared" si="65"/>
        <v>#NUM!</v>
      </c>
      <c r="H304" s="6"/>
      <c r="I304" s="6"/>
      <c r="V304" s="7">
        <v>247</v>
      </c>
      <c r="W304" s="59" t="e">
        <f t="shared" si="66"/>
        <v>#NUM!</v>
      </c>
      <c r="X304" s="6" t="e">
        <f t="shared" si="67"/>
        <v>#NUM!</v>
      </c>
      <c r="Y304" s="6" t="e">
        <f t="shared" si="68"/>
        <v>#NUM!</v>
      </c>
      <c r="Z304" s="6" t="e">
        <f t="shared" si="69"/>
        <v>#NUM!</v>
      </c>
      <c r="AA304" s="6" t="e">
        <f t="shared" si="70"/>
        <v>#NUM!</v>
      </c>
      <c r="AB304" s="6"/>
    </row>
    <row r="305" spans="2:28" x14ac:dyDescent="0.4">
      <c r="B305" s="7">
        <v>248</v>
      </c>
      <c r="C305" s="59" t="e">
        <f t="shared" si="61"/>
        <v>#NUM!</v>
      </c>
      <c r="D305" s="6" t="e">
        <f t="shared" si="62"/>
        <v>#NUM!</v>
      </c>
      <c r="E305" s="6" t="e">
        <f t="shared" si="63"/>
        <v>#NUM!</v>
      </c>
      <c r="F305" s="6" t="e">
        <f t="shared" si="64"/>
        <v>#NUM!</v>
      </c>
      <c r="G305" s="6" t="e">
        <f t="shared" si="65"/>
        <v>#NUM!</v>
      </c>
      <c r="H305" s="6"/>
      <c r="I305" s="6"/>
      <c r="V305" s="7">
        <v>248</v>
      </c>
      <c r="W305" s="59" t="e">
        <f t="shared" si="66"/>
        <v>#NUM!</v>
      </c>
      <c r="X305" s="6" t="e">
        <f t="shared" si="67"/>
        <v>#NUM!</v>
      </c>
      <c r="Y305" s="6" t="e">
        <f t="shared" si="68"/>
        <v>#NUM!</v>
      </c>
      <c r="Z305" s="6" t="e">
        <f t="shared" si="69"/>
        <v>#NUM!</v>
      </c>
      <c r="AA305" s="6" t="e">
        <f t="shared" si="70"/>
        <v>#NUM!</v>
      </c>
      <c r="AB305" s="6"/>
    </row>
    <row r="306" spans="2:28" x14ac:dyDescent="0.4">
      <c r="B306" s="7">
        <v>249</v>
      </c>
      <c r="C306" s="59" t="e">
        <f t="shared" si="61"/>
        <v>#NUM!</v>
      </c>
      <c r="D306" s="6" t="e">
        <f t="shared" si="62"/>
        <v>#NUM!</v>
      </c>
      <c r="E306" s="6" t="e">
        <f t="shared" si="63"/>
        <v>#NUM!</v>
      </c>
      <c r="F306" s="6" t="e">
        <f t="shared" si="64"/>
        <v>#NUM!</v>
      </c>
      <c r="G306" s="6" t="e">
        <f t="shared" si="65"/>
        <v>#NUM!</v>
      </c>
      <c r="H306" s="6"/>
      <c r="I306" s="6"/>
      <c r="V306" s="7">
        <v>249</v>
      </c>
      <c r="W306" s="59" t="e">
        <f t="shared" si="66"/>
        <v>#NUM!</v>
      </c>
      <c r="X306" s="6" t="e">
        <f t="shared" si="67"/>
        <v>#NUM!</v>
      </c>
      <c r="Y306" s="6" t="e">
        <f t="shared" si="68"/>
        <v>#NUM!</v>
      </c>
      <c r="Z306" s="6" t="e">
        <f t="shared" si="69"/>
        <v>#NUM!</v>
      </c>
      <c r="AA306" s="6" t="e">
        <f t="shared" si="70"/>
        <v>#NUM!</v>
      </c>
      <c r="AB306" s="6"/>
    </row>
    <row r="307" spans="2:28" x14ac:dyDescent="0.4">
      <c r="B307" s="7">
        <v>250</v>
      </c>
      <c r="C307" s="59" t="e">
        <f t="shared" si="61"/>
        <v>#NUM!</v>
      </c>
      <c r="D307" s="6" t="e">
        <f t="shared" si="62"/>
        <v>#NUM!</v>
      </c>
      <c r="E307" s="6" t="e">
        <f t="shared" si="63"/>
        <v>#NUM!</v>
      </c>
      <c r="F307" s="6" t="e">
        <f t="shared" si="64"/>
        <v>#NUM!</v>
      </c>
      <c r="G307" s="6" t="e">
        <f t="shared" si="65"/>
        <v>#NUM!</v>
      </c>
      <c r="H307" s="6"/>
      <c r="I307" s="6"/>
      <c r="V307" s="7">
        <v>250</v>
      </c>
      <c r="W307" s="59" t="e">
        <f t="shared" si="66"/>
        <v>#NUM!</v>
      </c>
      <c r="X307" s="6" t="e">
        <f t="shared" si="67"/>
        <v>#NUM!</v>
      </c>
      <c r="Y307" s="6" t="e">
        <f t="shared" si="68"/>
        <v>#NUM!</v>
      </c>
      <c r="Z307" s="6" t="e">
        <f t="shared" si="69"/>
        <v>#NUM!</v>
      </c>
      <c r="AA307" s="6" t="e">
        <f t="shared" si="70"/>
        <v>#NUM!</v>
      </c>
      <c r="AB307" s="6"/>
    </row>
    <row r="308" spans="2:28" x14ac:dyDescent="0.4">
      <c r="B308" s="7">
        <v>251</v>
      </c>
      <c r="C308" s="59" t="e">
        <f t="shared" si="61"/>
        <v>#NUM!</v>
      </c>
      <c r="D308" s="6" t="e">
        <f t="shared" si="62"/>
        <v>#NUM!</v>
      </c>
      <c r="E308" s="6" t="e">
        <f t="shared" si="63"/>
        <v>#NUM!</v>
      </c>
      <c r="F308" s="6" t="e">
        <f t="shared" si="64"/>
        <v>#NUM!</v>
      </c>
      <c r="G308" s="6" t="e">
        <f t="shared" si="65"/>
        <v>#NUM!</v>
      </c>
      <c r="H308" s="6"/>
      <c r="I308" s="6"/>
      <c r="V308" s="7">
        <v>251</v>
      </c>
      <c r="W308" s="59" t="e">
        <f t="shared" si="66"/>
        <v>#NUM!</v>
      </c>
      <c r="X308" s="6" t="e">
        <f t="shared" si="67"/>
        <v>#NUM!</v>
      </c>
      <c r="Y308" s="6" t="e">
        <f t="shared" si="68"/>
        <v>#NUM!</v>
      </c>
      <c r="Z308" s="6" t="e">
        <f t="shared" si="69"/>
        <v>#NUM!</v>
      </c>
      <c r="AA308" s="6" t="e">
        <f t="shared" si="70"/>
        <v>#NUM!</v>
      </c>
      <c r="AB308" s="6"/>
    </row>
    <row r="309" spans="2:28" x14ac:dyDescent="0.4">
      <c r="B309" s="7">
        <v>252</v>
      </c>
      <c r="C309" s="59" t="e">
        <f t="shared" si="61"/>
        <v>#NUM!</v>
      </c>
      <c r="D309" s="6" t="e">
        <f t="shared" si="62"/>
        <v>#NUM!</v>
      </c>
      <c r="E309" s="6" t="e">
        <f t="shared" si="63"/>
        <v>#NUM!</v>
      </c>
      <c r="F309" s="6" t="e">
        <f t="shared" si="64"/>
        <v>#NUM!</v>
      </c>
      <c r="G309" s="6" t="e">
        <f t="shared" si="65"/>
        <v>#NUM!</v>
      </c>
      <c r="H309" s="6"/>
      <c r="I309" s="6"/>
      <c r="V309" s="7">
        <v>252</v>
      </c>
      <c r="W309" s="59" t="e">
        <f t="shared" si="66"/>
        <v>#NUM!</v>
      </c>
      <c r="X309" s="6" t="e">
        <f t="shared" si="67"/>
        <v>#NUM!</v>
      </c>
      <c r="Y309" s="6" t="e">
        <f t="shared" si="68"/>
        <v>#NUM!</v>
      </c>
      <c r="Z309" s="6" t="e">
        <f t="shared" si="69"/>
        <v>#NUM!</v>
      </c>
      <c r="AA309" s="6" t="e">
        <f t="shared" si="70"/>
        <v>#NUM!</v>
      </c>
      <c r="AB309" s="6"/>
    </row>
    <row r="310" spans="2:28" x14ac:dyDescent="0.4">
      <c r="B310" s="7">
        <v>253</v>
      </c>
      <c r="C310" s="59" t="e">
        <f t="shared" si="61"/>
        <v>#NUM!</v>
      </c>
      <c r="D310" s="6" t="e">
        <f t="shared" si="62"/>
        <v>#NUM!</v>
      </c>
      <c r="E310" s="6" t="e">
        <f t="shared" si="63"/>
        <v>#NUM!</v>
      </c>
      <c r="F310" s="6" t="e">
        <f t="shared" si="64"/>
        <v>#NUM!</v>
      </c>
      <c r="G310" s="6" t="e">
        <f t="shared" si="65"/>
        <v>#NUM!</v>
      </c>
      <c r="H310" s="6"/>
      <c r="I310" s="6"/>
      <c r="V310" s="7">
        <v>253</v>
      </c>
      <c r="W310" s="59" t="e">
        <f t="shared" si="66"/>
        <v>#NUM!</v>
      </c>
      <c r="X310" s="6" t="e">
        <f t="shared" si="67"/>
        <v>#NUM!</v>
      </c>
      <c r="Y310" s="6" t="e">
        <f t="shared" si="68"/>
        <v>#NUM!</v>
      </c>
      <c r="Z310" s="6" t="e">
        <f t="shared" si="69"/>
        <v>#NUM!</v>
      </c>
      <c r="AA310" s="6" t="e">
        <f t="shared" si="70"/>
        <v>#NUM!</v>
      </c>
      <c r="AB310" s="6"/>
    </row>
    <row r="311" spans="2:28" x14ac:dyDescent="0.4">
      <c r="B311" s="7">
        <v>254</v>
      </c>
      <c r="C311" s="59" t="e">
        <f t="shared" si="61"/>
        <v>#NUM!</v>
      </c>
      <c r="D311" s="6" t="e">
        <f t="shared" si="62"/>
        <v>#NUM!</v>
      </c>
      <c r="E311" s="6" t="e">
        <f t="shared" si="63"/>
        <v>#NUM!</v>
      </c>
      <c r="F311" s="6" t="e">
        <f t="shared" si="64"/>
        <v>#NUM!</v>
      </c>
      <c r="G311" s="6" t="e">
        <f t="shared" si="65"/>
        <v>#NUM!</v>
      </c>
      <c r="H311" s="6"/>
      <c r="I311" s="6"/>
      <c r="V311" s="7">
        <v>254</v>
      </c>
      <c r="W311" s="59" t="e">
        <f t="shared" si="66"/>
        <v>#NUM!</v>
      </c>
      <c r="X311" s="6" t="e">
        <f t="shared" si="67"/>
        <v>#NUM!</v>
      </c>
      <c r="Y311" s="6" t="e">
        <f t="shared" si="68"/>
        <v>#NUM!</v>
      </c>
      <c r="Z311" s="6" t="e">
        <f t="shared" si="69"/>
        <v>#NUM!</v>
      </c>
      <c r="AA311" s="6" t="e">
        <f t="shared" si="70"/>
        <v>#NUM!</v>
      </c>
      <c r="AB311" s="6"/>
    </row>
    <row r="312" spans="2:28" x14ac:dyDescent="0.4">
      <c r="B312" s="7">
        <v>255</v>
      </c>
      <c r="C312" s="59" t="e">
        <f t="shared" si="61"/>
        <v>#NUM!</v>
      </c>
      <c r="D312" s="6" t="e">
        <f t="shared" si="62"/>
        <v>#NUM!</v>
      </c>
      <c r="E312" s="6" t="e">
        <f t="shared" si="63"/>
        <v>#NUM!</v>
      </c>
      <c r="F312" s="6" t="e">
        <f t="shared" si="64"/>
        <v>#NUM!</v>
      </c>
      <c r="G312" s="6" t="e">
        <f t="shared" si="65"/>
        <v>#NUM!</v>
      </c>
      <c r="H312" s="6"/>
      <c r="I312" s="6"/>
      <c r="V312" s="7">
        <v>255</v>
      </c>
      <c r="W312" s="59" t="e">
        <f t="shared" si="66"/>
        <v>#NUM!</v>
      </c>
      <c r="X312" s="6" t="e">
        <f t="shared" si="67"/>
        <v>#NUM!</v>
      </c>
      <c r="Y312" s="6" t="e">
        <f t="shared" si="68"/>
        <v>#NUM!</v>
      </c>
      <c r="Z312" s="6" t="e">
        <f t="shared" si="69"/>
        <v>#NUM!</v>
      </c>
      <c r="AA312" s="6" t="e">
        <f t="shared" si="70"/>
        <v>#NUM!</v>
      </c>
      <c r="AB312" s="6"/>
    </row>
    <row r="313" spans="2:28" x14ac:dyDescent="0.4">
      <c r="B313" s="7">
        <v>256</v>
      </c>
      <c r="C313" s="59" t="e">
        <f t="shared" si="61"/>
        <v>#NUM!</v>
      </c>
      <c r="D313" s="6" t="e">
        <f t="shared" si="62"/>
        <v>#NUM!</v>
      </c>
      <c r="E313" s="6" t="e">
        <f t="shared" si="63"/>
        <v>#NUM!</v>
      </c>
      <c r="F313" s="6" t="e">
        <f t="shared" si="64"/>
        <v>#NUM!</v>
      </c>
      <c r="G313" s="6" t="e">
        <f t="shared" si="65"/>
        <v>#NUM!</v>
      </c>
      <c r="H313" s="6"/>
      <c r="I313" s="6"/>
      <c r="V313" s="7">
        <v>256</v>
      </c>
      <c r="W313" s="59" t="e">
        <f t="shared" si="66"/>
        <v>#NUM!</v>
      </c>
      <c r="X313" s="6" t="e">
        <f t="shared" si="67"/>
        <v>#NUM!</v>
      </c>
      <c r="Y313" s="6" t="e">
        <f t="shared" si="68"/>
        <v>#NUM!</v>
      </c>
      <c r="Z313" s="6" t="e">
        <f t="shared" si="69"/>
        <v>#NUM!</v>
      </c>
      <c r="AA313" s="6" t="e">
        <f t="shared" si="70"/>
        <v>#NUM!</v>
      </c>
      <c r="AB313" s="6"/>
    </row>
    <row r="314" spans="2:28" x14ac:dyDescent="0.4">
      <c r="B314" s="7">
        <v>257</v>
      </c>
      <c r="C314" s="59" t="e">
        <f t="shared" si="61"/>
        <v>#NUM!</v>
      </c>
      <c r="D314" s="6" t="e">
        <f t="shared" si="62"/>
        <v>#NUM!</v>
      </c>
      <c r="E314" s="6" t="e">
        <f t="shared" si="63"/>
        <v>#NUM!</v>
      </c>
      <c r="F314" s="6" t="e">
        <f t="shared" si="64"/>
        <v>#NUM!</v>
      </c>
      <c r="G314" s="6" t="e">
        <f t="shared" si="65"/>
        <v>#NUM!</v>
      </c>
      <c r="H314" s="6"/>
      <c r="I314" s="6"/>
      <c r="V314" s="7">
        <v>257</v>
      </c>
      <c r="W314" s="59" t="e">
        <f t="shared" si="66"/>
        <v>#NUM!</v>
      </c>
      <c r="X314" s="6" t="e">
        <f t="shared" si="67"/>
        <v>#NUM!</v>
      </c>
      <c r="Y314" s="6" t="e">
        <f t="shared" si="68"/>
        <v>#NUM!</v>
      </c>
      <c r="Z314" s="6" t="e">
        <f t="shared" si="69"/>
        <v>#NUM!</v>
      </c>
      <c r="AA314" s="6" t="e">
        <f t="shared" si="70"/>
        <v>#NUM!</v>
      </c>
      <c r="AB314" s="6"/>
    </row>
    <row r="315" spans="2:28" x14ac:dyDescent="0.4">
      <c r="B315" s="7">
        <v>258</v>
      </c>
      <c r="C315" s="59" t="e">
        <f t="shared" ref="C315:C378" si="71">G314</f>
        <v>#NUM!</v>
      </c>
      <c r="D315" s="6" t="e">
        <f t="shared" ref="D315:D378" si="72">-PMT($D$7/12,$D$9*12,$D$6,,)</f>
        <v>#NUM!</v>
      </c>
      <c r="E315" s="6" t="e">
        <f t="shared" ref="E315:E378" si="73">C315*$D$7/12</f>
        <v>#NUM!</v>
      </c>
      <c r="F315" s="6" t="e">
        <f t="shared" ref="F315:F378" si="74">D315-E315</f>
        <v>#NUM!</v>
      </c>
      <c r="G315" s="6" t="e">
        <f t="shared" ref="G315:G378" si="75">C315-F315</f>
        <v>#NUM!</v>
      </c>
      <c r="H315" s="6"/>
      <c r="I315" s="6"/>
      <c r="V315" s="7">
        <v>258</v>
      </c>
      <c r="W315" s="59" t="e">
        <f t="shared" ref="W315:W378" si="76">AA314</f>
        <v>#NUM!</v>
      </c>
      <c r="X315" s="6" t="e">
        <f t="shared" ref="X315:X378" si="77">-PMT($X$7/12,$X$9*12,$X$6,,)</f>
        <v>#NUM!</v>
      </c>
      <c r="Y315" s="6" t="e">
        <f t="shared" ref="Y315:Y378" si="78">W315*$X$7/12</f>
        <v>#NUM!</v>
      </c>
      <c r="Z315" s="6" t="e">
        <f t="shared" ref="Z315:Z378" si="79">X315-Y315</f>
        <v>#NUM!</v>
      </c>
      <c r="AA315" s="6" t="e">
        <f t="shared" ref="AA315:AA378" si="80">W315-Z315</f>
        <v>#NUM!</v>
      </c>
      <c r="AB315" s="6"/>
    </row>
    <row r="316" spans="2:28" x14ac:dyDescent="0.4">
      <c r="B316" s="7">
        <v>259</v>
      </c>
      <c r="C316" s="59" t="e">
        <f t="shared" si="71"/>
        <v>#NUM!</v>
      </c>
      <c r="D316" s="6" t="e">
        <f t="shared" si="72"/>
        <v>#NUM!</v>
      </c>
      <c r="E316" s="6" t="e">
        <f t="shared" si="73"/>
        <v>#NUM!</v>
      </c>
      <c r="F316" s="6" t="e">
        <f t="shared" si="74"/>
        <v>#NUM!</v>
      </c>
      <c r="G316" s="6" t="e">
        <f t="shared" si="75"/>
        <v>#NUM!</v>
      </c>
      <c r="H316" s="6"/>
      <c r="I316" s="6"/>
      <c r="V316" s="7">
        <v>259</v>
      </c>
      <c r="W316" s="59" t="e">
        <f t="shared" si="76"/>
        <v>#NUM!</v>
      </c>
      <c r="X316" s="6" t="e">
        <f t="shared" si="77"/>
        <v>#NUM!</v>
      </c>
      <c r="Y316" s="6" t="e">
        <f t="shared" si="78"/>
        <v>#NUM!</v>
      </c>
      <c r="Z316" s="6" t="e">
        <f t="shared" si="79"/>
        <v>#NUM!</v>
      </c>
      <c r="AA316" s="6" t="e">
        <f t="shared" si="80"/>
        <v>#NUM!</v>
      </c>
      <c r="AB316" s="6"/>
    </row>
    <row r="317" spans="2:28" x14ac:dyDescent="0.4">
      <c r="B317" s="7">
        <v>260</v>
      </c>
      <c r="C317" s="59" t="e">
        <f t="shared" si="71"/>
        <v>#NUM!</v>
      </c>
      <c r="D317" s="6" t="e">
        <f t="shared" si="72"/>
        <v>#NUM!</v>
      </c>
      <c r="E317" s="6" t="e">
        <f t="shared" si="73"/>
        <v>#NUM!</v>
      </c>
      <c r="F317" s="6" t="e">
        <f t="shared" si="74"/>
        <v>#NUM!</v>
      </c>
      <c r="G317" s="6" t="e">
        <f t="shared" si="75"/>
        <v>#NUM!</v>
      </c>
      <c r="H317" s="6"/>
      <c r="I317" s="6"/>
      <c r="V317" s="7">
        <v>260</v>
      </c>
      <c r="W317" s="59" t="e">
        <f t="shared" si="76"/>
        <v>#NUM!</v>
      </c>
      <c r="X317" s="6" t="e">
        <f t="shared" si="77"/>
        <v>#NUM!</v>
      </c>
      <c r="Y317" s="6" t="e">
        <f t="shared" si="78"/>
        <v>#NUM!</v>
      </c>
      <c r="Z317" s="6" t="e">
        <f t="shared" si="79"/>
        <v>#NUM!</v>
      </c>
      <c r="AA317" s="6" t="e">
        <f t="shared" si="80"/>
        <v>#NUM!</v>
      </c>
      <c r="AB317" s="6"/>
    </row>
    <row r="318" spans="2:28" x14ac:dyDescent="0.4">
      <c r="B318" s="7">
        <v>261</v>
      </c>
      <c r="C318" s="59" t="e">
        <f t="shared" si="71"/>
        <v>#NUM!</v>
      </c>
      <c r="D318" s="6" t="e">
        <f t="shared" si="72"/>
        <v>#NUM!</v>
      </c>
      <c r="E318" s="6" t="e">
        <f t="shared" si="73"/>
        <v>#NUM!</v>
      </c>
      <c r="F318" s="6" t="e">
        <f t="shared" si="74"/>
        <v>#NUM!</v>
      </c>
      <c r="G318" s="6" t="e">
        <f t="shared" si="75"/>
        <v>#NUM!</v>
      </c>
      <c r="H318" s="6"/>
      <c r="I318" s="6"/>
      <c r="V318" s="7">
        <v>261</v>
      </c>
      <c r="W318" s="59" t="e">
        <f t="shared" si="76"/>
        <v>#NUM!</v>
      </c>
      <c r="X318" s="6" t="e">
        <f t="shared" si="77"/>
        <v>#NUM!</v>
      </c>
      <c r="Y318" s="6" t="e">
        <f t="shared" si="78"/>
        <v>#NUM!</v>
      </c>
      <c r="Z318" s="6" t="e">
        <f t="shared" si="79"/>
        <v>#NUM!</v>
      </c>
      <c r="AA318" s="6" t="e">
        <f t="shared" si="80"/>
        <v>#NUM!</v>
      </c>
      <c r="AB318" s="6"/>
    </row>
    <row r="319" spans="2:28" x14ac:dyDescent="0.4">
      <c r="B319" s="7">
        <v>262</v>
      </c>
      <c r="C319" s="59" t="e">
        <f t="shared" si="71"/>
        <v>#NUM!</v>
      </c>
      <c r="D319" s="6" t="e">
        <f t="shared" si="72"/>
        <v>#NUM!</v>
      </c>
      <c r="E319" s="6" t="e">
        <f t="shared" si="73"/>
        <v>#NUM!</v>
      </c>
      <c r="F319" s="6" t="e">
        <f t="shared" si="74"/>
        <v>#NUM!</v>
      </c>
      <c r="G319" s="6" t="e">
        <f t="shared" si="75"/>
        <v>#NUM!</v>
      </c>
      <c r="H319" s="6"/>
      <c r="I319" s="6"/>
      <c r="V319" s="7">
        <v>262</v>
      </c>
      <c r="W319" s="59" t="e">
        <f t="shared" si="76"/>
        <v>#NUM!</v>
      </c>
      <c r="X319" s="6" t="e">
        <f t="shared" si="77"/>
        <v>#NUM!</v>
      </c>
      <c r="Y319" s="6" t="e">
        <f t="shared" si="78"/>
        <v>#NUM!</v>
      </c>
      <c r="Z319" s="6" t="e">
        <f t="shared" si="79"/>
        <v>#NUM!</v>
      </c>
      <c r="AA319" s="6" t="e">
        <f t="shared" si="80"/>
        <v>#NUM!</v>
      </c>
      <c r="AB319" s="6"/>
    </row>
    <row r="320" spans="2:28" x14ac:dyDescent="0.4">
      <c r="B320" s="7">
        <v>263</v>
      </c>
      <c r="C320" s="59" t="e">
        <f t="shared" si="71"/>
        <v>#NUM!</v>
      </c>
      <c r="D320" s="6" t="e">
        <f t="shared" si="72"/>
        <v>#NUM!</v>
      </c>
      <c r="E320" s="6" t="e">
        <f t="shared" si="73"/>
        <v>#NUM!</v>
      </c>
      <c r="F320" s="6" t="e">
        <f t="shared" si="74"/>
        <v>#NUM!</v>
      </c>
      <c r="G320" s="6" t="e">
        <f t="shared" si="75"/>
        <v>#NUM!</v>
      </c>
      <c r="H320" s="6"/>
      <c r="I320" s="6"/>
      <c r="V320" s="7">
        <v>263</v>
      </c>
      <c r="W320" s="59" t="e">
        <f t="shared" si="76"/>
        <v>#NUM!</v>
      </c>
      <c r="X320" s="6" t="e">
        <f t="shared" si="77"/>
        <v>#NUM!</v>
      </c>
      <c r="Y320" s="6" t="e">
        <f t="shared" si="78"/>
        <v>#NUM!</v>
      </c>
      <c r="Z320" s="6" t="e">
        <f t="shared" si="79"/>
        <v>#NUM!</v>
      </c>
      <c r="AA320" s="6" t="e">
        <f t="shared" si="80"/>
        <v>#NUM!</v>
      </c>
      <c r="AB320" s="6"/>
    </row>
    <row r="321" spans="2:28" x14ac:dyDescent="0.4">
      <c r="B321" s="7">
        <v>264</v>
      </c>
      <c r="C321" s="59" t="e">
        <f t="shared" si="71"/>
        <v>#NUM!</v>
      </c>
      <c r="D321" s="6" t="e">
        <f t="shared" si="72"/>
        <v>#NUM!</v>
      </c>
      <c r="E321" s="6" t="e">
        <f t="shared" si="73"/>
        <v>#NUM!</v>
      </c>
      <c r="F321" s="6" t="e">
        <f t="shared" si="74"/>
        <v>#NUM!</v>
      </c>
      <c r="G321" s="6" t="e">
        <f t="shared" si="75"/>
        <v>#NUM!</v>
      </c>
      <c r="H321" s="6"/>
      <c r="I321" s="6"/>
      <c r="V321" s="7">
        <v>264</v>
      </c>
      <c r="W321" s="59" t="e">
        <f t="shared" si="76"/>
        <v>#NUM!</v>
      </c>
      <c r="X321" s="6" t="e">
        <f t="shared" si="77"/>
        <v>#NUM!</v>
      </c>
      <c r="Y321" s="6" t="e">
        <f t="shared" si="78"/>
        <v>#NUM!</v>
      </c>
      <c r="Z321" s="6" t="e">
        <f t="shared" si="79"/>
        <v>#NUM!</v>
      </c>
      <c r="AA321" s="6" t="e">
        <f t="shared" si="80"/>
        <v>#NUM!</v>
      </c>
      <c r="AB321" s="6"/>
    </row>
    <row r="322" spans="2:28" x14ac:dyDescent="0.4">
      <c r="B322" s="7">
        <v>265</v>
      </c>
      <c r="C322" s="59" t="e">
        <f t="shared" si="71"/>
        <v>#NUM!</v>
      </c>
      <c r="D322" s="6" t="e">
        <f t="shared" si="72"/>
        <v>#NUM!</v>
      </c>
      <c r="E322" s="6" t="e">
        <f t="shared" si="73"/>
        <v>#NUM!</v>
      </c>
      <c r="F322" s="6" t="e">
        <f t="shared" si="74"/>
        <v>#NUM!</v>
      </c>
      <c r="G322" s="6" t="e">
        <f t="shared" si="75"/>
        <v>#NUM!</v>
      </c>
      <c r="H322" s="6"/>
      <c r="I322" s="6"/>
      <c r="V322" s="7">
        <v>265</v>
      </c>
      <c r="W322" s="59" t="e">
        <f t="shared" si="76"/>
        <v>#NUM!</v>
      </c>
      <c r="X322" s="6" t="e">
        <f t="shared" si="77"/>
        <v>#NUM!</v>
      </c>
      <c r="Y322" s="6" t="e">
        <f t="shared" si="78"/>
        <v>#NUM!</v>
      </c>
      <c r="Z322" s="6" t="e">
        <f t="shared" si="79"/>
        <v>#NUM!</v>
      </c>
      <c r="AA322" s="6" t="e">
        <f t="shared" si="80"/>
        <v>#NUM!</v>
      </c>
      <c r="AB322" s="6"/>
    </row>
    <row r="323" spans="2:28" x14ac:dyDescent="0.4">
      <c r="B323" s="7">
        <v>266</v>
      </c>
      <c r="C323" s="59" t="e">
        <f t="shared" si="71"/>
        <v>#NUM!</v>
      </c>
      <c r="D323" s="6" t="e">
        <f t="shared" si="72"/>
        <v>#NUM!</v>
      </c>
      <c r="E323" s="6" t="e">
        <f t="shared" si="73"/>
        <v>#NUM!</v>
      </c>
      <c r="F323" s="6" t="e">
        <f t="shared" si="74"/>
        <v>#NUM!</v>
      </c>
      <c r="G323" s="6" t="e">
        <f t="shared" si="75"/>
        <v>#NUM!</v>
      </c>
      <c r="H323" s="6"/>
      <c r="I323" s="6"/>
      <c r="V323" s="7">
        <v>266</v>
      </c>
      <c r="W323" s="59" t="e">
        <f t="shared" si="76"/>
        <v>#NUM!</v>
      </c>
      <c r="X323" s="6" t="e">
        <f t="shared" si="77"/>
        <v>#NUM!</v>
      </c>
      <c r="Y323" s="6" t="e">
        <f t="shared" si="78"/>
        <v>#NUM!</v>
      </c>
      <c r="Z323" s="6" t="e">
        <f t="shared" si="79"/>
        <v>#NUM!</v>
      </c>
      <c r="AA323" s="6" t="e">
        <f t="shared" si="80"/>
        <v>#NUM!</v>
      </c>
      <c r="AB323" s="6"/>
    </row>
    <row r="324" spans="2:28" x14ac:dyDescent="0.4">
      <c r="B324" s="7">
        <v>267</v>
      </c>
      <c r="C324" s="59" t="e">
        <f t="shared" si="71"/>
        <v>#NUM!</v>
      </c>
      <c r="D324" s="6" t="e">
        <f t="shared" si="72"/>
        <v>#NUM!</v>
      </c>
      <c r="E324" s="6" t="e">
        <f t="shared" si="73"/>
        <v>#NUM!</v>
      </c>
      <c r="F324" s="6" t="e">
        <f t="shared" si="74"/>
        <v>#NUM!</v>
      </c>
      <c r="G324" s="6" t="e">
        <f t="shared" si="75"/>
        <v>#NUM!</v>
      </c>
      <c r="H324" s="6"/>
      <c r="I324" s="6"/>
      <c r="V324" s="7">
        <v>267</v>
      </c>
      <c r="W324" s="59" t="e">
        <f t="shared" si="76"/>
        <v>#NUM!</v>
      </c>
      <c r="X324" s="6" t="e">
        <f t="shared" si="77"/>
        <v>#NUM!</v>
      </c>
      <c r="Y324" s="6" t="e">
        <f t="shared" si="78"/>
        <v>#NUM!</v>
      </c>
      <c r="Z324" s="6" t="e">
        <f t="shared" si="79"/>
        <v>#NUM!</v>
      </c>
      <c r="AA324" s="6" t="e">
        <f t="shared" si="80"/>
        <v>#NUM!</v>
      </c>
      <c r="AB324" s="6"/>
    </row>
    <row r="325" spans="2:28" x14ac:dyDescent="0.4">
      <c r="B325" s="7">
        <v>268</v>
      </c>
      <c r="C325" s="59" t="e">
        <f t="shared" si="71"/>
        <v>#NUM!</v>
      </c>
      <c r="D325" s="6" t="e">
        <f t="shared" si="72"/>
        <v>#NUM!</v>
      </c>
      <c r="E325" s="6" t="e">
        <f t="shared" si="73"/>
        <v>#NUM!</v>
      </c>
      <c r="F325" s="6" t="e">
        <f t="shared" si="74"/>
        <v>#NUM!</v>
      </c>
      <c r="G325" s="6" t="e">
        <f t="shared" si="75"/>
        <v>#NUM!</v>
      </c>
      <c r="H325" s="6"/>
      <c r="I325" s="6"/>
      <c r="V325" s="7">
        <v>268</v>
      </c>
      <c r="W325" s="59" t="e">
        <f t="shared" si="76"/>
        <v>#NUM!</v>
      </c>
      <c r="X325" s="6" t="e">
        <f t="shared" si="77"/>
        <v>#NUM!</v>
      </c>
      <c r="Y325" s="6" t="e">
        <f t="shared" si="78"/>
        <v>#NUM!</v>
      </c>
      <c r="Z325" s="6" t="e">
        <f t="shared" si="79"/>
        <v>#NUM!</v>
      </c>
      <c r="AA325" s="6" t="e">
        <f t="shared" si="80"/>
        <v>#NUM!</v>
      </c>
      <c r="AB325" s="6"/>
    </row>
    <row r="326" spans="2:28" x14ac:dyDescent="0.4">
      <c r="B326" s="7">
        <v>269</v>
      </c>
      <c r="C326" s="59" t="e">
        <f t="shared" si="71"/>
        <v>#NUM!</v>
      </c>
      <c r="D326" s="6" t="e">
        <f t="shared" si="72"/>
        <v>#NUM!</v>
      </c>
      <c r="E326" s="6" t="e">
        <f t="shared" si="73"/>
        <v>#NUM!</v>
      </c>
      <c r="F326" s="6" t="e">
        <f t="shared" si="74"/>
        <v>#NUM!</v>
      </c>
      <c r="G326" s="6" t="e">
        <f t="shared" si="75"/>
        <v>#NUM!</v>
      </c>
      <c r="H326" s="6"/>
      <c r="I326" s="6"/>
      <c r="V326" s="7">
        <v>269</v>
      </c>
      <c r="W326" s="59" t="e">
        <f t="shared" si="76"/>
        <v>#NUM!</v>
      </c>
      <c r="X326" s="6" t="e">
        <f t="shared" si="77"/>
        <v>#NUM!</v>
      </c>
      <c r="Y326" s="6" t="e">
        <f t="shared" si="78"/>
        <v>#NUM!</v>
      </c>
      <c r="Z326" s="6" t="e">
        <f t="shared" si="79"/>
        <v>#NUM!</v>
      </c>
      <c r="AA326" s="6" t="e">
        <f t="shared" si="80"/>
        <v>#NUM!</v>
      </c>
      <c r="AB326" s="6"/>
    </row>
    <row r="327" spans="2:28" x14ac:dyDescent="0.4">
      <c r="B327" s="7">
        <v>270</v>
      </c>
      <c r="C327" s="59" t="e">
        <f t="shared" si="71"/>
        <v>#NUM!</v>
      </c>
      <c r="D327" s="6" t="e">
        <f t="shared" si="72"/>
        <v>#NUM!</v>
      </c>
      <c r="E327" s="6" t="e">
        <f t="shared" si="73"/>
        <v>#NUM!</v>
      </c>
      <c r="F327" s="6" t="e">
        <f t="shared" si="74"/>
        <v>#NUM!</v>
      </c>
      <c r="G327" s="6" t="e">
        <f t="shared" si="75"/>
        <v>#NUM!</v>
      </c>
      <c r="H327" s="6"/>
      <c r="I327" s="6"/>
      <c r="V327" s="7">
        <v>270</v>
      </c>
      <c r="W327" s="59" t="e">
        <f t="shared" si="76"/>
        <v>#NUM!</v>
      </c>
      <c r="X327" s="6" t="e">
        <f t="shared" si="77"/>
        <v>#NUM!</v>
      </c>
      <c r="Y327" s="6" t="e">
        <f t="shared" si="78"/>
        <v>#NUM!</v>
      </c>
      <c r="Z327" s="6" t="e">
        <f t="shared" si="79"/>
        <v>#NUM!</v>
      </c>
      <c r="AA327" s="6" t="e">
        <f t="shared" si="80"/>
        <v>#NUM!</v>
      </c>
      <c r="AB327" s="6"/>
    </row>
    <row r="328" spans="2:28" x14ac:dyDescent="0.4">
      <c r="B328" s="7">
        <v>271</v>
      </c>
      <c r="C328" s="59" t="e">
        <f t="shared" si="71"/>
        <v>#NUM!</v>
      </c>
      <c r="D328" s="6" t="e">
        <f t="shared" si="72"/>
        <v>#NUM!</v>
      </c>
      <c r="E328" s="6" t="e">
        <f t="shared" si="73"/>
        <v>#NUM!</v>
      </c>
      <c r="F328" s="6" t="e">
        <f t="shared" si="74"/>
        <v>#NUM!</v>
      </c>
      <c r="G328" s="6" t="e">
        <f t="shared" si="75"/>
        <v>#NUM!</v>
      </c>
      <c r="H328" s="6"/>
      <c r="I328" s="6"/>
      <c r="V328" s="7">
        <v>271</v>
      </c>
      <c r="W328" s="59" t="e">
        <f t="shared" si="76"/>
        <v>#NUM!</v>
      </c>
      <c r="X328" s="6" t="e">
        <f t="shared" si="77"/>
        <v>#NUM!</v>
      </c>
      <c r="Y328" s="6" t="e">
        <f t="shared" si="78"/>
        <v>#NUM!</v>
      </c>
      <c r="Z328" s="6" t="e">
        <f t="shared" si="79"/>
        <v>#NUM!</v>
      </c>
      <c r="AA328" s="6" t="e">
        <f t="shared" si="80"/>
        <v>#NUM!</v>
      </c>
      <c r="AB328" s="6"/>
    </row>
    <row r="329" spans="2:28" x14ac:dyDescent="0.4">
      <c r="B329" s="7">
        <v>272</v>
      </c>
      <c r="C329" s="59" t="e">
        <f t="shared" si="71"/>
        <v>#NUM!</v>
      </c>
      <c r="D329" s="6" t="e">
        <f t="shared" si="72"/>
        <v>#NUM!</v>
      </c>
      <c r="E329" s="6" t="e">
        <f t="shared" si="73"/>
        <v>#NUM!</v>
      </c>
      <c r="F329" s="6" t="e">
        <f t="shared" si="74"/>
        <v>#NUM!</v>
      </c>
      <c r="G329" s="6" t="e">
        <f t="shared" si="75"/>
        <v>#NUM!</v>
      </c>
      <c r="H329" s="6"/>
      <c r="I329" s="6"/>
      <c r="V329" s="7">
        <v>272</v>
      </c>
      <c r="W329" s="59" t="e">
        <f t="shared" si="76"/>
        <v>#NUM!</v>
      </c>
      <c r="X329" s="6" t="e">
        <f t="shared" si="77"/>
        <v>#NUM!</v>
      </c>
      <c r="Y329" s="6" t="e">
        <f t="shared" si="78"/>
        <v>#NUM!</v>
      </c>
      <c r="Z329" s="6" t="e">
        <f t="shared" si="79"/>
        <v>#NUM!</v>
      </c>
      <c r="AA329" s="6" t="e">
        <f t="shared" si="80"/>
        <v>#NUM!</v>
      </c>
      <c r="AB329" s="6"/>
    </row>
    <row r="330" spans="2:28" x14ac:dyDescent="0.4">
      <c r="B330" s="7">
        <v>273</v>
      </c>
      <c r="C330" s="59" t="e">
        <f t="shared" si="71"/>
        <v>#NUM!</v>
      </c>
      <c r="D330" s="6" t="e">
        <f t="shared" si="72"/>
        <v>#NUM!</v>
      </c>
      <c r="E330" s="6" t="e">
        <f t="shared" si="73"/>
        <v>#NUM!</v>
      </c>
      <c r="F330" s="6" t="e">
        <f t="shared" si="74"/>
        <v>#NUM!</v>
      </c>
      <c r="G330" s="6" t="e">
        <f t="shared" si="75"/>
        <v>#NUM!</v>
      </c>
      <c r="H330" s="6"/>
      <c r="I330" s="6"/>
      <c r="V330" s="7">
        <v>273</v>
      </c>
      <c r="W330" s="59" t="e">
        <f t="shared" si="76"/>
        <v>#NUM!</v>
      </c>
      <c r="X330" s="6" t="e">
        <f t="shared" si="77"/>
        <v>#NUM!</v>
      </c>
      <c r="Y330" s="6" t="e">
        <f t="shared" si="78"/>
        <v>#NUM!</v>
      </c>
      <c r="Z330" s="6" t="e">
        <f t="shared" si="79"/>
        <v>#NUM!</v>
      </c>
      <c r="AA330" s="6" t="e">
        <f t="shared" si="80"/>
        <v>#NUM!</v>
      </c>
      <c r="AB330" s="6"/>
    </row>
    <row r="331" spans="2:28" x14ac:dyDescent="0.4">
      <c r="B331" s="7">
        <v>274</v>
      </c>
      <c r="C331" s="59" t="e">
        <f t="shared" si="71"/>
        <v>#NUM!</v>
      </c>
      <c r="D331" s="6" t="e">
        <f t="shared" si="72"/>
        <v>#NUM!</v>
      </c>
      <c r="E331" s="6" t="e">
        <f t="shared" si="73"/>
        <v>#NUM!</v>
      </c>
      <c r="F331" s="6" t="e">
        <f t="shared" si="74"/>
        <v>#NUM!</v>
      </c>
      <c r="G331" s="6" t="e">
        <f t="shared" si="75"/>
        <v>#NUM!</v>
      </c>
      <c r="H331" s="6"/>
      <c r="I331" s="6"/>
      <c r="V331" s="7">
        <v>274</v>
      </c>
      <c r="W331" s="59" t="e">
        <f t="shared" si="76"/>
        <v>#NUM!</v>
      </c>
      <c r="X331" s="6" t="e">
        <f t="shared" si="77"/>
        <v>#NUM!</v>
      </c>
      <c r="Y331" s="6" t="e">
        <f t="shared" si="78"/>
        <v>#NUM!</v>
      </c>
      <c r="Z331" s="6" t="e">
        <f t="shared" si="79"/>
        <v>#NUM!</v>
      </c>
      <c r="AA331" s="6" t="e">
        <f t="shared" si="80"/>
        <v>#NUM!</v>
      </c>
      <c r="AB331" s="6"/>
    </row>
    <row r="332" spans="2:28" x14ac:dyDescent="0.4">
      <c r="B332" s="7">
        <v>275</v>
      </c>
      <c r="C332" s="59" t="e">
        <f t="shared" si="71"/>
        <v>#NUM!</v>
      </c>
      <c r="D332" s="6" t="e">
        <f t="shared" si="72"/>
        <v>#NUM!</v>
      </c>
      <c r="E332" s="6" t="e">
        <f t="shared" si="73"/>
        <v>#NUM!</v>
      </c>
      <c r="F332" s="6" t="e">
        <f t="shared" si="74"/>
        <v>#NUM!</v>
      </c>
      <c r="G332" s="6" t="e">
        <f t="shared" si="75"/>
        <v>#NUM!</v>
      </c>
      <c r="H332" s="6"/>
      <c r="I332" s="6"/>
      <c r="V332" s="7">
        <v>275</v>
      </c>
      <c r="W332" s="59" t="e">
        <f t="shared" si="76"/>
        <v>#NUM!</v>
      </c>
      <c r="X332" s="6" t="e">
        <f t="shared" si="77"/>
        <v>#NUM!</v>
      </c>
      <c r="Y332" s="6" t="e">
        <f t="shared" si="78"/>
        <v>#NUM!</v>
      </c>
      <c r="Z332" s="6" t="e">
        <f t="shared" si="79"/>
        <v>#NUM!</v>
      </c>
      <c r="AA332" s="6" t="e">
        <f t="shared" si="80"/>
        <v>#NUM!</v>
      </c>
      <c r="AB332" s="6"/>
    </row>
    <row r="333" spans="2:28" x14ac:dyDescent="0.4">
      <c r="B333" s="7">
        <v>276</v>
      </c>
      <c r="C333" s="59" t="e">
        <f t="shared" si="71"/>
        <v>#NUM!</v>
      </c>
      <c r="D333" s="6" t="e">
        <f t="shared" si="72"/>
        <v>#NUM!</v>
      </c>
      <c r="E333" s="6" t="e">
        <f t="shared" si="73"/>
        <v>#NUM!</v>
      </c>
      <c r="F333" s="6" t="e">
        <f t="shared" si="74"/>
        <v>#NUM!</v>
      </c>
      <c r="G333" s="6" t="e">
        <f t="shared" si="75"/>
        <v>#NUM!</v>
      </c>
      <c r="H333" s="6"/>
      <c r="I333" s="6"/>
      <c r="V333" s="7">
        <v>276</v>
      </c>
      <c r="W333" s="59" t="e">
        <f t="shared" si="76"/>
        <v>#NUM!</v>
      </c>
      <c r="X333" s="6" t="e">
        <f t="shared" si="77"/>
        <v>#NUM!</v>
      </c>
      <c r="Y333" s="6" t="e">
        <f t="shared" si="78"/>
        <v>#NUM!</v>
      </c>
      <c r="Z333" s="6" t="e">
        <f t="shared" si="79"/>
        <v>#NUM!</v>
      </c>
      <c r="AA333" s="6" t="e">
        <f t="shared" si="80"/>
        <v>#NUM!</v>
      </c>
      <c r="AB333" s="6"/>
    </row>
    <row r="334" spans="2:28" x14ac:dyDescent="0.4">
      <c r="B334" s="7">
        <v>277</v>
      </c>
      <c r="C334" s="59" t="e">
        <f t="shared" si="71"/>
        <v>#NUM!</v>
      </c>
      <c r="D334" s="6" t="e">
        <f t="shared" si="72"/>
        <v>#NUM!</v>
      </c>
      <c r="E334" s="6" t="e">
        <f t="shared" si="73"/>
        <v>#NUM!</v>
      </c>
      <c r="F334" s="6" t="e">
        <f t="shared" si="74"/>
        <v>#NUM!</v>
      </c>
      <c r="G334" s="6" t="e">
        <f t="shared" si="75"/>
        <v>#NUM!</v>
      </c>
      <c r="H334" s="6"/>
      <c r="I334" s="6"/>
      <c r="V334" s="7">
        <v>277</v>
      </c>
      <c r="W334" s="59" t="e">
        <f t="shared" si="76"/>
        <v>#NUM!</v>
      </c>
      <c r="X334" s="6" t="e">
        <f t="shared" si="77"/>
        <v>#NUM!</v>
      </c>
      <c r="Y334" s="6" t="e">
        <f t="shared" si="78"/>
        <v>#NUM!</v>
      </c>
      <c r="Z334" s="6" t="e">
        <f t="shared" si="79"/>
        <v>#NUM!</v>
      </c>
      <c r="AA334" s="6" t="e">
        <f t="shared" si="80"/>
        <v>#NUM!</v>
      </c>
      <c r="AB334" s="6"/>
    </row>
    <row r="335" spans="2:28" x14ac:dyDescent="0.4">
      <c r="B335" s="7">
        <v>278</v>
      </c>
      <c r="C335" s="59" t="e">
        <f t="shared" si="71"/>
        <v>#NUM!</v>
      </c>
      <c r="D335" s="6" t="e">
        <f t="shared" si="72"/>
        <v>#NUM!</v>
      </c>
      <c r="E335" s="6" t="e">
        <f t="shared" si="73"/>
        <v>#NUM!</v>
      </c>
      <c r="F335" s="6" t="e">
        <f t="shared" si="74"/>
        <v>#NUM!</v>
      </c>
      <c r="G335" s="6" t="e">
        <f t="shared" si="75"/>
        <v>#NUM!</v>
      </c>
      <c r="H335" s="6"/>
      <c r="I335" s="6"/>
      <c r="V335" s="7">
        <v>278</v>
      </c>
      <c r="W335" s="59" t="e">
        <f t="shared" si="76"/>
        <v>#NUM!</v>
      </c>
      <c r="X335" s="6" t="e">
        <f t="shared" si="77"/>
        <v>#NUM!</v>
      </c>
      <c r="Y335" s="6" t="e">
        <f t="shared" si="78"/>
        <v>#NUM!</v>
      </c>
      <c r="Z335" s="6" t="e">
        <f t="shared" si="79"/>
        <v>#NUM!</v>
      </c>
      <c r="AA335" s="6" t="e">
        <f t="shared" si="80"/>
        <v>#NUM!</v>
      </c>
      <c r="AB335" s="6"/>
    </row>
    <row r="336" spans="2:28" x14ac:dyDescent="0.4">
      <c r="B336" s="7">
        <v>279</v>
      </c>
      <c r="C336" s="59" t="e">
        <f t="shared" si="71"/>
        <v>#NUM!</v>
      </c>
      <c r="D336" s="6" t="e">
        <f t="shared" si="72"/>
        <v>#NUM!</v>
      </c>
      <c r="E336" s="6" t="e">
        <f t="shared" si="73"/>
        <v>#NUM!</v>
      </c>
      <c r="F336" s="6" t="e">
        <f t="shared" si="74"/>
        <v>#NUM!</v>
      </c>
      <c r="G336" s="6" t="e">
        <f t="shared" si="75"/>
        <v>#NUM!</v>
      </c>
      <c r="H336" s="6"/>
      <c r="I336" s="6"/>
      <c r="V336" s="7">
        <v>279</v>
      </c>
      <c r="W336" s="59" t="e">
        <f t="shared" si="76"/>
        <v>#NUM!</v>
      </c>
      <c r="X336" s="6" t="e">
        <f t="shared" si="77"/>
        <v>#NUM!</v>
      </c>
      <c r="Y336" s="6" t="e">
        <f t="shared" si="78"/>
        <v>#NUM!</v>
      </c>
      <c r="Z336" s="6" t="e">
        <f t="shared" si="79"/>
        <v>#NUM!</v>
      </c>
      <c r="AA336" s="6" t="e">
        <f t="shared" si="80"/>
        <v>#NUM!</v>
      </c>
      <c r="AB336" s="6"/>
    </row>
    <row r="337" spans="2:28" x14ac:dyDescent="0.4">
      <c r="B337" s="7">
        <v>280</v>
      </c>
      <c r="C337" s="59" t="e">
        <f t="shared" si="71"/>
        <v>#NUM!</v>
      </c>
      <c r="D337" s="6" t="e">
        <f t="shared" si="72"/>
        <v>#NUM!</v>
      </c>
      <c r="E337" s="6" t="e">
        <f t="shared" si="73"/>
        <v>#NUM!</v>
      </c>
      <c r="F337" s="6" t="e">
        <f t="shared" si="74"/>
        <v>#NUM!</v>
      </c>
      <c r="G337" s="6" t="e">
        <f t="shared" si="75"/>
        <v>#NUM!</v>
      </c>
      <c r="H337" s="6"/>
      <c r="I337" s="6"/>
      <c r="V337" s="7">
        <v>280</v>
      </c>
      <c r="W337" s="59" t="e">
        <f t="shared" si="76"/>
        <v>#NUM!</v>
      </c>
      <c r="X337" s="6" t="e">
        <f t="shared" si="77"/>
        <v>#NUM!</v>
      </c>
      <c r="Y337" s="6" t="e">
        <f t="shared" si="78"/>
        <v>#NUM!</v>
      </c>
      <c r="Z337" s="6" t="e">
        <f t="shared" si="79"/>
        <v>#NUM!</v>
      </c>
      <c r="AA337" s="6" t="e">
        <f t="shared" si="80"/>
        <v>#NUM!</v>
      </c>
      <c r="AB337" s="6"/>
    </row>
    <row r="338" spans="2:28" x14ac:dyDescent="0.4">
      <c r="B338" s="7">
        <v>281</v>
      </c>
      <c r="C338" s="59" t="e">
        <f t="shared" si="71"/>
        <v>#NUM!</v>
      </c>
      <c r="D338" s="6" t="e">
        <f t="shared" si="72"/>
        <v>#NUM!</v>
      </c>
      <c r="E338" s="6" t="e">
        <f t="shared" si="73"/>
        <v>#NUM!</v>
      </c>
      <c r="F338" s="6" t="e">
        <f t="shared" si="74"/>
        <v>#NUM!</v>
      </c>
      <c r="G338" s="6" t="e">
        <f t="shared" si="75"/>
        <v>#NUM!</v>
      </c>
      <c r="H338" s="6"/>
      <c r="I338" s="6"/>
      <c r="V338" s="7">
        <v>281</v>
      </c>
      <c r="W338" s="59" t="e">
        <f t="shared" si="76"/>
        <v>#NUM!</v>
      </c>
      <c r="X338" s="6" t="e">
        <f t="shared" si="77"/>
        <v>#NUM!</v>
      </c>
      <c r="Y338" s="6" t="e">
        <f t="shared" si="78"/>
        <v>#NUM!</v>
      </c>
      <c r="Z338" s="6" t="e">
        <f t="shared" si="79"/>
        <v>#NUM!</v>
      </c>
      <c r="AA338" s="6" t="e">
        <f t="shared" si="80"/>
        <v>#NUM!</v>
      </c>
      <c r="AB338" s="6"/>
    </row>
    <row r="339" spans="2:28" x14ac:dyDescent="0.4">
      <c r="B339" s="7">
        <v>282</v>
      </c>
      <c r="C339" s="59" t="e">
        <f t="shared" si="71"/>
        <v>#NUM!</v>
      </c>
      <c r="D339" s="6" t="e">
        <f t="shared" si="72"/>
        <v>#NUM!</v>
      </c>
      <c r="E339" s="6" t="e">
        <f t="shared" si="73"/>
        <v>#NUM!</v>
      </c>
      <c r="F339" s="6" t="e">
        <f t="shared" si="74"/>
        <v>#NUM!</v>
      </c>
      <c r="G339" s="6" t="e">
        <f t="shared" si="75"/>
        <v>#NUM!</v>
      </c>
      <c r="H339" s="6"/>
      <c r="I339" s="6"/>
      <c r="V339" s="7">
        <v>282</v>
      </c>
      <c r="W339" s="59" t="e">
        <f t="shared" si="76"/>
        <v>#NUM!</v>
      </c>
      <c r="X339" s="6" t="e">
        <f t="shared" si="77"/>
        <v>#NUM!</v>
      </c>
      <c r="Y339" s="6" t="e">
        <f t="shared" si="78"/>
        <v>#NUM!</v>
      </c>
      <c r="Z339" s="6" t="e">
        <f t="shared" si="79"/>
        <v>#NUM!</v>
      </c>
      <c r="AA339" s="6" t="e">
        <f t="shared" si="80"/>
        <v>#NUM!</v>
      </c>
      <c r="AB339" s="6"/>
    </row>
    <row r="340" spans="2:28" x14ac:dyDescent="0.4">
      <c r="B340" s="7">
        <v>283</v>
      </c>
      <c r="C340" s="59" t="e">
        <f t="shared" si="71"/>
        <v>#NUM!</v>
      </c>
      <c r="D340" s="6" t="e">
        <f t="shared" si="72"/>
        <v>#NUM!</v>
      </c>
      <c r="E340" s="6" t="e">
        <f t="shared" si="73"/>
        <v>#NUM!</v>
      </c>
      <c r="F340" s="6" t="e">
        <f t="shared" si="74"/>
        <v>#NUM!</v>
      </c>
      <c r="G340" s="6" t="e">
        <f t="shared" si="75"/>
        <v>#NUM!</v>
      </c>
      <c r="H340" s="6"/>
      <c r="I340" s="6"/>
      <c r="V340" s="7">
        <v>283</v>
      </c>
      <c r="W340" s="59" t="e">
        <f t="shared" si="76"/>
        <v>#NUM!</v>
      </c>
      <c r="X340" s="6" t="e">
        <f t="shared" si="77"/>
        <v>#NUM!</v>
      </c>
      <c r="Y340" s="6" t="e">
        <f t="shared" si="78"/>
        <v>#NUM!</v>
      </c>
      <c r="Z340" s="6" t="e">
        <f t="shared" si="79"/>
        <v>#NUM!</v>
      </c>
      <c r="AA340" s="6" t="e">
        <f t="shared" si="80"/>
        <v>#NUM!</v>
      </c>
      <c r="AB340" s="6"/>
    </row>
    <row r="341" spans="2:28" x14ac:dyDescent="0.4">
      <c r="B341" s="7">
        <v>284</v>
      </c>
      <c r="C341" s="59" t="e">
        <f t="shared" si="71"/>
        <v>#NUM!</v>
      </c>
      <c r="D341" s="6" t="e">
        <f t="shared" si="72"/>
        <v>#NUM!</v>
      </c>
      <c r="E341" s="6" t="e">
        <f t="shared" si="73"/>
        <v>#NUM!</v>
      </c>
      <c r="F341" s="6" t="e">
        <f t="shared" si="74"/>
        <v>#NUM!</v>
      </c>
      <c r="G341" s="6" t="e">
        <f t="shared" si="75"/>
        <v>#NUM!</v>
      </c>
      <c r="H341" s="6"/>
      <c r="I341" s="6"/>
      <c r="V341" s="7">
        <v>284</v>
      </c>
      <c r="W341" s="59" t="e">
        <f t="shared" si="76"/>
        <v>#NUM!</v>
      </c>
      <c r="X341" s="6" t="e">
        <f t="shared" si="77"/>
        <v>#NUM!</v>
      </c>
      <c r="Y341" s="6" t="e">
        <f t="shared" si="78"/>
        <v>#NUM!</v>
      </c>
      <c r="Z341" s="6" t="e">
        <f t="shared" si="79"/>
        <v>#NUM!</v>
      </c>
      <c r="AA341" s="6" t="e">
        <f t="shared" si="80"/>
        <v>#NUM!</v>
      </c>
      <c r="AB341" s="6"/>
    </row>
    <row r="342" spans="2:28" x14ac:dyDescent="0.4">
      <c r="B342" s="7">
        <v>285</v>
      </c>
      <c r="C342" s="59" t="e">
        <f t="shared" si="71"/>
        <v>#NUM!</v>
      </c>
      <c r="D342" s="6" t="e">
        <f t="shared" si="72"/>
        <v>#NUM!</v>
      </c>
      <c r="E342" s="6" t="e">
        <f t="shared" si="73"/>
        <v>#NUM!</v>
      </c>
      <c r="F342" s="6" t="e">
        <f t="shared" si="74"/>
        <v>#NUM!</v>
      </c>
      <c r="G342" s="6" t="e">
        <f t="shared" si="75"/>
        <v>#NUM!</v>
      </c>
      <c r="H342" s="6"/>
      <c r="I342" s="6"/>
      <c r="V342" s="7">
        <v>285</v>
      </c>
      <c r="W342" s="59" t="e">
        <f t="shared" si="76"/>
        <v>#NUM!</v>
      </c>
      <c r="X342" s="6" t="e">
        <f t="shared" si="77"/>
        <v>#NUM!</v>
      </c>
      <c r="Y342" s="6" t="e">
        <f t="shared" si="78"/>
        <v>#NUM!</v>
      </c>
      <c r="Z342" s="6" t="e">
        <f t="shared" si="79"/>
        <v>#NUM!</v>
      </c>
      <c r="AA342" s="6" t="e">
        <f t="shared" si="80"/>
        <v>#NUM!</v>
      </c>
      <c r="AB342" s="6"/>
    </row>
    <row r="343" spans="2:28" x14ac:dyDescent="0.4">
      <c r="B343" s="7">
        <v>286</v>
      </c>
      <c r="C343" s="59" t="e">
        <f t="shared" si="71"/>
        <v>#NUM!</v>
      </c>
      <c r="D343" s="6" t="e">
        <f t="shared" si="72"/>
        <v>#NUM!</v>
      </c>
      <c r="E343" s="6" t="e">
        <f t="shared" si="73"/>
        <v>#NUM!</v>
      </c>
      <c r="F343" s="6" t="e">
        <f t="shared" si="74"/>
        <v>#NUM!</v>
      </c>
      <c r="G343" s="6" t="e">
        <f t="shared" si="75"/>
        <v>#NUM!</v>
      </c>
      <c r="H343" s="6"/>
      <c r="I343" s="6"/>
      <c r="V343" s="7">
        <v>286</v>
      </c>
      <c r="W343" s="59" t="e">
        <f t="shared" si="76"/>
        <v>#NUM!</v>
      </c>
      <c r="X343" s="6" t="e">
        <f t="shared" si="77"/>
        <v>#NUM!</v>
      </c>
      <c r="Y343" s="6" t="e">
        <f t="shared" si="78"/>
        <v>#NUM!</v>
      </c>
      <c r="Z343" s="6" t="e">
        <f t="shared" si="79"/>
        <v>#NUM!</v>
      </c>
      <c r="AA343" s="6" t="e">
        <f t="shared" si="80"/>
        <v>#NUM!</v>
      </c>
      <c r="AB343" s="6"/>
    </row>
    <row r="344" spans="2:28" x14ac:dyDescent="0.4">
      <c r="B344" s="7">
        <v>287</v>
      </c>
      <c r="C344" s="59" t="e">
        <f t="shared" si="71"/>
        <v>#NUM!</v>
      </c>
      <c r="D344" s="6" t="e">
        <f t="shared" si="72"/>
        <v>#NUM!</v>
      </c>
      <c r="E344" s="6" t="e">
        <f t="shared" si="73"/>
        <v>#NUM!</v>
      </c>
      <c r="F344" s="6" t="e">
        <f t="shared" si="74"/>
        <v>#NUM!</v>
      </c>
      <c r="G344" s="6" t="e">
        <f t="shared" si="75"/>
        <v>#NUM!</v>
      </c>
      <c r="H344" s="6"/>
      <c r="I344" s="6"/>
      <c r="V344" s="7">
        <v>287</v>
      </c>
      <c r="W344" s="59" t="e">
        <f t="shared" si="76"/>
        <v>#NUM!</v>
      </c>
      <c r="X344" s="6" t="e">
        <f t="shared" si="77"/>
        <v>#NUM!</v>
      </c>
      <c r="Y344" s="6" t="e">
        <f t="shared" si="78"/>
        <v>#NUM!</v>
      </c>
      <c r="Z344" s="6" t="e">
        <f t="shared" si="79"/>
        <v>#NUM!</v>
      </c>
      <c r="AA344" s="6" t="e">
        <f t="shared" si="80"/>
        <v>#NUM!</v>
      </c>
      <c r="AB344" s="6"/>
    </row>
    <row r="345" spans="2:28" x14ac:dyDescent="0.4">
      <c r="B345" s="7">
        <v>288</v>
      </c>
      <c r="C345" s="59" t="e">
        <f t="shared" si="71"/>
        <v>#NUM!</v>
      </c>
      <c r="D345" s="6" t="e">
        <f t="shared" si="72"/>
        <v>#NUM!</v>
      </c>
      <c r="E345" s="6" t="e">
        <f t="shared" si="73"/>
        <v>#NUM!</v>
      </c>
      <c r="F345" s="6" t="e">
        <f t="shared" si="74"/>
        <v>#NUM!</v>
      </c>
      <c r="G345" s="6" t="e">
        <f t="shared" si="75"/>
        <v>#NUM!</v>
      </c>
      <c r="H345" s="6"/>
      <c r="I345" s="6"/>
      <c r="V345" s="7">
        <v>288</v>
      </c>
      <c r="W345" s="59" t="e">
        <f t="shared" si="76"/>
        <v>#NUM!</v>
      </c>
      <c r="X345" s="6" t="e">
        <f t="shared" si="77"/>
        <v>#NUM!</v>
      </c>
      <c r="Y345" s="6" t="e">
        <f t="shared" si="78"/>
        <v>#NUM!</v>
      </c>
      <c r="Z345" s="6" t="e">
        <f t="shared" si="79"/>
        <v>#NUM!</v>
      </c>
      <c r="AA345" s="6" t="e">
        <f t="shared" si="80"/>
        <v>#NUM!</v>
      </c>
      <c r="AB345" s="6"/>
    </row>
    <row r="346" spans="2:28" x14ac:dyDescent="0.4">
      <c r="B346" s="7">
        <v>289</v>
      </c>
      <c r="C346" s="59" t="e">
        <f t="shared" si="71"/>
        <v>#NUM!</v>
      </c>
      <c r="D346" s="6" t="e">
        <f t="shared" si="72"/>
        <v>#NUM!</v>
      </c>
      <c r="E346" s="6" t="e">
        <f t="shared" si="73"/>
        <v>#NUM!</v>
      </c>
      <c r="F346" s="6" t="e">
        <f t="shared" si="74"/>
        <v>#NUM!</v>
      </c>
      <c r="G346" s="6" t="e">
        <f t="shared" si="75"/>
        <v>#NUM!</v>
      </c>
      <c r="H346" s="6"/>
      <c r="I346" s="6"/>
      <c r="V346" s="7">
        <v>289</v>
      </c>
      <c r="W346" s="59" t="e">
        <f t="shared" si="76"/>
        <v>#NUM!</v>
      </c>
      <c r="X346" s="6" t="e">
        <f t="shared" si="77"/>
        <v>#NUM!</v>
      </c>
      <c r="Y346" s="6" t="e">
        <f t="shared" si="78"/>
        <v>#NUM!</v>
      </c>
      <c r="Z346" s="6" t="e">
        <f t="shared" si="79"/>
        <v>#NUM!</v>
      </c>
      <c r="AA346" s="6" t="e">
        <f t="shared" si="80"/>
        <v>#NUM!</v>
      </c>
      <c r="AB346" s="6"/>
    </row>
    <row r="347" spans="2:28" x14ac:dyDescent="0.4">
      <c r="B347" s="7">
        <v>290</v>
      </c>
      <c r="C347" s="59" t="e">
        <f t="shared" si="71"/>
        <v>#NUM!</v>
      </c>
      <c r="D347" s="6" t="e">
        <f t="shared" si="72"/>
        <v>#NUM!</v>
      </c>
      <c r="E347" s="6" t="e">
        <f t="shared" si="73"/>
        <v>#NUM!</v>
      </c>
      <c r="F347" s="6" t="e">
        <f t="shared" si="74"/>
        <v>#NUM!</v>
      </c>
      <c r="G347" s="6" t="e">
        <f t="shared" si="75"/>
        <v>#NUM!</v>
      </c>
      <c r="H347" s="6"/>
      <c r="I347" s="6"/>
      <c r="V347" s="7">
        <v>290</v>
      </c>
      <c r="W347" s="59" t="e">
        <f t="shared" si="76"/>
        <v>#NUM!</v>
      </c>
      <c r="X347" s="6" t="e">
        <f t="shared" si="77"/>
        <v>#NUM!</v>
      </c>
      <c r="Y347" s="6" t="e">
        <f t="shared" si="78"/>
        <v>#NUM!</v>
      </c>
      <c r="Z347" s="6" t="e">
        <f t="shared" si="79"/>
        <v>#NUM!</v>
      </c>
      <c r="AA347" s="6" t="e">
        <f t="shared" si="80"/>
        <v>#NUM!</v>
      </c>
      <c r="AB347" s="6"/>
    </row>
    <row r="348" spans="2:28" x14ac:dyDescent="0.4">
      <c r="B348" s="7">
        <v>291</v>
      </c>
      <c r="C348" s="59" t="e">
        <f t="shared" si="71"/>
        <v>#NUM!</v>
      </c>
      <c r="D348" s="6" t="e">
        <f t="shared" si="72"/>
        <v>#NUM!</v>
      </c>
      <c r="E348" s="6" t="e">
        <f t="shared" si="73"/>
        <v>#NUM!</v>
      </c>
      <c r="F348" s="6" t="e">
        <f t="shared" si="74"/>
        <v>#NUM!</v>
      </c>
      <c r="G348" s="6" t="e">
        <f t="shared" si="75"/>
        <v>#NUM!</v>
      </c>
      <c r="H348" s="6"/>
      <c r="I348" s="6"/>
      <c r="V348" s="7">
        <v>291</v>
      </c>
      <c r="W348" s="59" t="e">
        <f t="shared" si="76"/>
        <v>#NUM!</v>
      </c>
      <c r="X348" s="6" t="e">
        <f t="shared" si="77"/>
        <v>#NUM!</v>
      </c>
      <c r="Y348" s="6" t="e">
        <f t="shared" si="78"/>
        <v>#NUM!</v>
      </c>
      <c r="Z348" s="6" t="e">
        <f t="shared" si="79"/>
        <v>#NUM!</v>
      </c>
      <c r="AA348" s="6" t="e">
        <f t="shared" si="80"/>
        <v>#NUM!</v>
      </c>
      <c r="AB348" s="6"/>
    </row>
    <row r="349" spans="2:28" x14ac:dyDescent="0.4">
      <c r="B349" s="7">
        <v>292</v>
      </c>
      <c r="C349" s="59" t="e">
        <f t="shared" si="71"/>
        <v>#NUM!</v>
      </c>
      <c r="D349" s="6" t="e">
        <f t="shared" si="72"/>
        <v>#NUM!</v>
      </c>
      <c r="E349" s="6" t="e">
        <f t="shared" si="73"/>
        <v>#NUM!</v>
      </c>
      <c r="F349" s="6" t="e">
        <f t="shared" si="74"/>
        <v>#NUM!</v>
      </c>
      <c r="G349" s="6" t="e">
        <f t="shared" si="75"/>
        <v>#NUM!</v>
      </c>
      <c r="H349" s="6"/>
      <c r="I349" s="6"/>
      <c r="V349" s="7">
        <v>292</v>
      </c>
      <c r="W349" s="59" t="e">
        <f t="shared" si="76"/>
        <v>#NUM!</v>
      </c>
      <c r="X349" s="6" t="e">
        <f t="shared" si="77"/>
        <v>#NUM!</v>
      </c>
      <c r="Y349" s="6" t="e">
        <f t="shared" si="78"/>
        <v>#NUM!</v>
      </c>
      <c r="Z349" s="6" t="e">
        <f t="shared" si="79"/>
        <v>#NUM!</v>
      </c>
      <c r="AA349" s="6" t="e">
        <f t="shared" si="80"/>
        <v>#NUM!</v>
      </c>
      <c r="AB349" s="6"/>
    </row>
    <row r="350" spans="2:28" x14ac:dyDescent="0.4">
      <c r="B350" s="7">
        <v>293</v>
      </c>
      <c r="C350" s="59" t="e">
        <f t="shared" si="71"/>
        <v>#NUM!</v>
      </c>
      <c r="D350" s="6" t="e">
        <f t="shared" si="72"/>
        <v>#NUM!</v>
      </c>
      <c r="E350" s="6" t="e">
        <f t="shared" si="73"/>
        <v>#NUM!</v>
      </c>
      <c r="F350" s="6" t="e">
        <f t="shared" si="74"/>
        <v>#NUM!</v>
      </c>
      <c r="G350" s="6" t="e">
        <f t="shared" si="75"/>
        <v>#NUM!</v>
      </c>
      <c r="H350" s="6"/>
      <c r="I350" s="6"/>
      <c r="V350" s="7">
        <v>293</v>
      </c>
      <c r="W350" s="59" t="e">
        <f t="shared" si="76"/>
        <v>#NUM!</v>
      </c>
      <c r="X350" s="6" t="e">
        <f t="shared" si="77"/>
        <v>#NUM!</v>
      </c>
      <c r="Y350" s="6" t="e">
        <f t="shared" si="78"/>
        <v>#NUM!</v>
      </c>
      <c r="Z350" s="6" t="e">
        <f t="shared" si="79"/>
        <v>#NUM!</v>
      </c>
      <c r="AA350" s="6" t="e">
        <f t="shared" si="80"/>
        <v>#NUM!</v>
      </c>
      <c r="AB350" s="6"/>
    </row>
    <row r="351" spans="2:28" x14ac:dyDescent="0.4">
      <c r="B351" s="7">
        <v>294</v>
      </c>
      <c r="C351" s="59" t="e">
        <f t="shared" si="71"/>
        <v>#NUM!</v>
      </c>
      <c r="D351" s="6" t="e">
        <f t="shared" si="72"/>
        <v>#NUM!</v>
      </c>
      <c r="E351" s="6" t="e">
        <f t="shared" si="73"/>
        <v>#NUM!</v>
      </c>
      <c r="F351" s="6" t="e">
        <f t="shared" si="74"/>
        <v>#NUM!</v>
      </c>
      <c r="G351" s="6" t="e">
        <f t="shared" si="75"/>
        <v>#NUM!</v>
      </c>
      <c r="H351" s="6"/>
      <c r="I351" s="6"/>
      <c r="V351" s="7">
        <v>294</v>
      </c>
      <c r="W351" s="59" t="e">
        <f t="shared" si="76"/>
        <v>#NUM!</v>
      </c>
      <c r="X351" s="6" t="e">
        <f t="shared" si="77"/>
        <v>#NUM!</v>
      </c>
      <c r="Y351" s="6" t="e">
        <f t="shared" si="78"/>
        <v>#NUM!</v>
      </c>
      <c r="Z351" s="6" t="e">
        <f t="shared" si="79"/>
        <v>#NUM!</v>
      </c>
      <c r="AA351" s="6" t="e">
        <f t="shared" si="80"/>
        <v>#NUM!</v>
      </c>
      <c r="AB351" s="6"/>
    </row>
    <row r="352" spans="2:28" x14ac:dyDescent="0.4">
      <c r="B352" s="7">
        <v>295</v>
      </c>
      <c r="C352" s="59" t="e">
        <f t="shared" si="71"/>
        <v>#NUM!</v>
      </c>
      <c r="D352" s="6" t="e">
        <f t="shared" si="72"/>
        <v>#NUM!</v>
      </c>
      <c r="E352" s="6" t="e">
        <f t="shared" si="73"/>
        <v>#NUM!</v>
      </c>
      <c r="F352" s="6" t="e">
        <f t="shared" si="74"/>
        <v>#NUM!</v>
      </c>
      <c r="G352" s="6" t="e">
        <f t="shared" si="75"/>
        <v>#NUM!</v>
      </c>
      <c r="H352" s="6"/>
      <c r="I352" s="6"/>
      <c r="V352" s="7">
        <v>295</v>
      </c>
      <c r="W352" s="59" t="e">
        <f t="shared" si="76"/>
        <v>#NUM!</v>
      </c>
      <c r="X352" s="6" t="e">
        <f t="shared" si="77"/>
        <v>#NUM!</v>
      </c>
      <c r="Y352" s="6" t="e">
        <f t="shared" si="78"/>
        <v>#NUM!</v>
      </c>
      <c r="Z352" s="6" t="e">
        <f t="shared" si="79"/>
        <v>#NUM!</v>
      </c>
      <c r="AA352" s="6" t="e">
        <f t="shared" si="80"/>
        <v>#NUM!</v>
      </c>
      <c r="AB352" s="6"/>
    </row>
    <row r="353" spans="2:28" x14ac:dyDescent="0.4">
      <c r="B353" s="7">
        <v>296</v>
      </c>
      <c r="C353" s="59" t="e">
        <f t="shared" si="71"/>
        <v>#NUM!</v>
      </c>
      <c r="D353" s="6" t="e">
        <f t="shared" si="72"/>
        <v>#NUM!</v>
      </c>
      <c r="E353" s="6" t="e">
        <f t="shared" si="73"/>
        <v>#NUM!</v>
      </c>
      <c r="F353" s="6" t="e">
        <f t="shared" si="74"/>
        <v>#NUM!</v>
      </c>
      <c r="G353" s="6" t="e">
        <f t="shared" si="75"/>
        <v>#NUM!</v>
      </c>
      <c r="H353" s="6"/>
      <c r="I353" s="6"/>
      <c r="V353" s="7">
        <v>296</v>
      </c>
      <c r="W353" s="59" t="e">
        <f t="shared" si="76"/>
        <v>#NUM!</v>
      </c>
      <c r="X353" s="6" t="e">
        <f t="shared" si="77"/>
        <v>#NUM!</v>
      </c>
      <c r="Y353" s="6" t="e">
        <f t="shared" si="78"/>
        <v>#NUM!</v>
      </c>
      <c r="Z353" s="6" t="e">
        <f t="shared" si="79"/>
        <v>#NUM!</v>
      </c>
      <c r="AA353" s="6" t="e">
        <f t="shared" si="80"/>
        <v>#NUM!</v>
      </c>
      <c r="AB353" s="6"/>
    </row>
    <row r="354" spans="2:28" x14ac:dyDescent="0.4">
      <c r="B354" s="7">
        <v>297</v>
      </c>
      <c r="C354" s="59" t="e">
        <f t="shared" si="71"/>
        <v>#NUM!</v>
      </c>
      <c r="D354" s="6" t="e">
        <f t="shared" si="72"/>
        <v>#NUM!</v>
      </c>
      <c r="E354" s="6" t="e">
        <f t="shared" si="73"/>
        <v>#NUM!</v>
      </c>
      <c r="F354" s="6" t="e">
        <f t="shared" si="74"/>
        <v>#NUM!</v>
      </c>
      <c r="G354" s="6" t="e">
        <f t="shared" si="75"/>
        <v>#NUM!</v>
      </c>
      <c r="H354" s="6"/>
      <c r="I354" s="6"/>
      <c r="V354" s="7">
        <v>297</v>
      </c>
      <c r="W354" s="59" t="e">
        <f t="shared" si="76"/>
        <v>#NUM!</v>
      </c>
      <c r="X354" s="6" t="e">
        <f t="shared" si="77"/>
        <v>#NUM!</v>
      </c>
      <c r="Y354" s="6" t="e">
        <f t="shared" si="78"/>
        <v>#NUM!</v>
      </c>
      <c r="Z354" s="6" t="e">
        <f t="shared" si="79"/>
        <v>#NUM!</v>
      </c>
      <c r="AA354" s="6" t="e">
        <f t="shared" si="80"/>
        <v>#NUM!</v>
      </c>
      <c r="AB354" s="6"/>
    </row>
    <row r="355" spans="2:28" x14ac:dyDescent="0.4">
      <c r="B355" s="7">
        <v>298</v>
      </c>
      <c r="C355" s="59" t="e">
        <f t="shared" si="71"/>
        <v>#NUM!</v>
      </c>
      <c r="D355" s="6" t="e">
        <f t="shared" si="72"/>
        <v>#NUM!</v>
      </c>
      <c r="E355" s="6" t="e">
        <f t="shared" si="73"/>
        <v>#NUM!</v>
      </c>
      <c r="F355" s="6" t="e">
        <f t="shared" si="74"/>
        <v>#NUM!</v>
      </c>
      <c r="G355" s="6" t="e">
        <f t="shared" si="75"/>
        <v>#NUM!</v>
      </c>
      <c r="H355" s="6"/>
      <c r="I355" s="6"/>
      <c r="V355" s="7">
        <v>298</v>
      </c>
      <c r="W355" s="59" t="e">
        <f t="shared" si="76"/>
        <v>#NUM!</v>
      </c>
      <c r="X355" s="6" t="e">
        <f t="shared" si="77"/>
        <v>#NUM!</v>
      </c>
      <c r="Y355" s="6" t="e">
        <f t="shared" si="78"/>
        <v>#NUM!</v>
      </c>
      <c r="Z355" s="6" t="e">
        <f t="shared" si="79"/>
        <v>#NUM!</v>
      </c>
      <c r="AA355" s="6" t="e">
        <f t="shared" si="80"/>
        <v>#NUM!</v>
      </c>
      <c r="AB355" s="6"/>
    </row>
    <row r="356" spans="2:28" x14ac:dyDescent="0.4">
      <c r="B356" s="7">
        <v>299</v>
      </c>
      <c r="C356" s="59" t="e">
        <f t="shared" si="71"/>
        <v>#NUM!</v>
      </c>
      <c r="D356" s="6" t="e">
        <f t="shared" si="72"/>
        <v>#NUM!</v>
      </c>
      <c r="E356" s="6" t="e">
        <f t="shared" si="73"/>
        <v>#NUM!</v>
      </c>
      <c r="F356" s="6" t="e">
        <f t="shared" si="74"/>
        <v>#NUM!</v>
      </c>
      <c r="G356" s="6" t="e">
        <f t="shared" si="75"/>
        <v>#NUM!</v>
      </c>
      <c r="H356" s="6"/>
      <c r="I356" s="6"/>
      <c r="V356" s="7">
        <v>299</v>
      </c>
      <c r="W356" s="59" t="e">
        <f t="shared" si="76"/>
        <v>#NUM!</v>
      </c>
      <c r="X356" s="6" t="e">
        <f t="shared" si="77"/>
        <v>#NUM!</v>
      </c>
      <c r="Y356" s="6" t="e">
        <f t="shared" si="78"/>
        <v>#NUM!</v>
      </c>
      <c r="Z356" s="6" t="e">
        <f t="shared" si="79"/>
        <v>#NUM!</v>
      </c>
      <c r="AA356" s="6" t="e">
        <f t="shared" si="80"/>
        <v>#NUM!</v>
      </c>
      <c r="AB356" s="6"/>
    </row>
    <row r="357" spans="2:28" x14ac:dyDescent="0.4">
      <c r="B357" s="7">
        <v>300</v>
      </c>
      <c r="C357" s="59" t="e">
        <f t="shared" si="71"/>
        <v>#NUM!</v>
      </c>
      <c r="D357" s="6" t="e">
        <f t="shared" si="72"/>
        <v>#NUM!</v>
      </c>
      <c r="E357" s="6" t="e">
        <f t="shared" si="73"/>
        <v>#NUM!</v>
      </c>
      <c r="F357" s="6" t="e">
        <f t="shared" si="74"/>
        <v>#NUM!</v>
      </c>
      <c r="G357" s="6" t="e">
        <f t="shared" si="75"/>
        <v>#NUM!</v>
      </c>
      <c r="H357" s="6"/>
      <c r="I357" s="6"/>
      <c r="V357" s="7">
        <v>300</v>
      </c>
      <c r="W357" s="59" t="e">
        <f t="shared" si="76"/>
        <v>#NUM!</v>
      </c>
      <c r="X357" s="6" t="e">
        <f t="shared" si="77"/>
        <v>#NUM!</v>
      </c>
      <c r="Y357" s="6" t="e">
        <f t="shared" si="78"/>
        <v>#NUM!</v>
      </c>
      <c r="Z357" s="6" t="e">
        <f t="shared" si="79"/>
        <v>#NUM!</v>
      </c>
      <c r="AA357" s="6" t="e">
        <f t="shared" si="80"/>
        <v>#NUM!</v>
      </c>
      <c r="AB357" s="6"/>
    </row>
    <row r="358" spans="2:28" x14ac:dyDescent="0.4">
      <c r="B358" s="7">
        <v>301</v>
      </c>
      <c r="C358" s="59" t="e">
        <f t="shared" si="71"/>
        <v>#NUM!</v>
      </c>
      <c r="D358" s="6" t="e">
        <f t="shared" si="72"/>
        <v>#NUM!</v>
      </c>
      <c r="E358" s="6" t="e">
        <f t="shared" si="73"/>
        <v>#NUM!</v>
      </c>
      <c r="F358" s="6" t="e">
        <f t="shared" si="74"/>
        <v>#NUM!</v>
      </c>
      <c r="G358" s="6" t="e">
        <f t="shared" si="75"/>
        <v>#NUM!</v>
      </c>
      <c r="H358" s="6"/>
      <c r="I358" s="6"/>
      <c r="V358" s="7">
        <v>301</v>
      </c>
      <c r="W358" s="59" t="e">
        <f t="shared" si="76"/>
        <v>#NUM!</v>
      </c>
      <c r="X358" s="6" t="e">
        <f t="shared" si="77"/>
        <v>#NUM!</v>
      </c>
      <c r="Y358" s="6" t="e">
        <f t="shared" si="78"/>
        <v>#NUM!</v>
      </c>
      <c r="Z358" s="6" t="e">
        <f t="shared" si="79"/>
        <v>#NUM!</v>
      </c>
      <c r="AA358" s="6" t="e">
        <f t="shared" si="80"/>
        <v>#NUM!</v>
      </c>
      <c r="AB358" s="6"/>
    </row>
    <row r="359" spans="2:28" x14ac:dyDescent="0.4">
      <c r="B359" s="7">
        <v>302</v>
      </c>
      <c r="C359" s="59" t="e">
        <f t="shared" si="71"/>
        <v>#NUM!</v>
      </c>
      <c r="D359" s="6" t="e">
        <f t="shared" si="72"/>
        <v>#NUM!</v>
      </c>
      <c r="E359" s="6" t="e">
        <f t="shared" si="73"/>
        <v>#NUM!</v>
      </c>
      <c r="F359" s="6" t="e">
        <f t="shared" si="74"/>
        <v>#NUM!</v>
      </c>
      <c r="G359" s="6" t="e">
        <f t="shared" si="75"/>
        <v>#NUM!</v>
      </c>
      <c r="H359" s="6"/>
      <c r="I359" s="6"/>
      <c r="V359" s="7">
        <v>302</v>
      </c>
      <c r="W359" s="59" t="e">
        <f t="shared" si="76"/>
        <v>#NUM!</v>
      </c>
      <c r="X359" s="6" t="e">
        <f t="shared" si="77"/>
        <v>#NUM!</v>
      </c>
      <c r="Y359" s="6" t="e">
        <f t="shared" si="78"/>
        <v>#NUM!</v>
      </c>
      <c r="Z359" s="6" t="e">
        <f t="shared" si="79"/>
        <v>#NUM!</v>
      </c>
      <c r="AA359" s="6" t="e">
        <f t="shared" si="80"/>
        <v>#NUM!</v>
      </c>
      <c r="AB359" s="6"/>
    </row>
    <row r="360" spans="2:28" x14ac:dyDescent="0.4">
      <c r="B360" s="7">
        <v>303</v>
      </c>
      <c r="C360" s="59" t="e">
        <f t="shared" si="71"/>
        <v>#NUM!</v>
      </c>
      <c r="D360" s="6" t="e">
        <f t="shared" si="72"/>
        <v>#NUM!</v>
      </c>
      <c r="E360" s="6" t="e">
        <f t="shared" si="73"/>
        <v>#NUM!</v>
      </c>
      <c r="F360" s="6" t="e">
        <f t="shared" si="74"/>
        <v>#NUM!</v>
      </c>
      <c r="G360" s="6" t="e">
        <f t="shared" si="75"/>
        <v>#NUM!</v>
      </c>
      <c r="H360" s="6"/>
      <c r="I360" s="6"/>
      <c r="V360" s="7">
        <v>303</v>
      </c>
      <c r="W360" s="59" t="e">
        <f t="shared" si="76"/>
        <v>#NUM!</v>
      </c>
      <c r="X360" s="6" t="e">
        <f t="shared" si="77"/>
        <v>#NUM!</v>
      </c>
      <c r="Y360" s="6" t="e">
        <f t="shared" si="78"/>
        <v>#NUM!</v>
      </c>
      <c r="Z360" s="6" t="e">
        <f t="shared" si="79"/>
        <v>#NUM!</v>
      </c>
      <c r="AA360" s="6" t="e">
        <f t="shared" si="80"/>
        <v>#NUM!</v>
      </c>
      <c r="AB360" s="6"/>
    </row>
    <row r="361" spans="2:28" x14ac:dyDescent="0.4">
      <c r="B361" s="7">
        <v>304</v>
      </c>
      <c r="C361" s="59" t="e">
        <f t="shared" si="71"/>
        <v>#NUM!</v>
      </c>
      <c r="D361" s="6" t="e">
        <f t="shared" si="72"/>
        <v>#NUM!</v>
      </c>
      <c r="E361" s="6" t="e">
        <f t="shared" si="73"/>
        <v>#NUM!</v>
      </c>
      <c r="F361" s="6" t="e">
        <f t="shared" si="74"/>
        <v>#NUM!</v>
      </c>
      <c r="G361" s="6" t="e">
        <f t="shared" si="75"/>
        <v>#NUM!</v>
      </c>
      <c r="H361" s="6"/>
      <c r="I361" s="6"/>
      <c r="V361" s="7">
        <v>304</v>
      </c>
      <c r="W361" s="59" t="e">
        <f t="shared" si="76"/>
        <v>#NUM!</v>
      </c>
      <c r="X361" s="6" t="e">
        <f t="shared" si="77"/>
        <v>#NUM!</v>
      </c>
      <c r="Y361" s="6" t="e">
        <f t="shared" si="78"/>
        <v>#NUM!</v>
      </c>
      <c r="Z361" s="6" t="e">
        <f t="shared" si="79"/>
        <v>#NUM!</v>
      </c>
      <c r="AA361" s="6" t="e">
        <f t="shared" si="80"/>
        <v>#NUM!</v>
      </c>
      <c r="AB361" s="6"/>
    </row>
    <row r="362" spans="2:28" x14ac:dyDescent="0.4">
      <c r="B362" s="7">
        <v>305</v>
      </c>
      <c r="C362" s="59" t="e">
        <f t="shared" si="71"/>
        <v>#NUM!</v>
      </c>
      <c r="D362" s="6" t="e">
        <f t="shared" si="72"/>
        <v>#NUM!</v>
      </c>
      <c r="E362" s="6" t="e">
        <f t="shared" si="73"/>
        <v>#NUM!</v>
      </c>
      <c r="F362" s="6" t="e">
        <f t="shared" si="74"/>
        <v>#NUM!</v>
      </c>
      <c r="G362" s="6" t="e">
        <f t="shared" si="75"/>
        <v>#NUM!</v>
      </c>
      <c r="H362" s="6"/>
      <c r="I362" s="6"/>
      <c r="V362" s="7">
        <v>305</v>
      </c>
      <c r="W362" s="59" t="e">
        <f t="shared" si="76"/>
        <v>#NUM!</v>
      </c>
      <c r="X362" s="6" t="e">
        <f t="shared" si="77"/>
        <v>#NUM!</v>
      </c>
      <c r="Y362" s="6" t="e">
        <f t="shared" si="78"/>
        <v>#NUM!</v>
      </c>
      <c r="Z362" s="6" t="e">
        <f t="shared" si="79"/>
        <v>#NUM!</v>
      </c>
      <c r="AA362" s="6" t="e">
        <f t="shared" si="80"/>
        <v>#NUM!</v>
      </c>
      <c r="AB362" s="6"/>
    </row>
    <row r="363" spans="2:28" x14ac:dyDescent="0.4">
      <c r="B363" s="7">
        <v>306</v>
      </c>
      <c r="C363" s="59" t="e">
        <f t="shared" si="71"/>
        <v>#NUM!</v>
      </c>
      <c r="D363" s="6" t="e">
        <f t="shared" si="72"/>
        <v>#NUM!</v>
      </c>
      <c r="E363" s="6" t="e">
        <f t="shared" si="73"/>
        <v>#NUM!</v>
      </c>
      <c r="F363" s="6" t="e">
        <f t="shared" si="74"/>
        <v>#NUM!</v>
      </c>
      <c r="G363" s="6" t="e">
        <f t="shared" si="75"/>
        <v>#NUM!</v>
      </c>
      <c r="H363" s="6"/>
      <c r="I363" s="6"/>
      <c r="V363" s="7">
        <v>306</v>
      </c>
      <c r="W363" s="59" t="e">
        <f t="shared" si="76"/>
        <v>#NUM!</v>
      </c>
      <c r="X363" s="6" t="e">
        <f t="shared" si="77"/>
        <v>#NUM!</v>
      </c>
      <c r="Y363" s="6" t="e">
        <f t="shared" si="78"/>
        <v>#NUM!</v>
      </c>
      <c r="Z363" s="6" t="e">
        <f t="shared" si="79"/>
        <v>#NUM!</v>
      </c>
      <c r="AA363" s="6" t="e">
        <f t="shared" si="80"/>
        <v>#NUM!</v>
      </c>
      <c r="AB363" s="6"/>
    </row>
    <row r="364" spans="2:28" x14ac:dyDescent="0.4">
      <c r="B364" s="7">
        <v>307</v>
      </c>
      <c r="C364" s="59" t="e">
        <f t="shared" si="71"/>
        <v>#NUM!</v>
      </c>
      <c r="D364" s="6" t="e">
        <f t="shared" si="72"/>
        <v>#NUM!</v>
      </c>
      <c r="E364" s="6" t="e">
        <f t="shared" si="73"/>
        <v>#NUM!</v>
      </c>
      <c r="F364" s="6" t="e">
        <f t="shared" si="74"/>
        <v>#NUM!</v>
      </c>
      <c r="G364" s="6" t="e">
        <f t="shared" si="75"/>
        <v>#NUM!</v>
      </c>
      <c r="H364" s="6"/>
      <c r="I364" s="6"/>
      <c r="V364" s="7">
        <v>307</v>
      </c>
      <c r="W364" s="59" t="e">
        <f t="shared" si="76"/>
        <v>#NUM!</v>
      </c>
      <c r="X364" s="6" t="e">
        <f t="shared" si="77"/>
        <v>#NUM!</v>
      </c>
      <c r="Y364" s="6" t="e">
        <f t="shared" si="78"/>
        <v>#NUM!</v>
      </c>
      <c r="Z364" s="6" t="e">
        <f t="shared" si="79"/>
        <v>#NUM!</v>
      </c>
      <c r="AA364" s="6" t="e">
        <f t="shared" si="80"/>
        <v>#NUM!</v>
      </c>
      <c r="AB364" s="6"/>
    </row>
    <row r="365" spans="2:28" x14ac:dyDescent="0.4">
      <c r="B365" s="7">
        <v>308</v>
      </c>
      <c r="C365" s="59" t="e">
        <f t="shared" si="71"/>
        <v>#NUM!</v>
      </c>
      <c r="D365" s="6" t="e">
        <f t="shared" si="72"/>
        <v>#NUM!</v>
      </c>
      <c r="E365" s="6" t="e">
        <f t="shared" si="73"/>
        <v>#NUM!</v>
      </c>
      <c r="F365" s="6" t="e">
        <f t="shared" si="74"/>
        <v>#NUM!</v>
      </c>
      <c r="G365" s="6" t="e">
        <f t="shared" si="75"/>
        <v>#NUM!</v>
      </c>
      <c r="H365" s="6"/>
      <c r="I365" s="6"/>
      <c r="V365" s="7">
        <v>308</v>
      </c>
      <c r="W365" s="59" t="e">
        <f t="shared" si="76"/>
        <v>#NUM!</v>
      </c>
      <c r="X365" s="6" t="e">
        <f t="shared" si="77"/>
        <v>#NUM!</v>
      </c>
      <c r="Y365" s="6" t="e">
        <f t="shared" si="78"/>
        <v>#NUM!</v>
      </c>
      <c r="Z365" s="6" t="e">
        <f t="shared" si="79"/>
        <v>#NUM!</v>
      </c>
      <c r="AA365" s="6" t="e">
        <f t="shared" si="80"/>
        <v>#NUM!</v>
      </c>
      <c r="AB365" s="6"/>
    </row>
    <row r="366" spans="2:28" x14ac:dyDescent="0.4">
      <c r="B366" s="7">
        <v>309</v>
      </c>
      <c r="C366" s="59" t="e">
        <f t="shared" si="71"/>
        <v>#NUM!</v>
      </c>
      <c r="D366" s="6" t="e">
        <f t="shared" si="72"/>
        <v>#NUM!</v>
      </c>
      <c r="E366" s="6" t="e">
        <f t="shared" si="73"/>
        <v>#NUM!</v>
      </c>
      <c r="F366" s="6" t="e">
        <f t="shared" si="74"/>
        <v>#NUM!</v>
      </c>
      <c r="G366" s="6" t="e">
        <f t="shared" si="75"/>
        <v>#NUM!</v>
      </c>
      <c r="H366" s="6"/>
      <c r="I366" s="6"/>
      <c r="V366" s="7">
        <v>309</v>
      </c>
      <c r="W366" s="59" t="e">
        <f t="shared" si="76"/>
        <v>#NUM!</v>
      </c>
      <c r="X366" s="6" t="e">
        <f t="shared" si="77"/>
        <v>#NUM!</v>
      </c>
      <c r="Y366" s="6" t="e">
        <f t="shared" si="78"/>
        <v>#NUM!</v>
      </c>
      <c r="Z366" s="6" t="e">
        <f t="shared" si="79"/>
        <v>#NUM!</v>
      </c>
      <c r="AA366" s="6" t="e">
        <f t="shared" si="80"/>
        <v>#NUM!</v>
      </c>
      <c r="AB366" s="6"/>
    </row>
    <row r="367" spans="2:28" x14ac:dyDescent="0.4">
      <c r="B367" s="7">
        <v>310</v>
      </c>
      <c r="C367" s="59" t="e">
        <f t="shared" si="71"/>
        <v>#NUM!</v>
      </c>
      <c r="D367" s="6" t="e">
        <f t="shared" si="72"/>
        <v>#NUM!</v>
      </c>
      <c r="E367" s="6" t="e">
        <f t="shared" si="73"/>
        <v>#NUM!</v>
      </c>
      <c r="F367" s="6" t="e">
        <f t="shared" si="74"/>
        <v>#NUM!</v>
      </c>
      <c r="G367" s="6" t="e">
        <f t="shared" si="75"/>
        <v>#NUM!</v>
      </c>
      <c r="H367" s="6"/>
      <c r="I367" s="6"/>
      <c r="V367" s="7">
        <v>310</v>
      </c>
      <c r="W367" s="59" t="e">
        <f t="shared" si="76"/>
        <v>#NUM!</v>
      </c>
      <c r="X367" s="6" t="e">
        <f t="shared" si="77"/>
        <v>#NUM!</v>
      </c>
      <c r="Y367" s="6" t="e">
        <f t="shared" si="78"/>
        <v>#NUM!</v>
      </c>
      <c r="Z367" s="6" t="e">
        <f t="shared" si="79"/>
        <v>#NUM!</v>
      </c>
      <c r="AA367" s="6" t="e">
        <f t="shared" si="80"/>
        <v>#NUM!</v>
      </c>
      <c r="AB367" s="6"/>
    </row>
    <row r="368" spans="2:28" x14ac:dyDescent="0.4">
      <c r="B368" s="7">
        <v>311</v>
      </c>
      <c r="C368" s="59" t="e">
        <f t="shared" si="71"/>
        <v>#NUM!</v>
      </c>
      <c r="D368" s="6" t="e">
        <f t="shared" si="72"/>
        <v>#NUM!</v>
      </c>
      <c r="E368" s="6" t="e">
        <f t="shared" si="73"/>
        <v>#NUM!</v>
      </c>
      <c r="F368" s="6" t="e">
        <f t="shared" si="74"/>
        <v>#NUM!</v>
      </c>
      <c r="G368" s="6" t="e">
        <f t="shared" si="75"/>
        <v>#NUM!</v>
      </c>
      <c r="H368" s="6"/>
      <c r="I368" s="6"/>
      <c r="V368" s="7">
        <v>311</v>
      </c>
      <c r="W368" s="59" t="e">
        <f t="shared" si="76"/>
        <v>#NUM!</v>
      </c>
      <c r="X368" s="6" t="e">
        <f t="shared" si="77"/>
        <v>#NUM!</v>
      </c>
      <c r="Y368" s="6" t="e">
        <f t="shared" si="78"/>
        <v>#NUM!</v>
      </c>
      <c r="Z368" s="6" t="e">
        <f t="shared" si="79"/>
        <v>#NUM!</v>
      </c>
      <c r="AA368" s="6" t="e">
        <f t="shared" si="80"/>
        <v>#NUM!</v>
      </c>
      <c r="AB368" s="6"/>
    </row>
    <row r="369" spans="2:28" x14ac:dyDescent="0.4">
      <c r="B369" s="7">
        <v>312</v>
      </c>
      <c r="C369" s="59" t="e">
        <f t="shared" si="71"/>
        <v>#NUM!</v>
      </c>
      <c r="D369" s="6" t="e">
        <f t="shared" si="72"/>
        <v>#NUM!</v>
      </c>
      <c r="E369" s="6" t="e">
        <f t="shared" si="73"/>
        <v>#NUM!</v>
      </c>
      <c r="F369" s="6" t="e">
        <f t="shared" si="74"/>
        <v>#NUM!</v>
      </c>
      <c r="G369" s="6" t="e">
        <f t="shared" si="75"/>
        <v>#NUM!</v>
      </c>
      <c r="H369" s="6"/>
      <c r="I369" s="6"/>
      <c r="V369" s="7">
        <v>312</v>
      </c>
      <c r="W369" s="59" t="e">
        <f t="shared" si="76"/>
        <v>#NUM!</v>
      </c>
      <c r="X369" s="6" t="e">
        <f t="shared" si="77"/>
        <v>#NUM!</v>
      </c>
      <c r="Y369" s="6" t="e">
        <f t="shared" si="78"/>
        <v>#NUM!</v>
      </c>
      <c r="Z369" s="6" t="e">
        <f t="shared" si="79"/>
        <v>#NUM!</v>
      </c>
      <c r="AA369" s="6" t="e">
        <f t="shared" si="80"/>
        <v>#NUM!</v>
      </c>
      <c r="AB369" s="6"/>
    </row>
    <row r="370" spans="2:28" x14ac:dyDescent="0.4">
      <c r="B370" s="7">
        <v>313</v>
      </c>
      <c r="C370" s="59" t="e">
        <f t="shared" si="71"/>
        <v>#NUM!</v>
      </c>
      <c r="D370" s="6" t="e">
        <f t="shared" si="72"/>
        <v>#NUM!</v>
      </c>
      <c r="E370" s="6" t="e">
        <f t="shared" si="73"/>
        <v>#NUM!</v>
      </c>
      <c r="F370" s="6" t="e">
        <f t="shared" si="74"/>
        <v>#NUM!</v>
      </c>
      <c r="G370" s="6" t="e">
        <f t="shared" si="75"/>
        <v>#NUM!</v>
      </c>
      <c r="H370" s="6"/>
      <c r="I370" s="6"/>
      <c r="V370" s="7">
        <v>313</v>
      </c>
      <c r="W370" s="59" t="e">
        <f t="shared" si="76"/>
        <v>#NUM!</v>
      </c>
      <c r="X370" s="6" t="e">
        <f t="shared" si="77"/>
        <v>#NUM!</v>
      </c>
      <c r="Y370" s="6" t="e">
        <f t="shared" si="78"/>
        <v>#NUM!</v>
      </c>
      <c r="Z370" s="6" t="e">
        <f t="shared" si="79"/>
        <v>#NUM!</v>
      </c>
      <c r="AA370" s="6" t="e">
        <f t="shared" si="80"/>
        <v>#NUM!</v>
      </c>
      <c r="AB370" s="6"/>
    </row>
    <row r="371" spans="2:28" x14ac:dyDescent="0.4">
      <c r="B371" s="7">
        <v>314</v>
      </c>
      <c r="C371" s="59" t="e">
        <f t="shared" si="71"/>
        <v>#NUM!</v>
      </c>
      <c r="D371" s="6" t="e">
        <f t="shared" si="72"/>
        <v>#NUM!</v>
      </c>
      <c r="E371" s="6" t="e">
        <f t="shared" si="73"/>
        <v>#NUM!</v>
      </c>
      <c r="F371" s="6" t="e">
        <f t="shared" si="74"/>
        <v>#NUM!</v>
      </c>
      <c r="G371" s="6" t="e">
        <f t="shared" si="75"/>
        <v>#NUM!</v>
      </c>
      <c r="H371" s="6"/>
      <c r="I371" s="6"/>
      <c r="V371" s="7">
        <v>314</v>
      </c>
      <c r="W371" s="59" t="e">
        <f t="shared" si="76"/>
        <v>#NUM!</v>
      </c>
      <c r="X371" s="6" t="e">
        <f t="shared" si="77"/>
        <v>#NUM!</v>
      </c>
      <c r="Y371" s="6" t="e">
        <f t="shared" si="78"/>
        <v>#NUM!</v>
      </c>
      <c r="Z371" s="6" t="e">
        <f t="shared" si="79"/>
        <v>#NUM!</v>
      </c>
      <c r="AA371" s="6" t="e">
        <f t="shared" si="80"/>
        <v>#NUM!</v>
      </c>
      <c r="AB371" s="6"/>
    </row>
    <row r="372" spans="2:28" x14ac:dyDescent="0.4">
      <c r="B372" s="7">
        <v>315</v>
      </c>
      <c r="C372" s="59" t="e">
        <f t="shared" si="71"/>
        <v>#NUM!</v>
      </c>
      <c r="D372" s="6" t="e">
        <f t="shared" si="72"/>
        <v>#NUM!</v>
      </c>
      <c r="E372" s="6" t="e">
        <f t="shared" si="73"/>
        <v>#NUM!</v>
      </c>
      <c r="F372" s="6" t="e">
        <f t="shared" si="74"/>
        <v>#NUM!</v>
      </c>
      <c r="G372" s="6" t="e">
        <f t="shared" si="75"/>
        <v>#NUM!</v>
      </c>
      <c r="H372" s="6"/>
      <c r="I372" s="6"/>
      <c r="V372" s="7">
        <v>315</v>
      </c>
      <c r="W372" s="59" t="e">
        <f t="shared" si="76"/>
        <v>#NUM!</v>
      </c>
      <c r="X372" s="6" t="e">
        <f t="shared" si="77"/>
        <v>#NUM!</v>
      </c>
      <c r="Y372" s="6" t="e">
        <f t="shared" si="78"/>
        <v>#NUM!</v>
      </c>
      <c r="Z372" s="6" t="e">
        <f t="shared" si="79"/>
        <v>#NUM!</v>
      </c>
      <c r="AA372" s="6" t="e">
        <f t="shared" si="80"/>
        <v>#NUM!</v>
      </c>
      <c r="AB372" s="6"/>
    </row>
    <row r="373" spans="2:28" x14ac:dyDescent="0.4">
      <c r="B373" s="7">
        <v>316</v>
      </c>
      <c r="C373" s="59" t="e">
        <f t="shared" si="71"/>
        <v>#NUM!</v>
      </c>
      <c r="D373" s="6" t="e">
        <f t="shared" si="72"/>
        <v>#NUM!</v>
      </c>
      <c r="E373" s="6" t="e">
        <f t="shared" si="73"/>
        <v>#NUM!</v>
      </c>
      <c r="F373" s="6" t="e">
        <f t="shared" si="74"/>
        <v>#NUM!</v>
      </c>
      <c r="G373" s="6" t="e">
        <f t="shared" si="75"/>
        <v>#NUM!</v>
      </c>
      <c r="H373" s="6"/>
      <c r="I373" s="6"/>
      <c r="V373" s="7">
        <v>316</v>
      </c>
      <c r="W373" s="59" t="e">
        <f t="shared" si="76"/>
        <v>#NUM!</v>
      </c>
      <c r="X373" s="6" t="e">
        <f t="shared" si="77"/>
        <v>#NUM!</v>
      </c>
      <c r="Y373" s="6" t="e">
        <f t="shared" si="78"/>
        <v>#NUM!</v>
      </c>
      <c r="Z373" s="6" t="e">
        <f t="shared" si="79"/>
        <v>#NUM!</v>
      </c>
      <c r="AA373" s="6" t="e">
        <f t="shared" si="80"/>
        <v>#NUM!</v>
      </c>
      <c r="AB373" s="6"/>
    </row>
    <row r="374" spans="2:28" x14ac:dyDescent="0.4">
      <c r="B374" s="7">
        <v>317</v>
      </c>
      <c r="C374" s="59" t="e">
        <f t="shared" si="71"/>
        <v>#NUM!</v>
      </c>
      <c r="D374" s="6" t="e">
        <f t="shared" si="72"/>
        <v>#NUM!</v>
      </c>
      <c r="E374" s="6" t="e">
        <f t="shared" si="73"/>
        <v>#NUM!</v>
      </c>
      <c r="F374" s="6" t="e">
        <f t="shared" si="74"/>
        <v>#NUM!</v>
      </c>
      <c r="G374" s="6" t="e">
        <f t="shared" si="75"/>
        <v>#NUM!</v>
      </c>
      <c r="H374" s="6"/>
      <c r="I374" s="6"/>
      <c r="V374" s="7">
        <v>317</v>
      </c>
      <c r="W374" s="59" t="e">
        <f t="shared" si="76"/>
        <v>#NUM!</v>
      </c>
      <c r="X374" s="6" t="e">
        <f t="shared" si="77"/>
        <v>#NUM!</v>
      </c>
      <c r="Y374" s="6" t="e">
        <f t="shared" si="78"/>
        <v>#NUM!</v>
      </c>
      <c r="Z374" s="6" t="e">
        <f t="shared" si="79"/>
        <v>#NUM!</v>
      </c>
      <c r="AA374" s="6" t="e">
        <f t="shared" si="80"/>
        <v>#NUM!</v>
      </c>
      <c r="AB374" s="6"/>
    </row>
    <row r="375" spans="2:28" x14ac:dyDescent="0.4">
      <c r="B375" s="7">
        <v>318</v>
      </c>
      <c r="C375" s="59" t="e">
        <f t="shared" si="71"/>
        <v>#NUM!</v>
      </c>
      <c r="D375" s="6" t="e">
        <f t="shared" si="72"/>
        <v>#NUM!</v>
      </c>
      <c r="E375" s="6" t="e">
        <f t="shared" si="73"/>
        <v>#NUM!</v>
      </c>
      <c r="F375" s="6" t="e">
        <f t="shared" si="74"/>
        <v>#NUM!</v>
      </c>
      <c r="G375" s="6" t="e">
        <f t="shared" si="75"/>
        <v>#NUM!</v>
      </c>
      <c r="H375" s="6"/>
      <c r="I375" s="6"/>
      <c r="V375" s="7">
        <v>318</v>
      </c>
      <c r="W375" s="59" t="e">
        <f t="shared" si="76"/>
        <v>#NUM!</v>
      </c>
      <c r="X375" s="6" t="e">
        <f t="shared" si="77"/>
        <v>#NUM!</v>
      </c>
      <c r="Y375" s="6" t="e">
        <f t="shared" si="78"/>
        <v>#NUM!</v>
      </c>
      <c r="Z375" s="6" t="e">
        <f t="shared" si="79"/>
        <v>#NUM!</v>
      </c>
      <c r="AA375" s="6" t="e">
        <f t="shared" si="80"/>
        <v>#NUM!</v>
      </c>
      <c r="AB375" s="6"/>
    </row>
    <row r="376" spans="2:28" x14ac:dyDescent="0.4">
      <c r="B376" s="7">
        <v>319</v>
      </c>
      <c r="C376" s="59" t="e">
        <f t="shared" si="71"/>
        <v>#NUM!</v>
      </c>
      <c r="D376" s="6" t="e">
        <f t="shared" si="72"/>
        <v>#NUM!</v>
      </c>
      <c r="E376" s="6" t="e">
        <f t="shared" si="73"/>
        <v>#NUM!</v>
      </c>
      <c r="F376" s="6" t="e">
        <f t="shared" si="74"/>
        <v>#NUM!</v>
      </c>
      <c r="G376" s="6" t="e">
        <f t="shared" si="75"/>
        <v>#NUM!</v>
      </c>
      <c r="H376" s="6"/>
      <c r="I376" s="6"/>
      <c r="V376" s="7">
        <v>319</v>
      </c>
      <c r="W376" s="59" t="e">
        <f t="shared" si="76"/>
        <v>#NUM!</v>
      </c>
      <c r="X376" s="6" t="e">
        <f t="shared" si="77"/>
        <v>#NUM!</v>
      </c>
      <c r="Y376" s="6" t="e">
        <f t="shared" si="78"/>
        <v>#NUM!</v>
      </c>
      <c r="Z376" s="6" t="e">
        <f t="shared" si="79"/>
        <v>#NUM!</v>
      </c>
      <c r="AA376" s="6" t="e">
        <f t="shared" si="80"/>
        <v>#NUM!</v>
      </c>
      <c r="AB376" s="6"/>
    </row>
    <row r="377" spans="2:28" x14ac:dyDescent="0.4">
      <c r="B377" s="7">
        <v>320</v>
      </c>
      <c r="C377" s="59" t="e">
        <f t="shared" si="71"/>
        <v>#NUM!</v>
      </c>
      <c r="D377" s="6" t="e">
        <f t="shared" si="72"/>
        <v>#NUM!</v>
      </c>
      <c r="E377" s="6" t="e">
        <f t="shared" si="73"/>
        <v>#NUM!</v>
      </c>
      <c r="F377" s="6" t="e">
        <f t="shared" si="74"/>
        <v>#NUM!</v>
      </c>
      <c r="G377" s="6" t="e">
        <f t="shared" si="75"/>
        <v>#NUM!</v>
      </c>
      <c r="H377" s="6"/>
      <c r="I377" s="6"/>
      <c r="V377" s="7">
        <v>320</v>
      </c>
      <c r="W377" s="59" t="e">
        <f t="shared" si="76"/>
        <v>#NUM!</v>
      </c>
      <c r="X377" s="6" t="e">
        <f t="shared" si="77"/>
        <v>#NUM!</v>
      </c>
      <c r="Y377" s="6" t="e">
        <f t="shared" si="78"/>
        <v>#NUM!</v>
      </c>
      <c r="Z377" s="6" t="e">
        <f t="shared" si="79"/>
        <v>#NUM!</v>
      </c>
      <c r="AA377" s="6" t="e">
        <f t="shared" si="80"/>
        <v>#NUM!</v>
      </c>
      <c r="AB377" s="6"/>
    </row>
    <row r="378" spans="2:28" x14ac:dyDescent="0.4">
      <c r="B378" s="7">
        <v>321</v>
      </c>
      <c r="C378" s="59" t="e">
        <f t="shared" si="71"/>
        <v>#NUM!</v>
      </c>
      <c r="D378" s="6" t="e">
        <f t="shared" si="72"/>
        <v>#NUM!</v>
      </c>
      <c r="E378" s="6" t="e">
        <f t="shared" si="73"/>
        <v>#NUM!</v>
      </c>
      <c r="F378" s="6" t="e">
        <f t="shared" si="74"/>
        <v>#NUM!</v>
      </c>
      <c r="G378" s="6" t="e">
        <f t="shared" si="75"/>
        <v>#NUM!</v>
      </c>
      <c r="H378" s="6"/>
      <c r="I378" s="6"/>
      <c r="V378" s="7">
        <v>321</v>
      </c>
      <c r="W378" s="59" t="e">
        <f t="shared" si="76"/>
        <v>#NUM!</v>
      </c>
      <c r="X378" s="6" t="e">
        <f t="shared" si="77"/>
        <v>#NUM!</v>
      </c>
      <c r="Y378" s="6" t="e">
        <f t="shared" si="78"/>
        <v>#NUM!</v>
      </c>
      <c r="Z378" s="6" t="e">
        <f t="shared" si="79"/>
        <v>#NUM!</v>
      </c>
      <c r="AA378" s="6" t="e">
        <f t="shared" si="80"/>
        <v>#NUM!</v>
      </c>
      <c r="AB378" s="6"/>
    </row>
    <row r="379" spans="2:28" x14ac:dyDescent="0.4">
      <c r="B379" s="7">
        <v>322</v>
      </c>
      <c r="C379" s="59" t="e">
        <f t="shared" ref="C379:C442" si="81">G378</f>
        <v>#NUM!</v>
      </c>
      <c r="D379" s="6" t="e">
        <f t="shared" ref="D379:D442" si="82">-PMT($D$7/12,$D$9*12,$D$6,,)</f>
        <v>#NUM!</v>
      </c>
      <c r="E379" s="6" t="e">
        <f t="shared" ref="E379:E442" si="83">C379*$D$7/12</f>
        <v>#NUM!</v>
      </c>
      <c r="F379" s="6" t="e">
        <f t="shared" ref="F379:F442" si="84">D379-E379</f>
        <v>#NUM!</v>
      </c>
      <c r="G379" s="6" t="e">
        <f t="shared" ref="G379:G442" si="85">C379-F379</f>
        <v>#NUM!</v>
      </c>
      <c r="H379" s="6"/>
      <c r="I379" s="6"/>
      <c r="V379" s="7">
        <v>322</v>
      </c>
      <c r="W379" s="59" t="e">
        <f t="shared" ref="W379:W442" si="86">AA378</f>
        <v>#NUM!</v>
      </c>
      <c r="X379" s="6" t="e">
        <f t="shared" ref="X379:X442" si="87">-PMT($X$7/12,$X$9*12,$X$6,,)</f>
        <v>#NUM!</v>
      </c>
      <c r="Y379" s="6" t="e">
        <f t="shared" ref="Y379:Y442" si="88">W379*$X$7/12</f>
        <v>#NUM!</v>
      </c>
      <c r="Z379" s="6" t="e">
        <f t="shared" ref="Z379:Z442" si="89">X379-Y379</f>
        <v>#NUM!</v>
      </c>
      <c r="AA379" s="6" t="e">
        <f t="shared" ref="AA379:AA442" si="90">W379-Z379</f>
        <v>#NUM!</v>
      </c>
      <c r="AB379" s="6"/>
    </row>
    <row r="380" spans="2:28" x14ac:dyDescent="0.4">
      <c r="B380" s="7">
        <v>323</v>
      </c>
      <c r="C380" s="59" t="e">
        <f t="shared" si="81"/>
        <v>#NUM!</v>
      </c>
      <c r="D380" s="6" t="e">
        <f t="shared" si="82"/>
        <v>#NUM!</v>
      </c>
      <c r="E380" s="6" t="e">
        <f t="shared" si="83"/>
        <v>#NUM!</v>
      </c>
      <c r="F380" s="6" t="e">
        <f t="shared" si="84"/>
        <v>#NUM!</v>
      </c>
      <c r="G380" s="6" t="e">
        <f t="shared" si="85"/>
        <v>#NUM!</v>
      </c>
      <c r="H380" s="6"/>
      <c r="I380" s="6"/>
      <c r="V380" s="7">
        <v>323</v>
      </c>
      <c r="W380" s="59" t="e">
        <f t="shared" si="86"/>
        <v>#NUM!</v>
      </c>
      <c r="X380" s="6" t="e">
        <f t="shared" si="87"/>
        <v>#NUM!</v>
      </c>
      <c r="Y380" s="6" t="e">
        <f t="shared" si="88"/>
        <v>#NUM!</v>
      </c>
      <c r="Z380" s="6" t="e">
        <f t="shared" si="89"/>
        <v>#NUM!</v>
      </c>
      <c r="AA380" s="6" t="e">
        <f t="shared" si="90"/>
        <v>#NUM!</v>
      </c>
      <c r="AB380" s="6"/>
    </row>
    <row r="381" spans="2:28" x14ac:dyDescent="0.4">
      <c r="B381" s="7">
        <v>324</v>
      </c>
      <c r="C381" s="59" t="e">
        <f t="shared" si="81"/>
        <v>#NUM!</v>
      </c>
      <c r="D381" s="6" t="e">
        <f t="shared" si="82"/>
        <v>#NUM!</v>
      </c>
      <c r="E381" s="6" t="e">
        <f t="shared" si="83"/>
        <v>#NUM!</v>
      </c>
      <c r="F381" s="6" t="e">
        <f t="shared" si="84"/>
        <v>#NUM!</v>
      </c>
      <c r="G381" s="6" t="e">
        <f t="shared" si="85"/>
        <v>#NUM!</v>
      </c>
      <c r="H381" s="6"/>
      <c r="I381" s="6"/>
      <c r="V381" s="7">
        <v>324</v>
      </c>
      <c r="W381" s="59" t="e">
        <f t="shared" si="86"/>
        <v>#NUM!</v>
      </c>
      <c r="X381" s="6" t="e">
        <f t="shared" si="87"/>
        <v>#NUM!</v>
      </c>
      <c r="Y381" s="6" t="e">
        <f t="shared" si="88"/>
        <v>#NUM!</v>
      </c>
      <c r="Z381" s="6" t="e">
        <f t="shared" si="89"/>
        <v>#NUM!</v>
      </c>
      <c r="AA381" s="6" t="e">
        <f t="shared" si="90"/>
        <v>#NUM!</v>
      </c>
      <c r="AB381" s="6"/>
    </row>
    <row r="382" spans="2:28" x14ac:dyDescent="0.4">
      <c r="B382" s="7">
        <v>325</v>
      </c>
      <c r="C382" s="59" t="e">
        <f t="shared" si="81"/>
        <v>#NUM!</v>
      </c>
      <c r="D382" s="6" t="e">
        <f t="shared" si="82"/>
        <v>#NUM!</v>
      </c>
      <c r="E382" s="6" t="e">
        <f t="shared" si="83"/>
        <v>#NUM!</v>
      </c>
      <c r="F382" s="6" t="e">
        <f t="shared" si="84"/>
        <v>#NUM!</v>
      </c>
      <c r="G382" s="6" t="e">
        <f t="shared" si="85"/>
        <v>#NUM!</v>
      </c>
      <c r="H382" s="6"/>
      <c r="I382" s="6"/>
      <c r="V382" s="7">
        <v>325</v>
      </c>
      <c r="W382" s="59" t="e">
        <f t="shared" si="86"/>
        <v>#NUM!</v>
      </c>
      <c r="X382" s="6" t="e">
        <f t="shared" si="87"/>
        <v>#NUM!</v>
      </c>
      <c r="Y382" s="6" t="e">
        <f t="shared" si="88"/>
        <v>#NUM!</v>
      </c>
      <c r="Z382" s="6" t="e">
        <f t="shared" si="89"/>
        <v>#NUM!</v>
      </c>
      <c r="AA382" s="6" t="e">
        <f t="shared" si="90"/>
        <v>#NUM!</v>
      </c>
      <c r="AB382" s="6"/>
    </row>
    <row r="383" spans="2:28" x14ac:dyDescent="0.4">
      <c r="B383" s="7">
        <v>326</v>
      </c>
      <c r="C383" s="59" t="e">
        <f t="shared" si="81"/>
        <v>#NUM!</v>
      </c>
      <c r="D383" s="6" t="e">
        <f t="shared" si="82"/>
        <v>#NUM!</v>
      </c>
      <c r="E383" s="6" t="e">
        <f t="shared" si="83"/>
        <v>#NUM!</v>
      </c>
      <c r="F383" s="6" t="e">
        <f t="shared" si="84"/>
        <v>#NUM!</v>
      </c>
      <c r="G383" s="6" t="e">
        <f t="shared" si="85"/>
        <v>#NUM!</v>
      </c>
      <c r="H383" s="6"/>
      <c r="I383" s="6"/>
      <c r="V383" s="7">
        <v>326</v>
      </c>
      <c r="W383" s="59" t="e">
        <f t="shared" si="86"/>
        <v>#NUM!</v>
      </c>
      <c r="X383" s="6" t="e">
        <f t="shared" si="87"/>
        <v>#NUM!</v>
      </c>
      <c r="Y383" s="6" t="e">
        <f t="shared" si="88"/>
        <v>#NUM!</v>
      </c>
      <c r="Z383" s="6" t="e">
        <f t="shared" si="89"/>
        <v>#NUM!</v>
      </c>
      <c r="AA383" s="6" t="e">
        <f t="shared" si="90"/>
        <v>#NUM!</v>
      </c>
      <c r="AB383" s="6"/>
    </row>
    <row r="384" spans="2:28" x14ac:dyDescent="0.4">
      <c r="B384" s="7">
        <v>327</v>
      </c>
      <c r="C384" s="59" t="e">
        <f t="shared" si="81"/>
        <v>#NUM!</v>
      </c>
      <c r="D384" s="6" t="e">
        <f t="shared" si="82"/>
        <v>#NUM!</v>
      </c>
      <c r="E384" s="6" t="e">
        <f t="shared" si="83"/>
        <v>#NUM!</v>
      </c>
      <c r="F384" s="6" t="e">
        <f t="shared" si="84"/>
        <v>#NUM!</v>
      </c>
      <c r="G384" s="6" t="e">
        <f t="shared" si="85"/>
        <v>#NUM!</v>
      </c>
      <c r="H384" s="6"/>
      <c r="I384" s="6"/>
      <c r="V384" s="7">
        <v>327</v>
      </c>
      <c r="W384" s="59" t="e">
        <f t="shared" si="86"/>
        <v>#NUM!</v>
      </c>
      <c r="X384" s="6" t="e">
        <f t="shared" si="87"/>
        <v>#NUM!</v>
      </c>
      <c r="Y384" s="6" t="e">
        <f t="shared" si="88"/>
        <v>#NUM!</v>
      </c>
      <c r="Z384" s="6" t="e">
        <f t="shared" si="89"/>
        <v>#NUM!</v>
      </c>
      <c r="AA384" s="6" t="e">
        <f t="shared" si="90"/>
        <v>#NUM!</v>
      </c>
      <c r="AB384" s="6"/>
    </row>
    <row r="385" spans="2:28" x14ac:dyDescent="0.4">
      <c r="B385" s="7">
        <v>328</v>
      </c>
      <c r="C385" s="59" t="e">
        <f t="shared" si="81"/>
        <v>#NUM!</v>
      </c>
      <c r="D385" s="6" t="e">
        <f t="shared" si="82"/>
        <v>#NUM!</v>
      </c>
      <c r="E385" s="6" t="e">
        <f t="shared" si="83"/>
        <v>#NUM!</v>
      </c>
      <c r="F385" s="6" t="e">
        <f t="shared" si="84"/>
        <v>#NUM!</v>
      </c>
      <c r="G385" s="6" t="e">
        <f t="shared" si="85"/>
        <v>#NUM!</v>
      </c>
      <c r="H385" s="6"/>
      <c r="I385" s="6"/>
      <c r="V385" s="7">
        <v>328</v>
      </c>
      <c r="W385" s="59" t="e">
        <f t="shared" si="86"/>
        <v>#NUM!</v>
      </c>
      <c r="X385" s="6" t="e">
        <f t="shared" si="87"/>
        <v>#NUM!</v>
      </c>
      <c r="Y385" s="6" t="e">
        <f t="shared" si="88"/>
        <v>#NUM!</v>
      </c>
      <c r="Z385" s="6" t="e">
        <f t="shared" si="89"/>
        <v>#NUM!</v>
      </c>
      <c r="AA385" s="6" t="e">
        <f t="shared" si="90"/>
        <v>#NUM!</v>
      </c>
      <c r="AB385" s="6"/>
    </row>
    <row r="386" spans="2:28" x14ac:dyDescent="0.4">
      <c r="B386" s="7">
        <v>329</v>
      </c>
      <c r="C386" s="59" t="e">
        <f t="shared" si="81"/>
        <v>#NUM!</v>
      </c>
      <c r="D386" s="6" t="e">
        <f t="shared" si="82"/>
        <v>#NUM!</v>
      </c>
      <c r="E386" s="6" t="e">
        <f t="shared" si="83"/>
        <v>#NUM!</v>
      </c>
      <c r="F386" s="6" t="e">
        <f t="shared" si="84"/>
        <v>#NUM!</v>
      </c>
      <c r="G386" s="6" t="e">
        <f t="shared" si="85"/>
        <v>#NUM!</v>
      </c>
      <c r="H386" s="6"/>
      <c r="I386" s="6"/>
      <c r="V386" s="7">
        <v>329</v>
      </c>
      <c r="W386" s="59" t="e">
        <f t="shared" si="86"/>
        <v>#NUM!</v>
      </c>
      <c r="X386" s="6" t="e">
        <f t="shared" si="87"/>
        <v>#NUM!</v>
      </c>
      <c r="Y386" s="6" t="e">
        <f t="shared" si="88"/>
        <v>#NUM!</v>
      </c>
      <c r="Z386" s="6" t="e">
        <f t="shared" si="89"/>
        <v>#NUM!</v>
      </c>
      <c r="AA386" s="6" t="e">
        <f t="shared" si="90"/>
        <v>#NUM!</v>
      </c>
      <c r="AB386" s="6"/>
    </row>
    <row r="387" spans="2:28" x14ac:dyDescent="0.4">
      <c r="B387" s="7">
        <v>330</v>
      </c>
      <c r="C387" s="59" t="e">
        <f t="shared" si="81"/>
        <v>#NUM!</v>
      </c>
      <c r="D387" s="6" t="e">
        <f t="shared" si="82"/>
        <v>#NUM!</v>
      </c>
      <c r="E387" s="6" t="e">
        <f t="shared" si="83"/>
        <v>#NUM!</v>
      </c>
      <c r="F387" s="6" t="e">
        <f t="shared" si="84"/>
        <v>#NUM!</v>
      </c>
      <c r="G387" s="6" t="e">
        <f t="shared" si="85"/>
        <v>#NUM!</v>
      </c>
      <c r="H387" s="6"/>
      <c r="I387" s="6"/>
      <c r="V387" s="7">
        <v>330</v>
      </c>
      <c r="W387" s="59" t="e">
        <f t="shared" si="86"/>
        <v>#NUM!</v>
      </c>
      <c r="X387" s="6" t="e">
        <f t="shared" si="87"/>
        <v>#NUM!</v>
      </c>
      <c r="Y387" s="6" t="e">
        <f t="shared" si="88"/>
        <v>#NUM!</v>
      </c>
      <c r="Z387" s="6" t="e">
        <f t="shared" si="89"/>
        <v>#NUM!</v>
      </c>
      <c r="AA387" s="6" t="e">
        <f t="shared" si="90"/>
        <v>#NUM!</v>
      </c>
      <c r="AB387" s="6"/>
    </row>
    <row r="388" spans="2:28" x14ac:dyDescent="0.4">
      <c r="B388" s="7">
        <v>331</v>
      </c>
      <c r="C388" s="59" t="e">
        <f t="shared" si="81"/>
        <v>#NUM!</v>
      </c>
      <c r="D388" s="6" t="e">
        <f t="shared" si="82"/>
        <v>#NUM!</v>
      </c>
      <c r="E388" s="6" t="e">
        <f t="shared" si="83"/>
        <v>#NUM!</v>
      </c>
      <c r="F388" s="6" t="e">
        <f t="shared" si="84"/>
        <v>#NUM!</v>
      </c>
      <c r="G388" s="6" t="e">
        <f t="shared" si="85"/>
        <v>#NUM!</v>
      </c>
      <c r="H388" s="6"/>
      <c r="I388" s="6"/>
      <c r="V388" s="7">
        <v>331</v>
      </c>
      <c r="W388" s="59" t="e">
        <f t="shared" si="86"/>
        <v>#NUM!</v>
      </c>
      <c r="X388" s="6" t="e">
        <f t="shared" si="87"/>
        <v>#NUM!</v>
      </c>
      <c r="Y388" s="6" t="e">
        <f t="shared" si="88"/>
        <v>#NUM!</v>
      </c>
      <c r="Z388" s="6" t="e">
        <f t="shared" si="89"/>
        <v>#NUM!</v>
      </c>
      <c r="AA388" s="6" t="e">
        <f t="shared" si="90"/>
        <v>#NUM!</v>
      </c>
      <c r="AB388" s="6"/>
    </row>
    <row r="389" spans="2:28" x14ac:dyDescent="0.4">
      <c r="B389" s="7">
        <v>332</v>
      </c>
      <c r="C389" s="59" t="e">
        <f t="shared" si="81"/>
        <v>#NUM!</v>
      </c>
      <c r="D389" s="6" t="e">
        <f t="shared" si="82"/>
        <v>#NUM!</v>
      </c>
      <c r="E389" s="6" t="e">
        <f t="shared" si="83"/>
        <v>#NUM!</v>
      </c>
      <c r="F389" s="6" t="e">
        <f t="shared" si="84"/>
        <v>#NUM!</v>
      </c>
      <c r="G389" s="6" t="e">
        <f t="shared" si="85"/>
        <v>#NUM!</v>
      </c>
      <c r="H389" s="6"/>
      <c r="I389" s="6"/>
      <c r="V389" s="7">
        <v>332</v>
      </c>
      <c r="W389" s="59" t="e">
        <f t="shared" si="86"/>
        <v>#NUM!</v>
      </c>
      <c r="X389" s="6" t="e">
        <f t="shared" si="87"/>
        <v>#NUM!</v>
      </c>
      <c r="Y389" s="6" t="e">
        <f t="shared" si="88"/>
        <v>#NUM!</v>
      </c>
      <c r="Z389" s="6" t="e">
        <f t="shared" si="89"/>
        <v>#NUM!</v>
      </c>
      <c r="AA389" s="6" t="e">
        <f t="shared" si="90"/>
        <v>#NUM!</v>
      </c>
      <c r="AB389" s="6"/>
    </row>
    <row r="390" spans="2:28" x14ac:dyDescent="0.4">
      <c r="B390" s="7">
        <v>333</v>
      </c>
      <c r="C390" s="59" t="e">
        <f t="shared" si="81"/>
        <v>#NUM!</v>
      </c>
      <c r="D390" s="6" t="e">
        <f t="shared" si="82"/>
        <v>#NUM!</v>
      </c>
      <c r="E390" s="6" t="e">
        <f t="shared" si="83"/>
        <v>#NUM!</v>
      </c>
      <c r="F390" s="6" t="e">
        <f t="shared" si="84"/>
        <v>#NUM!</v>
      </c>
      <c r="G390" s="6" t="e">
        <f t="shared" si="85"/>
        <v>#NUM!</v>
      </c>
      <c r="H390" s="6"/>
      <c r="I390" s="6"/>
      <c r="V390" s="7">
        <v>333</v>
      </c>
      <c r="W390" s="59" t="e">
        <f t="shared" si="86"/>
        <v>#NUM!</v>
      </c>
      <c r="X390" s="6" t="e">
        <f t="shared" si="87"/>
        <v>#NUM!</v>
      </c>
      <c r="Y390" s="6" t="e">
        <f t="shared" si="88"/>
        <v>#NUM!</v>
      </c>
      <c r="Z390" s="6" t="e">
        <f t="shared" si="89"/>
        <v>#NUM!</v>
      </c>
      <c r="AA390" s="6" t="e">
        <f t="shared" si="90"/>
        <v>#NUM!</v>
      </c>
      <c r="AB390" s="6"/>
    </row>
    <row r="391" spans="2:28" x14ac:dyDescent="0.4">
      <c r="B391" s="7">
        <v>334</v>
      </c>
      <c r="C391" s="59" t="e">
        <f t="shared" si="81"/>
        <v>#NUM!</v>
      </c>
      <c r="D391" s="6" t="e">
        <f t="shared" si="82"/>
        <v>#NUM!</v>
      </c>
      <c r="E391" s="6" t="e">
        <f t="shared" si="83"/>
        <v>#NUM!</v>
      </c>
      <c r="F391" s="6" t="e">
        <f t="shared" si="84"/>
        <v>#NUM!</v>
      </c>
      <c r="G391" s="6" t="e">
        <f t="shared" si="85"/>
        <v>#NUM!</v>
      </c>
      <c r="H391" s="6"/>
      <c r="I391" s="6"/>
      <c r="V391" s="7">
        <v>334</v>
      </c>
      <c r="W391" s="59" t="e">
        <f t="shared" si="86"/>
        <v>#NUM!</v>
      </c>
      <c r="X391" s="6" t="e">
        <f t="shared" si="87"/>
        <v>#NUM!</v>
      </c>
      <c r="Y391" s="6" t="e">
        <f t="shared" si="88"/>
        <v>#NUM!</v>
      </c>
      <c r="Z391" s="6" t="e">
        <f t="shared" si="89"/>
        <v>#NUM!</v>
      </c>
      <c r="AA391" s="6" t="e">
        <f t="shared" si="90"/>
        <v>#NUM!</v>
      </c>
      <c r="AB391" s="6"/>
    </row>
    <row r="392" spans="2:28" x14ac:dyDescent="0.4">
      <c r="B392" s="7">
        <v>335</v>
      </c>
      <c r="C392" s="59" t="e">
        <f t="shared" si="81"/>
        <v>#NUM!</v>
      </c>
      <c r="D392" s="6" t="e">
        <f t="shared" si="82"/>
        <v>#NUM!</v>
      </c>
      <c r="E392" s="6" t="e">
        <f t="shared" si="83"/>
        <v>#NUM!</v>
      </c>
      <c r="F392" s="6" t="e">
        <f t="shared" si="84"/>
        <v>#NUM!</v>
      </c>
      <c r="G392" s="6" t="e">
        <f t="shared" si="85"/>
        <v>#NUM!</v>
      </c>
      <c r="H392" s="6"/>
      <c r="I392" s="6"/>
      <c r="V392" s="7">
        <v>335</v>
      </c>
      <c r="W392" s="59" t="e">
        <f t="shared" si="86"/>
        <v>#NUM!</v>
      </c>
      <c r="X392" s="6" t="e">
        <f t="shared" si="87"/>
        <v>#NUM!</v>
      </c>
      <c r="Y392" s="6" t="e">
        <f t="shared" si="88"/>
        <v>#NUM!</v>
      </c>
      <c r="Z392" s="6" t="e">
        <f t="shared" si="89"/>
        <v>#NUM!</v>
      </c>
      <c r="AA392" s="6" t="e">
        <f t="shared" si="90"/>
        <v>#NUM!</v>
      </c>
      <c r="AB392" s="6"/>
    </row>
    <row r="393" spans="2:28" x14ac:dyDescent="0.4">
      <c r="B393" s="7">
        <v>336</v>
      </c>
      <c r="C393" s="59" t="e">
        <f t="shared" si="81"/>
        <v>#NUM!</v>
      </c>
      <c r="D393" s="6" t="e">
        <f t="shared" si="82"/>
        <v>#NUM!</v>
      </c>
      <c r="E393" s="6" t="e">
        <f t="shared" si="83"/>
        <v>#NUM!</v>
      </c>
      <c r="F393" s="6" t="e">
        <f t="shared" si="84"/>
        <v>#NUM!</v>
      </c>
      <c r="G393" s="6" t="e">
        <f t="shared" si="85"/>
        <v>#NUM!</v>
      </c>
      <c r="H393" s="6"/>
      <c r="I393" s="6"/>
      <c r="V393" s="7">
        <v>336</v>
      </c>
      <c r="W393" s="59" t="e">
        <f t="shared" si="86"/>
        <v>#NUM!</v>
      </c>
      <c r="X393" s="6" t="e">
        <f t="shared" si="87"/>
        <v>#NUM!</v>
      </c>
      <c r="Y393" s="6" t="e">
        <f t="shared" si="88"/>
        <v>#NUM!</v>
      </c>
      <c r="Z393" s="6" t="e">
        <f t="shared" si="89"/>
        <v>#NUM!</v>
      </c>
      <c r="AA393" s="6" t="e">
        <f t="shared" si="90"/>
        <v>#NUM!</v>
      </c>
      <c r="AB393" s="6"/>
    </row>
    <row r="394" spans="2:28" x14ac:dyDescent="0.4">
      <c r="B394" s="7">
        <v>337</v>
      </c>
      <c r="C394" s="59" t="e">
        <f t="shared" si="81"/>
        <v>#NUM!</v>
      </c>
      <c r="D394" s="6" t="e">
        <f t="shared" si="82"/>
        <v>#NUM!</v>
      </c>
      <c r="E394" s="6" t="e">
        <f t="shared" si="83"/>
        <v>#NUM!</v>
      </c>
      <c r="F394" s="6" t="e">
        <f t="shared" si="84"/>
        <v>#NUM!</v>
      </c>
      <c r="G394" s="6" t="e">
        <f t="shared" si="85"/>
        <v>#NUM!</v>
      </c>
      <c r="H394" s="6"/>
      <c r="I394" s="6"/>
      <c r="V394" s="7">
        <v>337</v>
      </c>
      <c r="W394" s="59" t="e">
        <f t="shared" si="86"/>
        <v>#NUM!</v>
      </c>
      <c r="X394" s="6" t="e">
        <f t="shared" si="87"/>
        <v>#NUM!</v>
      </c>
      <c r="Y394" s="6" t="e">
        <f t="shared" si="88"/>
        <v>#NUM!</v>
      </c>
      <c r="Z394" s="6" t="e">
        <f t="shared" si="89"/>
        <v>#NUM!</v>
      </c>
      <c r="AA394" s="6" t="e">
        <f t="shared" si="90"/>
        <v>#NUM!</v>
      </c>
      <c r="AB394" s="6"/>
    </row>
    <row r="395" spans="2:28" x14ac:dyDescent="0.4">
      <c r="B395" s="7">
        <v>338</v>
      </c>
      <c r="C395" s="59" t="e">
        <f t="shared" si="81"/>
        <v>#NUM!</v>
      </c>
      <c r="D395" s="6" t="e">
        <f t="shared" si="82"/>
        <v>#NUM!</v>
      </c>
      <c r="E395" s="6" t="e">
        <f t="shared" si="83"/>
        <v>#NUM!</v>
      </c>
      <c r="F395" s="6" t="e">
        <f t="shared" si="84"/>
        <v>#NUM!</v>
      </c>
      <c r="G395" s="6" t="e">
        <f t="shared" si="85"/>
        <v>#NUM!</v>
      </c>
      <c r="H395" s="6"/>
      <c r="I395" s="6"/>
      <c r="V395" s="7">
        <v>338</v>
      </c>
      <c r="W395" s="59" t="e">
        <f t="shared" si="86"/>
        <v>#NUM!</v>
      </c>
      <c r="X395" s="6" t="e">
        <f t="shared" si="87"/>
        <v>#NUM!</v>
      </c>
      <c r="Y395" s="6" t="e">
        <f t="shared" si="88"/>
        <v>#NUM!</v>
      </c>
      <c r="Z395" s="6" t="e">
        <f t="shared" si="89"/>
        <v>#NUM!</v>
      </c>
      <c r="AA395" s="6" t="e">
        <f t="shared" si="90"/>
        <v>#NUM!</v>
      </c>
      <c r="AB395" s="6"/>
    </row>
    <row r="396" spans="2:28" x14ac:dyDescent="0.4">
      <c r="B396" s="7">
        <v>339</v>
      </c>
      <c r="C396" s="59" t="e">
        <f t="shared" si="81"/>
        <v>#NUM!</v>
      </c>
      <c r="D396" s="6" t="e">
        <f t="shared" si="82"/>
        <v>#NUM!</v>
      </c>
      <c r="E396" s="6" t="e">
        <f t="shared" si="83"/>
        <v>#NUM!</v>
      </c>
      <c r="F396" s="6" t="e">
        <f t="shared" si="84"/>
        <v>#NUM!</v>
      </c>
      <c r="G396" s="6" t="e">
        <f t="shared" si="85"/>
        <v>#NUM!</v>
      </c>
      <c r="H396" s="6"/>
      <c r="I396" s="6"/>
      <c r="V396" s="7">
        <v>339</v>
      </c>
      <c r="W396" s="59" t="e">
        <f t="shared" si="86"/>
        <v>#NUM!</v>
      </c>
      <c r="X396" s="6" t="e">
        <f t="shared" si="87"/>
        <v>#NUM!</v>
      </c>
      <c r="Y396" s="6" t="e">
        <f t="shared" si="88"/>
        <v>#NUM!</v>
      </c>
      <c r="Z396" s="6" t="e">
        <f t="shared" si="89"/>
        <v>#NUM!</v>
      </c>
      <c r="AA396" s="6" t="e">
        <f t="shared" si="90"/>
        <v>#NUM!</v>
      </c>
      <c r="AB396" s="6"/>
    </row>
    <row r="397" spans="2:28" x14ac:dyDescent="0.4">
      <c r="B397" s="7">
        <v>340</v>
      </c>
      <c r="C397" s="59" t="e">
        <f t="shared" si="81"/>
        <v>#NUM!</v>
      </c>
      <c r="D397" s="6" t="e">
        <f t="shared" si="82"/>
        <v>#NUM!</v>
      </c>
      <c r="E397" s="6" t="e">
        <f t="shared" si="83"/>
        <v>#NUM!</v>
      </c>
      <c r="F397" s="6" t="e">
        <f t="shared" si="84"/>
        <v>#NUM!</v>
      </c>
      <c r="G397" s="6" t="e">
        <f t="shared" si="85"/>
        <v>#NUM!</v>
      </c>
      <c r="H397" s="6"/>
      <c r="I397" s="6"/>
      <c r="V397" s="7">
        <v>340</v>
      </c>
      <c r="W397" s="59" t="e">
        <f t="shared" si="86"/>
        <v>#NUM!</v>
      </c>
      <c r="X397" s="6" t="e">
        <f t="shared" si="87"/>
        <v>#NUM!</v>
      </c>
      <c r="Y397" s="6" t="e">
        <f t="shared" si="88"/>
        <v>#NUM!</v>
      </c>
      <c r="Z397" s="6" t="e">
        <f t="shared" si="89"/>
        <v>#NUM!</v>
      </c>
      <c r="AA397" s="6" t="e">
        <f t="shared" si="90"/>
        <v>#NUM!</v>
      </c>
      <c r="AB397" s="6"/>
    </row>
    <row r="398" spans="2:28" x14ac:dyDescent="0.4">
      <c r="B398" s="7">
        <v>341</v>
      </c>
      <c r="C398" s="59" t="e">
        <f t="shared" si="81"/>
        <v>#NUM!</v>
      </c>
      <c r="D398" s="6" t="e">
        <f t="shared" si="82"/>
        <v>#NUM!</v>
      </c>
      <c r="E398" s="6" t="e">
        <f t="shared" si="83"/>
        <v>#NUM!</v>
      </c>
      <c r="F398" s="6" t="e">
        <f t="shared" si="84"/>
        <v>#NUM!</v>
      </c>
      <c r="G398" s="6" t="e">
        <f t="shared" si="85"/>
        <v>#NUM!</v>
      </c>
      <c r="H398" s="6"/>
      <c r="I398" s="6"/>
      <c r="V398" s="7">
        <v>341</v>
      </c>
      <c r="W398" s="59" t="e">
        <f t="shared" si="86"/>
        <v>#NUM!</v>
      </c>
      <c r="X398" s="6" t="e">
        <f t="shared" si="87"/>
        <v>#NUM!</v>
      </c>
      <c r="Y398" s="6" t="e">
        <f t="shared" si="88"/>
        <v>#NUM!</v>
      </c>
      <c r="Z398" s="6" t="e">
        <f t="shared" si="89"/>
        <v>#NUM!</v>
      </c>
      <c r="AA398" s="6" t="e">
        <f t="shared" si="90"/>
        <v>#NUM!</v>
      </c>
      <c r="AB398" s="6"/>
    </row>
    <row r="399" spans="2:28" x14ac:dyDescent="0.4">
      <c r="B399" s="7">
        <v>342</v>
      </c>
      <c r="C399" s="59" t="e">
        <f t="shared" si="81"/>
        <v>#NUM!</v>
      </c>
      <c r="D399" s="6" t="e">
        <f t="shared" si="82"/>
        <v>#NUM!</v>
      </c>
      <c r="E399" s="6" t="e">
        <f t="shared" si="83"/>
        <v>#NUM!</v>
      </c>
      <c r="F399" s="6" t="e">
        <f t="shared" si="84"/>
        <v>#NUM!</v>
      </c>
      <c r="G399" s="6" t="e">
        <f t="shared" si="85"/>
        <v>#NUM!</v>
      </c>
      <c r="H399" s="6"/>
      <c r="I399" s="6"/>
      <c r="V399" s="7">
        <v>342</v>
      </c>
      <c r="W399" s="59" t="e">
        <f t="shared" si="86"/>
        <v>#NUM!</v>
      </c>
      <c r="X399" s="6" t="e">
        <f t="shared" si="87"/>
        <v>#NUM!</v>
      </c>
      <c r="Y399" s="6" t="e">
        <f t="shared" si="88"/>
        <v>#NUM!</v>
      </c>
      <c r="Z399" s="6" t="e">
        <f t="shared" si="89"/>
        <v>#NUM!</v>
      </c>
      <c r="AA399" s="6" t="e">
        <f t="shared" si="90"/>
        <v>#NUM!</v>
      </c>
      <c r="AB399" s="6"/>
    </row>
    <row r="400" spans="2:28" x14ac:dyDescent="0.4">
      <c r="B400" s="7">
        <v>343</v>
      </c>
      <c r="C400" s="59" t="e">
        <f t="shared" si="81"/>
        <v>#NUM!</v>
      </c>
      <c r="D400" s="6" t="e">
        <f t="shared" si="82"/>
        <v>#NUM!</v>
      </c>
      <c r="E400" s="6" t="e">
        <f t="shared" si="83"/>
        <v>#NUM!</v>
      </c>
      <c r="F400" s="6" t="e">
        <f t="shared" si="84"/>
        <v>#NUM!</v>
      </c>
      <c r="G400" s="6" t="e">
        <f t="shared" si="85"/>
        <v>#NUM!</v>
      </c>
      <c r="H400" s="6"/>
      <c r="I400" s="6"/>
      <c r="V400" s="7">
        <v>343</v>
      </c>
      <c r="W400" s="59" t="e">
        <f t="shared" si="86"/>
        <v>#NUM!</v>
      </c>
      <c r="X400" s="6" t="e">
        <f t="shared" si="87"/>
        <v>#NUM!</v>
      </c>
      <c r="Y400" s="6" t="e">
        <f t="shared" si="88"/>
        <v>#NUM!</v>
      </c>
      <c r="Z400" s="6" t="e">
        <f t="shared" si="89"/>
        <v>#NUM!</v>
      </c>
      <c r="AA400" s="6" t="e">
        <f t="shared" si="90"/>
        <v>#NUM!</v>
      </c>
      <c r="AB400" s="6"/>
    </row>
    <row r="401" spans="2:28" x14ac:dyDescent="0.4">
      <c r="B401" s="7">
        <v>344</v>
      </c>
      <c r="C401" s="59" t="e">
        <f t="shared" si="81"/>
        <v>#NUM!</v>
      </c>
      <c r="D401" s="6" t="e">
        <f t="shared" si="82"/>
        <v>#NUM!</v>
      </c>
      <c r="E401" s="6" t="e">
        <f t="shared" si="83"/>
        <v>#NUM!</v>
      </c>
      <c r="F401" s="6" t="e">
        <f t="shared" si="84"/>
        <v>#NUM!</v>
      </c>
      <c r="G401" s="6" t="e">
        <f t="shared" si="85"/>
        <v>#NUM!</v>
      </c>
      <c r="H401" s="6"/>
      <c r="I401" s="6"/>
      <c r="V401" s="7">
        <v>344</v>
      </c>
      <c r="W401" s="59" t="e">
        <f t="shared" si="86"/>
        <v>#NUM!</v>
      </c>
      <c r="X401" s="6" t="e">
        <f t="shared" si="87"/>
        <v>#NUM!</v>
      </c>
      <c r="Y401" s="6" t="e">
        <f t="shared" si="88"/>
        <v>#NUM!</v>
      </c>
      <c r="Z401" s="6" t="e">
        <f t="shared" si="89"/>
        <v>#NUM!</v>
      </c>
      <c r="AA401" s="6" t="e">
        <f t="shared" si="90"/>
        <v>#NUM!</v>
      </c>
      <c r="AB401" s="6"/>
    </row>
    <row r="402" spans="2:28" x14ac:dyDescent="0.4">
      <c r="B402" s="7">
        <v>345</v>
      </c>
      <c r="C402" s="59" t="e">
        <f t="shared" si="81"/>
        <v>#NUM!</v>
      </c>
      <c r="D402" s="6" t="e">
        <f t="shared" si="82"/>
        <v>#NUM!</v>
      </c>
      <c r="E402" s="6" t="e">
        <f t="shared" si="83"/>
        <v>#NUM!</v>
      </c>
      <c r="F402" s="6" t="e">
        <f t="shared" si="84"/>
        <v>#NUM!</v>
      </c>
      <c r="G402" s="6" t="e">
        <f t="shared" si="85"/>
        <v>#NUM!</v>
      </c>
      <c r="H402" s="6"/>
      <c r="I402" s="6"/>
      <c r="V402" s="7">
        <v>345</v>
      </c>
      <c r="W402" s="59" t="e">
        <f t="shared" si="86"/>
        <v>#NUM!</v>
      </c>
      <c r="X402" s="6" t="e">
        <f t="shared" si="87"/>
        <v>#NUM!</v>
      </c>
      <c r="Y402" s="6" t="e">
        <f t="shared" si="88"/>
        <v>#NUM!</v>
      </c>
      <c r="Z402" s="6" t="e">
        <f t="shared" si="89"/>
        <v>#NUM!</v>
      </c>
      <c r="AA402" s="6" t="e">
        <f t="shared" si="90"/>
        <v>#NUM!</v>
      </c>
      <c r="AB402" s="6"/>
    </row>
    <row r="403" spans="2:28" x14ac:dyDescent="0.4">
      <c r="B403" s="7">
        <v>346</v>
      </c>
      <c r="C403" s="59" t="e">
        <f t="shared" si="81"/>
        <v>#NUM!</v>
      </c>
      <c r="D403" s="6" t="e">
        <f t="shared" si="82"/>
        <v>#NUM!</v>
      </c>
      <c r="E403" s="6" t="e">
        <f t="shared" si="83"/>
        <v>#NUM!</v>
      </c>
      <c r="F403" s="6" t="e">
        <f t="shared" si="84"/>
        <v>#NUM!</v>
      </c>
      <c r="G403" s="6" t="e">
        <f t="shared" si="85"/>
        <v>#NUM!</v>
      </c>
      <c r="H403" s="6"/>
      <c r="I403" s="6"/>
      <c r="V403" s="7">
        <v>346</v>
      </c>
      <c r="W403" s="59" t="e">
        <f t="shared" si="86"/>
        <v>#NUM!</v>
      </c>
      <c r="X403" s="6" t="e">
        <f t="shared" si="87"/>
        <v>#NUM!</v>
      </c>
      <c r="Y403" s="6" t="e">
        <f t="shared" si="88"/>
        <v>#NUM!</v>
      </c>
      <c r="Z403" s="6" t="e">
        <f t="shared" si="89"/>
        <v>#NUM!</v>
      </c>
      <c r="AA403" s="6" t="e">
        <f t="shared" si="90"/>
        <v>#NUM!</v>
      </c>
      <c r="AB403" s="6"/>
    </row>
    <row r="404" spans="2:28" x14ac:dyDescent="0.4">
      <c r="B404" s="7">
        <v>347</v>
      </c>
      <c r="C404" s="59" t="e">
        <f t="shared" si="81"/>
        <v>#NUM!</v>
      </c>
      <c r="D404" s="6" t="e">
        <f t="shared" si="82"/>
        <v>#NUM!</v>
      </c>
      <c r="E404" s="6" t="e">
        <f t="shared" si="83"/>
        <v>#NUM!</v>
      </c>
      <c r="F404" s="6" t="e">
        <f t="shared" si="84"/>
        <v>#NUM!</v>
      </c>
      <c r="G404" s="6" t="e">
        <f t="shared" si="85"/>
        <v>#NUM!</v>
      </c>
      <c r="H404" s="6"/>
      <c r="I404" s="6"/>
      <c r="V404" s="7">
        <v>347</v>
      </c>
      <c r="W404" s="59" t="e">
        <f t="shared" si="86"/>
        <v>#NUM!</v>
      </c>
      <c r="X404" s="6" t="e">
        <f t="shared" si="87"/>
        <v>#NUM!</v>
      </c>
      <c r="Y404" s="6" t="e">
        <f t="shared" si="88"/>
        <v>#NUM!</v>
      </c>
      <c r="Z404" s="6" t="e">
        <f t="shared" si="89"/>
        <v>#NUM!</v>
      </c>
      <c r="AA404" s="6" t="e">
        <f t="shared" si="90"/>
        <v>#NUM!</v>
      </c>
      <c r="AB404" s="6"/>
    </row>
    <row r="405" spans="2:28" x14ac:dyDescent="0.4">
      <c r="B405" s="7">
        <v>348</v>
      </c>
      <c r="C405" s="59" t="e">
        <f t="shared" si="81"/>
        <v>#NUM!</v>
      </c>
      <c r="D405" s="6" t="e">
        <f t="shared" si="82"/>
        <v>#NUM!</v>
      </c>
      <c r="E405" s="6" t="e">
        <f t="shared" si="83"/>
        <v>#NUM!</v>
      </c>
      <c r="F405" s="6" t="e">
        <f t="shared" si="84"/>
        <v>#NUM!</v>
      </c>
      <c r="G405" s="6" t="e">
        <f t="shared" si="85"/>
        <v>#NUM!</v>
      </c>
      <c r="H405" s="6"/>
      <c r="I405" s="6"/>
      <c r="V405" s="7">
        <v>348</v>
      </c>
      <c r="W405" s="59" t="e">
        <f t="shared" si="86"/>
        <v>#NUM!</v>
      </c>
      <c r="X405" s="6" t="e">
        <f t="shared" si="87"/>
        <v>#NUM!</v>
      </c>
      <c r="Y405" s="6" t="e">
        <f t="shared" si="88"/>
        <v>#NUM!</v>
      </c>
      <c r="Z405" s="6" t="e">
        <f t="shared" si="89"/>
        <v>#NUM!</v>
      </c>
      <c r="AA405" s="6" t="e">
        <f t="shared" si="90"/>
        <v>#NUM!</v>
      </c>
      <c r="AB405" s="6"/>
    </row>
    <row r="406" spans="2:28" x14ac:dyDescent="0.4">
      <c r="B406" s="7">
        <v>349</v>
      </c>
      <c r="C406" s="59" t="e">
        <f t="shared" si="81"/>
        <v>#NUM!</v>
      </c>
      <c r="D406" s="6" t="e">
        <f t="shared" si="82"/>
        <v>#NUM!</v>
      </c>
      <c r="E406" s="6" t="e">
        <f t="shared" si="83"/>
        <v>#NUM!</v>
      </c>
      <c r="F406" s="6" t="e">
        <f t="shared" si="84"/>
        <v>#NUM!</v>
      </c>
      <c r="G406" s="6" t="e">
        <f t="shared" si="85"/>
        <v>#NUM!</v>
      </c>
      <c r="H406" s="6"/>
      <c r="I406" s="6"/>
      <c r="V406" s="7">
        <v>349</v>
      </c>
      <c r="W406" s="59" t="e">
        <f t="shared" si="86"/>
        <v>#NUM!</v>
      </c>
      <c r="X406" s="6" t="e">
        <f t="shared" si="87"/>
        <v>#NUM!</v>
      </c>
      <c r="Y406" s="6" t="e">
        <f t="shared" si="88"/>
        <v>#NUM!</v>
      </c>
      <c r="Z406" s="6" t="e">
        <f t="shared" si="89"/>
        <v>#NUM!</v>
      </c>
      <c r="AA406" s="6" t="e">
        <f t="shared" si="90"/>
        <v>#NUM!</v>
      </c>
      <c r="AB406" s="6"/>
    </row>
    <row r="407" spans="2:28" x14ac:dyDescent="0.4">
      <c r="B407" s="7">
        <v>350</v>
      </c>
      <c r="C407" s="59" t="e">
        <f t="shared" si="81"/>
        <v>#NUM!</v>
      </c>
      <c r="D407" s="6" t="e">
        <f t="shared" si="82"/>
        <v>#NUM!</v>
      </c>
      <c r="E407" s="6" t="e">
        <f t="shared" si="83"/>
        <v>#NUM!</v>
      </c>
      <c r="F407" s="6" t="e">
        <f t="shared" si="84"/>
        <v>#NUM!</v>
      </c>
      <c r="G407" s="6" t="e">
        <f t="shared" si="85"/>
        <v>#NUM!</v>
      </c>
      <c r="H407" s="6"/>
      <c r="I407" s="6"/>
      <c r="V407" s="7">
        <v>350</v>
      </c>
      <c r="W407" s="59" t="e">
        <f t="shared" si="86"/>
        <v>#NUM!</v>
      </c>
      <c r="X407" s="6" t="e">
        <f t="shared" si="87"/>
        <v>#NUM!</v>
      </c>
      <c r="Y407" s="6" t="e">
        <f t="shared" si="88"/>
        <v>#NUM!</v>
      </c>
      <c r="Z407" s="6" t="e">
        <f t="shared" si="89"/>
        <v>#NUM!</v>
      </c>
      <c r="AA407" s="6" t="e">
        <f t="shared" si="90"/>
        <v>#NUM!</v>
      </c>
      <c r="AB407" s="6"/>
    </row>
    <row r="408" spans="2:28" x14ac:dyDescent="0.4">
      <c r="B408" s="7">
        <v>351</v>
      </c>
      <c r="C408" s="59" t="e">
        <f t="shared" si="81"/>
        <v>#NUM!</v>
      </c>
      <c r="D408" s="6" t="e">
        <f t="shared" si="82"/>
        <v>#NUM!</v>
      </c>
      <c r="E408" s="6" t="e">
        <f t="shared" si="83"/>
        <v>#NUM!</v>
      </c>
      <c r="F408" s="6" t="e">
        <f t="shared" si="84"/>
        <v>#NUM!</v>
      </c>
      <c r="G408" s="6" t="e">
        <f t="shared" si="85"/>
        <v>#NUM!</v>
      </c>
      <c r="H408" s="6"/>
      <c r="I408" s="6"/>
      <c r="V408" s="7">
        <v>351</v>
      </c>
      <c r="W408" s="59" t="e">
        <f t="shared" si="86"/>
        <v>#NUM!</v>
      </c>
      <c r="X408" s="6" t="e">
        <f t="shared" si="87"/>
        <v>#NUM!</v>
      </c>
      <c r="Y408" s="6" t="e">
        <f t="shared" si="88"/>
        <v>#NUM!</v>
      </c>
      <c r="Z408" s="6" t="e">
        <f t="shared" si="89"/>
        <v>#NUM!</v>
      </c>
      <c r="AA408" s="6" t="e">
        <f t="shared" si="90"/>
        <v>#NUM!</v>
      </c>
      <c r="AB408" s="6"/>
    </row>
    <row r="409" spans="2:28" x14ac:dyDescent="0.4">
      <c r="B409" s="7">
        <v>352</v>
      </c>
      <c r="C409" s="59" t="e">
        <f t="shared" si="81"/>
        <v>#NUM!</v>
      </c>
      <c r="D409" s="6" t="e">
        <f t="shared" si="82"/>
        <v>#NUM!</v>
      </c>
      <c r="E409" s="6" t="e">
        <f t="shared" si="83"/>
        <v>#NUM!</v>
      </c>
      <c r="F409" s="6" t="e">
        <f t="shared" si="84"/>
        <v>#NUM!</v>
      </c>
      <c r="G409" s="6" t="e">
        <f t="shared" si="85"/>
        <v>#NUM!</v>
      </c>
      <c r="H409" s="6"/>
      <c r="I409" s="6"/>
      <c r="V409" s="7">
        <v>352</v>
      </c>
      <c r="W409" s="59" t="e">
        <f t="shared" si="86"/>
        <v>#NUM!</v>
      </c>
      <c r="X409" s="6" t="e">
        <f t="shared" si="87"/>
        <v>#NUM!</v>
      </c>
      <c r="Y409" s="6" t="e">
        <f t="shared" si="88"/>
        <v>#NUM!</v>
      </c>
      <c r="Z409" s="6" t="e">
        <f t="shared" si="89"/>
        <v>#NUM!</v>
      </c>
      <c r="AA409" s="6" t="e">
        <f t="shared" si="90"/>
        <v>#NUM!</v>
      </c>
      <c r="AB409" s="6"/>
    </row>
    <row r="410" spans="2:28" x14ac:dyDescent="0.4">
      <c r="B410" s="7">
        <v>353</v>
      </c>
      <c r="C410" s="59" t="e">
        <f t="shared" si="81"/>
        <v>#NUM!</v>
      </c>
      <c r="D410" s="6" t="e">
        <f t="shared" si="82"/>
        <v>#NUM!</v>
      </c>
      <c r="E410" s="6" t="e">
        <f t="shared" si="83"/>
        <v>#NUM!</v>
      </c>
      <c r="F410" s="6" t="e">
        <f t="shared" si="84"/>
        <v>#NUM!</v>
      </c>
      <c r="G410" s="6" t="e">
        <f t="shared" si="85"/>
        <v>#NUM!</v>
      </c>
      <c r="H410" s="6"/>
      <c r="I410" s="6"/>
      <c r="V410" s="7">
        <v>353</v>
      </c>
      <c r="W410" s="59" t="e">
        <f t="shared" si="86"/>
        <v>#NUM!</v>
      </c>
      <c r="X410" s="6" t="e">
        <f t="shared" si="87"/>
        <v>#NUM!</v>
      </c>
      <c r="Y410" s="6" t="e">
        <f t="shared" si="88"/>
        <v>#NUM!</v>
      </c>
      <c r="Z410" s="6" t="e">
        <f t="shared" si="89"/>
        <v>#NUM!</v>
      </c>
      <c r="AA410" s="6" t="e">
        <f t="shared" si="90"/>
        <v>#NUM!</v>
      </c>
      <c r="AB410" s="6"/>
    </row>
    <row r="411" spans="2:28" x14ac:dyDescent="0.4">
      <c r="B411" s="7">
        <v>354</v>
      </c>
      <c r="C411" s="59" t="e">
        <f t="shared" si="81"/>
        <v>#NUM!</v>
      </c>
      <c r="D411" s="6" t="e">
        <f t="shared" si="82"/>
        <v>#NUM!</v>
      </c>
      <c r="E411" s="6" t="e">
        <f t="shared" si="83"/>
        <v>#NUM!</v>
      </c>
      <c r="F411" s="6" t="e">
        <f t="shared" si="84"/>
        <v>#NUM!</v>
      </c>
      <c r="G411" s="6" t="e">
        <f t="shared" si="85"/>
        <v>#NUM!</v>
      </c>
      <c r="H411" s="6"/>
      <c r="I411" s="6"/>
      <c r="V411" s="7">
        <v>354</v>
      </c>
      <c r="W411" s="59" t="e">
        <f t="shared" si="86"/>
        <v>#NUM!</v>
      </c>
      <c r="X411" s="6" t="e">
        <f t="shared" si="87"/>
        <v>#NUM!</v>
      </c>
      <c r="Y411" s="6" t="e">
        <f t="shared" si="88"/>
        <v>#NUM!</v>
      </c>
      <c r="Z411" s="6" t="e">
        <f t="shared" si="89"/>
        <v>#NUM!</v>
      </c>
      <c r="AA411" s="6" t="e">
        <f t="shared" si="90"/>
        <v>#NUM!</v>
      </c>
      <c r="AB411" s="6"/>
    </row>
    <row r="412" spans="2:28" x14ac:dyDescent="0.4">
      <c r="B412" s="7">
        <v>355</v>
      </c>
      <c r="C412" s="59" t="e">
        <f t="shared" si="81"/>
        <v>#NUM!</v>
      </c>
      <c r="D412" s="6" t="e">
        <f t="shared" si="82"/>
        <v>#NUM!</v>
      </c>
      <c r="E412" s="6" t="e">
        <f t="shared" si="83"/>
        <v>#NUM!</v>
      </c>
      <c r="F412" s="6" t="e">
        <f t="shared" si="84"/>
        <v>#NUM!</v>
      </c>
      <c r="G412" s="6" t="e">
        <f t="shared" si="85"/>
        <v>#NUM!</v>
      </c>
      <c r="H412" s="6"/>
      <c r="I412" s="6"/>
      <c r="V412" s="7">
        <v>355</v>
      </c>
      <c r="W412" s="59" t="e">
        <f t="shared" si="86"/>
        <v>#NUM!</v>
      </c>
      <c r="X412" s="6" t="e">
        <f t="shared" si="87"/>
        <v>#NUM!</v>
      </c>
      <c r="Y412" s="6" t="e">
        <f t="shared" si="88"/>
        <v>#NUM!</v>
      </c>
      <c r="Z412" s="6" t="e">
        <f t="shared" si="89"/>
        <v>#NUM!</v>
      </c>
      <c r="AA412" s="6" t="e">
        <f t="shared" si="90"/>
        <v>#NUM!</v>
      </c>
      <c r="AB412" s="6"/>
    </row>
    <row r="413" spans="2:28" x14ac:dyDescent="0.4">
      <c r="B413" s="7">
        <v>356</v>
      </c>
      <c r="C413" s="59" t="e">
        <f t="shared" si="81"/>
        <v>#NUM!</v>
      </c>
      <c r="D413" s="6" t="e">
        <f t="shared" si="82"/>
        <v>#NUM!</v>
      </c>
      <c r="E413" s="6" t="e">
        <f t="shared" si="83"/>
        <v>#NUM!</v>
      </c>
      <c r="F413" s="6" t="e">
        <f t="shared" si="84"/>
        <v>#NUM!</v>
      </c>
      <c r="G413" s="6" t="e">
        <f t="shared" si="85"/>
        <v>#NUM!</v>
      </c>
      <c r="H413" s="6"/>
      <c r="I413" s="6"/>
      <c r="V413" s="7">
        <v>356</v>
      </c>
      <c r="W413" s="59" t="e">
        <f t="shared" si="86"/>
        <v>#NUM!</v>
      </c>
      <c r="X413" s="6" t="e">
        <f t="shared" si="87"/>
        <v>#NUM!</v>
      </c>
      <c r="Y413" s="6" t="e">
        <f t="shared" si="88"/>
        <v>#NUM!</v>
      </c>
      <c r="Z413" s="6" t="e">
        <f t="shared" si="89"/>
        <v>#NUM!</v>
      </c>
      <c r="AA413" s="6" t="e">
        <f t="shared" si="90"/>
        <v>#NUM!</v>
      </c>
      <c r="AB413" s="6"/>
    </row>
    <row r="414" spans="2:28" x14ac:dyDescent="0.4">
      <c r="B414" s="7">
        <v>357</v>
      </c>
      <c r="C414" s="59" t="e">
        <f t="shared" si="81"/>
        <v>#NUM!</v>
      </c>
      <c r="D414" s="6" t="e">
        <f t="shared" si="82"/>
        <v>#NUM!</v>
      </c>
      <c r="E414" s="6" t="e">
        <f t="shared" si="83"/>
        <v>#NUM!</v>
      </c>
      <c r="F414" s="6" t="e">
        <f t="shared" si="84"/>
        <v>#NUM!</v>
      </c>
      <c r="G414" s="6" t="e">
        <f t="shared" si="85"/>
        <v>#NUM!</v>
      </c>
      <c r="H414" s="6"/>
      <c r="I414" s="6"/>
      <c r="V414" s="7">
        <v>357</v>
      </c>
      <c r="W414" s="59" t="e">
        <f t="shared" si="86"/>
        <v>#NUM!</v>
      </c>
      <c r="X414" s="6" t="e">
        <f t="shared" si="87"/>
        <v>#NUM!</v>
      </c>
      <c r="Y414" s="6" t="e">
        <f t="shared" si="88"/>
        <v>#NUM!</v>
      </c>
      <c r="Z414" s="6" t="e">
        <f t="shared" si="89"/>
        <v>#NUM!</v>
      </c>
      <c r="AA414" s="6" t="e">
        <f t="shared" si="90"/>
        <v>#NUM!</v>
      </c>
      <c r="AB414" s="6"/>
    </row>
    <row r="415" spans="2:28" x14ac:dyDescent="0.4">
      <c r="B415" s="7">
        <v>358</v>
      </c>
      <c r="C415" s="59" t="e">
        <f t="shared" si="81"/>
        <v>#NUM!</v>
      </c>
      <c r="D415" s="6" t="e">
        <f t="shared" si="82"/>
        <v>#NUM!</v>
      </c>
      <c r="E415" s="6" t="e">
        <f t="shared" si="83"/>
        <v>#NUM!</v>
      </c>
      <c r="F415" s="6" t="e">
        <f t="shared" si="84"/>
        <v>#NUM!</v>
      </c>
      <c r="G415" s="6" t="e">
        <f t="shared" si="85"/>
        <v>#NUM!</v>
      </c>
      <c r="H415" s="6"/>
      <c r="I415" s="6"/>
      <c r="V415" s="7">
        <v>358</v>
      </c>
      <c r="W415" s="59" t="e">
        <f t="shared" si="86"/>
        <v>#NUM!</v>
      </c>
      <c r="X415" s="6" t="e">
        <f t="shared" si="87"/>
        <v>#NUM!</v>
      </c>
      <c r="Y415" s="6" t="e">
        <f t="shared" si="88"/>
        <v>#NUM!</v>
      </c>
      <c r="Z415" s="6" t="e">
        <f t="shared" si="89"/>
        <v>#NUM!</v>
      </c>
      <c r="AA415" s="6" t="e">
        <f t="shared" si="90"/>
        <v>#NUM!</v>
      </c>
      <c r="AB415" s="6"/>
    </row>
    <row r="416" spans="2:28" x14ac:dyDescent="0.4">
      <c r="B416" s="7">
        <v>359</v>
      </c>
      <c r="C416" s="59" t="e">
        <f t="shared" si="81"/>
        <v>#NUM!</v>
      </c>
      <c r="D416" s="6" t="e">
        <f t="shared" si="82"/>
        <v>#NUM!</v>
      </c>
      <c r="E416" s="6" t="e">
        <f t="shared" si="83"/>
        <v>#NUM!</v>
      </c>
      <c r="F416" s="6" t="e">
        <f t="shared" si="84"/>
        <v>#NUM!</v>
      </c>
      <c r="G416" s="6" t="e">
        <f t="shared" si="85"/>
        <v>#NUM!</v>
      </c>
      <c r="H416" s="6"/>
      <c r="I416" s="6"/>
      <c r="V416" s="7">
        <v>359</v>
      </c>
      <c r="W416" s="59" t="e">
        <f t="shared" si="86"/>
        <v>#NUM!</v>
      </c>
      <c r="X416" s="6" t="e">
        <f t="shared" si="87"/>
        <v>#NUM!</v>
      </c>
      <c r="Y416" s="6" t="e">
        <f t="shared" si="88"/>
        <v>#NUM!</v>
      </c>
      <c r="Z416" s="6" t="e">
        <f t="shared" si="89"/>
        <v>#NUM!</v>
      </c>
      <c r="AA416" s="6" t="e">
        <f t="shared" si="90"/>
        <v>#NUM!</v>
      </c>
      <c r="AB416" s="6"/>
    </row>
    <row r="417" spans="2:28" x14ac:dyDescent="0.4">
      <c r="B417" s="7">
        <v>360</v>
      </c>
      <c r="C417" s="59" t="e">
        <f t="shared" si="81"/>
        <v>#NUM!</v>
      </c>
      <c r="D417" s="6" t="e">
        <f t="shared" si="82"/>
        <v>#NUM!</v>
      </c>
      <c r="E417" s="6" t="e">
        <f t="shared" si="83"/>
        <v>#NUM!</v>
      </c>
      <c r="F417" s="6" t="e">
        <f t="shared" si="84"/>
        <v>#NUM!</v>
      </c>
      <c r="G417" s="6" t="e">
        <f t="shared" si="85"/>
        <v>#NUM!</v>
      </c>
      <c r="H417" s="6"/>
      <c r="I417" s="6"/>
      <c r="V417" s="7">
        <v>360</v>
      </c>
      <c r="W417" s="59" t="e">
        <f t="shared" si="86"/>
        <v>#NUM!</v>
      </c>
      <c r="X417" s="6" t="e">
        <f t="shared" si="87"/>
        <v>#NUM!</v>
      </c>
      <c r="Y417" s="6" t="e">
        <f t="shared" si="88"/>
        <v>#NUM!</v>
      </c>
      <c r="Z417" s="6" t="e">
        <f t="shared" si="89"/>
        <v>#NUM!</v>
      </c>
      <c r="AA417" s="6" t="e">
        <f t="shared" si="90"/>
        <v>#NUM!</v>
      </c>
      <c r="AB417" s="6"/>
    </row>
    <row r="418" spans="2:28" x14ac:dyDescent="0.4">
      <c r="B418" s="7">
        <v>361</v>
      </c>
      <c r="C418" s="59" t="e">
        <f t="shared" si="81"/>
        <v>#NUM!</v>
      </c>
      <c r="D418" s="6" t="e">
        <f t="shared" si="82"/>
        <v>#NUM!</v>
      </c>
      <c r="E418" s="6" t="e">
        <f t="shared" si="83"/>
        <v>#NUM!</v>
      </c>
      <c r="F418" s="6" t="e">
        <f t="shared" si="84"/>
        <v>#NUM!</v>
      </c>
      <c r="G418" s="6" t="e">
        <f t="shared" si="85"/>
        <v>#NUM!</v>
      </c>
      <c r="H418" s="6"/>
      <c r="I418" s="6"/>
      <c r="V418" s="7">
        <v>361</v>
      </c>
      <c r="W418" s="59" t="e">
        <f t="shared" si="86"/>
        <v>#NUM!</v>
      </c>
      <c r="X418" s="6" t="e">
        <f t="shared" si="87"/>
        <v>#NUM!</v>
      </c>
      <c r="Y418" s="6" t="e">
        <f t="shared" si="88"/>
        <v>#NUM!</v>
      </c>
      <c r="Z418" s="6" t="e">
        <f t="shared" si="89"/>
        <v>#NUM!</v>
      </c>
      <c r="AA418" s="6" t="e">
        <f t="shared" si="90"/>
        <v>#NUM!</v>
      </c>
      <c r="AB418" s="6"/>
    </row>
    <row r="419" spans="2:28" x14ac:dyDescent="0.4">
      <c r="B419" s="7">
        <v>362</v>
      </c>
      <c r="C419" s="59" t="e">
        <f t="shared" si="81"/>
        <v>#NUM!</v>
      </c>
      <c r="D419" s="6" t="e">
        <f t="shared" si="82"/>
        <v>#NUM!</v>
      </c>
      <c r="E419" s="6" t="e">
        <f t="shared" si="83"/>
        <v>#NUM!</v>
      </c>
      <c r="F419" s="6" t="e">
        <f t="shared" si="84"/>
        <v>#NUM!</v>
      </c>
      <c r="G419" s="6" t="e">
        <f t="shared" si="85"/>
        <v>#NUM!</v>
      </c>
      <c r="H419" s="6"/>
      <c r="I419" s="6"/>
      <c r="V419" s="7">
        <v>362</v>
      </c>
      <c r="W419" s="59" t="e">
        <f t="shared" si="86"/>
        <v>#NUM!</v>
      </c>
      <c r="X419" s="6" t="e">
        <f t="shared" si="87"/>
        <v>#NUM!</v>
      </c>
      <c r="Y419" s="6" t="e">
        <f t="shared" si="88"/>
        <v>#NUM!</v>
      </c>
      <c r="Z419" s="6" t="e">
        <f t="shared" si="89"/>
        <v>#NUM!</v>
      </c>
      <c r="AA419" s="6" t="e">
        <f t="shared" si="90"/>
        <v>#NUM!</v>
      </c>
      <c r="AB419" s="6"/>
    </row>
    <row r="420" spans="2:28" x14ac:dyDescent="0.4">
      <c r="B420" s="7">
        <v>363</v>
      </c>
      <c r="C420" s="59" t="e">
        <f t="shared" si="81"/>
        <v>#NUM!</v>
      </c>
      <c r="D420" s="6" t="e">
        <f t="shared" si="82"/>
        <v>#NUM!</v>
      </c>
      <c r="E420" s="6" t="e">
        <f t="shared" si="83"/>
        <v>#NUM!</v>
      </c>
      <c r="F420" s="6" t="e">
        <f t="shared" si="84"/>
        <v>#NUM!</v>
      </c>
      <c r="G420" s="6" t="e">
        <f t="shared" si="85"/>
        <v>#NUM!</v>
      </c>
      <c r="H420" s="6"/>
      <c r="I420" s="6"/>
      <c r="V420" s="7">
        <v>363</v>
      </c>
      <c r="W420" s="59" t="e">
        <f t="shared" si="86"/>
        <v>#NUM!</v>
      </c>
      <c r="X420" s="6" t="e">
        <f t="shared" si="87"/>
        <v>#NUM!</v>
      </c>
      <c r="Y420" s="6" t="e">
        <f t="shared" si="88"/>
        <v>#NUM!</v>
      </c>
      <c r="Z420" s="6" t="e">
        <f t="shared" si="89"/>
        <v>#NUM!</v>
      </c>
      <c r="AA420" s="6" t="e">
        <f t="shared" si="90"/>
        <v>#NUM!</v>
      </c>
      <c r="AB420" s="6"/>
    </row>
    <row r="421" spans="2:28" x14ac:dyDescent="0.4">
      <c r="B421" s="7">
        <v>364</v>
      </c>
      <c r="C421" s="59" t="e">
        <f t="shared" si="81"/>
        <v>#NUM!</v>
      </c>
      <c r="D421" s="6" t="e">
        <f t="shared" si="82"/>
        <v>#NUM!</v>
      </c>
      <c r="E421" s="6" t="e">
        <f t="shared" si="83"/>
        <v>#NUM!</v>
      </c>
      <c r="F421" s="6" t="e">
        <f t="shared" si="84"/>
        <v>#NUM!</v>
      </c>
      <c r="G421" s="6" t="e">
        <f t="shared" si="85"/>
        <v>#NUM!</v>
      </c>
      <c r="H421" s="6"/>
      <c r="I421" s="6"/>
      <c r="V421" s="7">
        <v>364</v>
      </c>
      <c r="W421" s="59" t="e">
        <f t="shared" si="86"/>
        <v>#NUM!</v>
      </c>
      <c r="X421" s="6" t="e">
        <f t="shared" si="87"/>
        <v>#NUM!</v>
      </c>
      <c r="Y421" s="6" t="e">
        <f t="shared" si="88"/>
        <v>#NUM!</v>
      </c>
      <c r="Z421" s="6" t="e">
        <f t="shared" si="89"/>
        <v>#NUM!</v>
      </c>
      <c r="AA421" s="6" t="e">
        <f t="shared" si="90"/>
        <v>#NUM!</v>
      </c>
      <c r="AB421" s="6"/>
    </row>
    <row r="422" spans="2:28" x14ac:dyDescent="0.4">
      <c r="B422" s="7">
        <v>365</v>
      </c>
      <c r="C422" s="59" t="e">
        <f t="shared" si="81"/>
        <v>#NUM!</v>
      </c>
      <c r="D422" s="6" t="e">
        <f t="shared" si="82"/>
        <v>#NUM!</v>
      </c>
      <c r="E422" s="6" t="e">
        <f t="shared" si="83"/>
        <v>#NUM!</v>
      </c>
      <c r="F422" s="6" t="e">
        <f t="shared" si="84"/>
        <v>#NUM!</v>
      </c>
      <c r="G422" s="6" t="e">
        <f t="shared" si="85"/>
        <v>#NUM!</v>
      </c>
      <c r="H422" s="6"/>
      <c r="I422" s="6"/>
      <c r="V422" s="7">
        <v>365</v>
      </c>
      <c r="W422" s="59" t="e">
        <f t="shared" si="86"/>
        <v>#NUM!</v>
      </c>
      <c r="X422" s="6" t="e">
        <f t="shared" si="87"/>
        <v>#NUM!</v>
      </c>
      <c r="Y422" s="6" t="e">
        <f t="shared" si="88"/>
        <v>#NUM!</v>
      </c>
      <c r="Z422" s="6" t="e">
        <f t="shared" si="89"/>
        <v>#NUM!</v>
      </c>
      <c r="AA422" s="6" t="e">
        <f t="shared" si="90"/>
        <v>#NUM!</v>
      </c>
      <c r="AB422" s="6"/>
    </row>
    <row r="423" spans="2:28" x14ac:dyDescent="0.4">
      <c r="B423" s="7">
        <v>366</v>
      </c>
      <c r="C423" s="59" t="e">
        <f t="shared" si="81"/>
        <v>#NUM!</v>
      </c>
      <c r="D423" s="6" t="e">
        <f t="shared" si="82"/>
        <v>#NUM!</v>
      </c>
      <c r="E423" s="6" t="e">
        <f t="shared" si="83"/>
        <v>#NUM!</v>
      </c>
      <c r="F423" s="6" t="e">
        <f t="shared" si="84"/>
        <v>#NUM!</v>
      </c>
      <c r="G423" s="6" t="e">
        <f t="shared" si="85"/>
        <v>#NUM!</v>
      </c>
      <c r="H423" s="6"/>
      <c r="I423" s="6"/>
      <c r="V423" s="7">
        <v>366</v>
      </c>
      <c r="W423" s="59" t="e">
        <f t="shared" si="86"/>
        <v>#NUM!</v>
      </c>
      <c r="X423" s="6" t="e">
        <f t="shared" si="87"/>
        <v>#NUM!</v>
      </c>
      <c r="Y423" s="6" t="e">
        <f t="shared" si="88"/>
        <v>#NUM!</v>
      </c>
      <c r="Z423" s="6" t="e">
        <f t="shared" si="89"/>
        <v>#NUM!</v>
      </c>
      <c r="AA423" s="6" t="e">
        <f t="shared" si="90"/>
        <v>#NUM!</v>
      </c>
      <c r="AB423" s="6"/>
    </row>
    <row r="424" spans="2:28" x14ac:dyDescent="0.4">
      <c r="B424" s="7">
        <v>367</v>
      </c>
      <c r="C424" s="59" t="e">
        <f t="shared" si="81"/>
        <v>#NUM!</v>
      </c>
      <c r="D424" s="6" t="e">
        <f t="shared" si="82"/>
        <v>#NUM!</v>
      </c>
      <c r="E424" s="6" t="e">
        <f t="shared" si="83"/>
        <v>#NUM!</v>
      </c>
      <c r="F424" s="6" t="e">
        <f t="shared" si="84"/>
        <v>#NUM!</v>
      </c>
      <c r="G424" s="6" t="e">
        <f t="shared" si="85"/>
        <v>#NUM!</v>
      </c>
      <c r="H424" s="6"/>
      <c r="I424" s="6"/>
      <c r="V424" s="7">
        <v>367</v>
      </c>
      <c r="W424" s="59" t="e">
        <f t="shared" si="86"/>
        <v>#NUM!</v>
      </c>
      <c r="X424" s="6" t="e">
        <f t="shared" si="87"/>
        <v>#NUM!</v>
      </c>
      <c r="Y424" s="6" t="e">
        <f t="shared" si="88"/>
        <v>#NUM!</v>
      </c>
      <c r="Z424" s="6" t="e">
        <f t="shared" si="89"/>
        <v>#NUM!</v>
      </c>
      <c r="AA424" s="6" t="e">
        <f t="shared" si="90"/>
        <v>#NUM!</v>
      </c>
      <c r="AB424" s="6"/>
    </row>
    <row r="425" spans="2:28" x14ac:dyDescent="0.4">
      <c r="B425" s="7">
        <v>368</v>
      </c>
      <c r="C425" s="59" t="e">
        <f t="shared" si="81"/>
        <v>#NUM!</v>
      </c>
      <c r="D425" s="6" t="e">
        <f t="shared" si="82"/>
        <v>#NUM!</v>
      </c>
      <c r="E425" s="6" t="e">
        <f t="shared" si="83"/>
        <v>#NUM!</v>
      </c>
      <c r="F425" s="6" t="e">
        <f t="shared" si="84"/>
        <v>#NUM!</v>
      </c>
      <c r="G425" s="6" t="e">
        <f t="shared" si="85"/>
        <v>#NUM!</v>
      </c>
      <c r="H425" s="6"/>
      <c r="I425" s="6"/>
      <c r="V425" s="7">
        <v>368</v>
      </c>
      <c r="W425" s="59" t="e">
        <f t="shared" si="86"/>
        <v>#NUM!</v>
      </c>
      <c r="X425" s="6" t="e">
        <f t="shared" si="87"/>
        <v>#NUM!</v>
      </c>
      <c r="Y425" s="6" t="e">
        <f t="shared" si="88"/>
        <v>#NUM!</v>
      </c>
      <c r="Z425" s="6" t="e">
        <f t="shared" si="89"/>
        <v>#NUM!</v>
      </c>
      <c r="AA425" s="6" t="e">
        <f t="shared" si="90"/>
        <v>#NUM!</v>
      </c>
      <c r="AB425" s="6"/>
    </row>
    <row r="426" spans="2:28" x14ac:dyDescent="0.4">
      <c r="B426" s="7">
        <v>369</v>
      </c>
      <c r="C426" s="59" t="e">
        <f t="shared" si="81"/>
        <v>#NUM!</v>
      </c>
      <c r="D426" s="6" t="e">
        <f t="shared" si="82"/>
        <v>#NUM!</v>
      </c>
      <c r="E426" s="6" t="e">
        <f t="shared" si="83"/>
        <v>#NUM!</v>
      </c>
      <c r="F426" s="6" t="e">
        <f t="shared" si="84"/>
        <v>#NUM!</v>
      </c>
      <c r="G426" s="6" t="e">
        <f t="shared" si="85"/>
        <v>#NUM!</v>
      </c>
      <c r="H426" s="6"/>
      <c r="I426" s="6"/>
      <c r="V426" s="7">
        <v>369</v>
      </c>
      <c r="W426" s="59" t="e">
        <f t="shared" si="86"/>
        <v>#NUM!</v>
      </c>
      <c r="X426" s="6" t="e">
        <f t="shared" si="87"/>
        <v>#NUM!</v>
      </c>
      <c r="Y426" s="6" t="e">
        <f t="shared" si="88"/>
        <v>#NUM!</v>
      </c>
      <c r="Z426" s="6" t="e">
        <f t="shared" si="89"/>
        <v>#NUM!</v>
      </c>
      <c r="AA426" s="6" t="e">
        <f t="shared" si="90"/>
        <v>#NUM!</v>
      </c>
      <c r="AB426" s="6"/>
    </row>
    <row r="427" spans="2:28" x14ac:dyDescent="0.4">
      <c r="B427" s="7">
        <v>370</v>
      </c>
      <c r="C427" s="59" t="e">
        <f t="shared" si="81"/>
        <v>#NUM!</v>
      </c>
      <c r="D427" s="6" t="e">
        <f t="shared" si="82"/>
        <v>#NUM!</v>
      </c>
      <c r="E427" s="6" t="e">
        <f t="shared" si="83"/>
        <v>#NUM!</v>
      </c>
      <c r="F427" s="6" t="e">
        <f t="shared" si="84"/>
        <v>#NUM!</v>
      </c>
      <c r="G427" s="6" t="e">
        <f t="shared" si="85"/>
        <v>#NUM!</v>
      </c>
      <c r="H427" s="6"/>
      <c r="I427" s="6"/>
      <c r="V427" s="7">
        <v>370</v>
      </c>
      <c r="W427" s="59" t="e">
        <f t="shared" si="86"/>
        <v>#NUM!</v>
      </c>
      <c r="X427" s="6" t="e">
        <f t="shared" si="87"/>
        <v>#NUM!</v>
      </c>
      <c r="Y427" s="6" t="e">
        <f t="shared" si="88"/>
        <v>#NUM!</v>
      </c>
      <c r="Z427" s="6" t="e">
        <f t="shared" si="89"/>
        <v>#NUM!</v>
      </c>
      <c r="AA427" s="6" t="e">
        <f t="shared" si="90"/>
        <v>#NUM!</v>
      </c>
      <c r="AB427" s="6"/>
    </row>
    <row r="428" spans="2:28" x14ac:dyDescent="0.4">
      <c r="B428" s="7">
        <v>371</v>
      </c>
      <c r="C428" s="59" t="e">
        <f t="shared" si="81"/>
        <v>#NUM!</v>
      </c>
      <c r="D428" s="6" t="e">
        <f t="shared" si="82"/>
        <v>#NUM!</v>
      </c>
      <c r="E428" s="6" t="e">
        <f t="shared" si="83"/>
        <v>#NUM!</v>
      </c>
      <c r="F428" s="6" t="e">
        <f t="shared" si="84"/>
        <v>#NUM!</v>
      </c>
      <c r="G428" s="6" t="e">
        <f t="shared" si="85"/>
        <v>#NUM!</v>
      </c>
      <c r="H428" s="6"/>
      <c r="I428" s="6"/>
      <c r="V428" s="7">
        <v>371</v>
      </c>
      <c r="W428" s="59" t="e">
        <f t="shared" si="86"/>
        <v>#NUM!</v>
      </c>
      <c r="X428" s="6" t="e">
        <f t="shared" si="87"/>
        <v>#NUM!</v>
      </c>
      <c r="Y428" s="6" t="e">
        <f t="shared" si="88"/>
        <v>#NUM!</v>
      </c>
      <c r="Z428" s="6" t="e">
        <f t="shared" si="89"/>
        <v>#NUM!</v>
      </c>
      <c r="AA428" s="6" t="e">
        <f t="shared" si="90"/>
        <v>#NUM!</v>
      </c>
      <c r="AB428" s="6"/>
    </row>
    <row r="429" spans="2:28" x14ac:dyDescent="0.4">
      <c r="B429" s="7">
        <v>372</v>
      </c>
      <c r="C429" s="59" t="e">
        <f t="shared" si="81"/>
        <v>#NUM!</v>
      </c>
      <c r="D429" s="6" t="e">
        <f t="shared" si="82"/>
        <v>#NUM!</v>
      </c>
      <c r="E429" s="6" t="e">
        <f t="shared" si="83"/>
        <v>#NUM!</v>
      </c>
      <c r="F429" s="6" t="e">
        <f t="shared" si="84"/>
        <v>#NUM!</v>
      </c>
      <c r="G429" s="6" t="e">
        <f t="shared" si="85"/>
        <v>#NUM!</v>
      </c>
      <c r="H429" s="6"/>
      <c r="I429" s="6"/>
      <c r="V429" s="7">
        <v>372</v>
      </c>
      <c r="W429" s="59" t="e">
        <f t="shared" si="86"/>
        <v>#NUM!</v>
      </c>
      <c r="X429" s="6" t="e">
        <f t="shared" si="87"/>
        <v>#NUM!</v>
      </c>
      <c r="Y429" s="6" t="e">
        <f t="shared" si="88"/>
        <v>#NUM!</v>
      </c>
      <c r="Z429" s="6" t="e">
        <f t="shared" si="89"/>
        <v>#NUM!</v>
      </c>
      <c r="AA429" s="6" t="e">
        <f t="shared" si="90"/>
        <v>#NUM!</v>
      </c>
      <c r="AB429" s="6"/>
    </row>
    <row r="430" spans="2:28" x14ac:dyDescent="0.4">
      <c r="B430" s="7">
        <v>373</v>
      </c>
      <c r="C430" s="59" t="e">
        <f t="shared" si="81"/>
        <v>#NUM!</v>
      </c>
      <c r="D430" s="6" t="e">
        <f t="shared" si="82"/>
        <v>#NUM!</v>
      </c>
      <c r="E430" s="6" t="e">
        <f t="shared" si="83"/>
        <v>#NUM!</v>
      </c>
      <c r="F430" s="6" t="e">
        <f t="shared" si="84"/>
        <v>#NUM!</v>
      </c>
      <c r="G430" s="6" t="e">
        <f t="shared" si="85"/>
        <v>#NUM!</v>
      </c>
      <c r="H430" s="6"/>
      <c r="I430" s="6"/>
      <c r="V430" s="7">
        <v>373</v>
      </c>
      <c r="W430" s="59" t="e">
        <f t="shared" si="86"/>
        <v>#NUM!</v>
      </c>
      <c r="X430" s="6" t="e">
        <f t="shared" si="87"/>
        <v>#NUM!</v>
      </c>
      <c r="Y430" s="6" t="e">
        <f t="shared" si="88"/>
        <v>#NUM!</v>
      </c>
      <c r="Z430" s="6" t="e">
        <f t="shared" si="89"/>
        <v>#NUM!</v>
      </c>
      <c r="AA430" s="6" t="e">
        <f t="shared" si="90"/>
        <v>#NUM!</v>
      </c>
      <c r="AB430" s="6"/>
    </row>
    <row r="431" spans="2:28" x14ac:dyDescent="0.4">
      <c r="B431" s="7">
        <v>374</v>
      </c>
      <c r="C431" s="59" t="e">
        <f t="shared" si="81"/>
        <v>#NUM!</v>
      </c>
      <c r="D431" s="6" t="e">
        <f t="shared" si="82"/>
        <v>#NUM!</v>
      </c>
      <c r="E431" s="6" t="e">
        <f t="shared" si="83"/>
        <v>#NUM!</v>
      </c>
      <c r="F431" s="6" t="e">
        <f t="shared" si="84"/>
        <v>#NUM!</v>
      </c>
      <c r="G431" s="6" t="e">
        <f t="shared" si="85"/>
        <v>#NUM!</v>
      </c>
      <c r="H431" s="6"/>
      <c r="I431" s="6"/>
      <c r="V431" s="7">
        <v>374</v>
      </c>
      <c r="W431" s="59" t="e">
        <f t="shared" si="86"/>
        <v>#NUM!</v>
      </c>
      <c r="X431" s="6" t="e">
        <f t="shared" si="87"/>
        <v>#NUM!</v>
      </c>
      <c r="Y431" s="6" t="e">
        <f t="shared" si="88"/>
        <v>#NUM!</v>
      </c>
      <c r="Z431" s="6" t="e">
        <f t="shared" si="89"/>
        <v>#NUM!</v>
      </c>
      <c r="AA431" s="6" t="e">
        <f t="shared" si="90"/>
        <v>#NUM!</v>
      </c>
      <c r="AB431" s="6"/>
    </row>
    <row r="432" spans="2:28" x14ac:dyDescent="0.4">
      <c r="B432" s="7">
        <v>375</v>
      </c>
      <c r="C432" s="59" t="e">
        <f t="shared" si="81"/>
        <v>#NUM!</v>
      </c>
      <c r="D432" s="6" t="e">
        <f t="shared" si="82"/>
        <v>#NUM!</v>
      </c>
      <c r="E432" s="6" t="e">
        <f t="shared" si="83"/>
        <v>#NUM!</v>
      </c>
      <c r="F432" s="6" t="e">
        <f t="shared" si="84"/>
        <v>#NUM!</v>
      </c>
      <c r="G432" s="6" t="e">
        <f t="shared" si="85"/>
        <v>#NUM!</v>
      </c>
      <c r="H432" s="6"/>
      <c r="I432" s="6"/>
      <c r="V432" s="7">
        <v>375</v>
      </c>
      <c r="W432" s="59" t="e">
        <f t="shared" si="86"/>
        <v>#NUM!</v>
      </c>
      <c r="X432" s="6" t="e">
        <f t="shared" si="87"/>
        <v>#NUM!</v>
      </c>
      <c r="Y432" s="6" t="e">
        <f t="shared" si="88"/>
        <v>#NUM!</v>
      </c>
      <c r="Z432" s="6" t="e">
        <f t="shared" si="89"/>
        <v>#NUM!</v>
      </c>
      <c r="AA432" s="6" t="e">
        <f t="shared" si="90"/>
        <v>#NUM!</v>
      </c>
      <c r="AB432" s="6"/>
    </row>
    <row r="433" spans="2:28" x14ac:dyDescent="0.4">
      <c r="B433" s="7">
        <v>376</v>
      </c>
      <c r="C433" s="59" t="e">
        <f t="shared" si="81"/>
        <v>#NUM!</v>
      </c>
      <c r="D433" s="6" t="e">
        <f t="shared" si="82"/>
        <v>#NUM!</v>
      </c>
      <c r="E433" s="6" t="e">
        <f t="shared" si="83"/>
        <v>#NUM!</v>
      </c>
      <c r="F433" s="6" t="e">
        <f t="shared" si="84"/>
        <v>#NUM!</v>
      </c>
      <c r="G433" s="6" t="e">
        <f t="shared" si="85"/>
        <v>#NUM!</v>
      </c>
      <c r="H433" s="6"/>
      <c r="I433" s="6"/>
      <c r="V433" s="7">
        <v>376</v>
      </c>
      <c r="W433" s="59" t="e">
        <f t="shared" si="86"/>
        <v>#NUM!</v>
      </c>
      <c r="X433" s="6" t="e">
        <f t="shared" si="87"/>
        <v>#NUM!</v>
      </c>
      <c r="Y433" s="6" t="e">
        <f t="shared" si="88"/>
        <v>#NUM!</v>
      </c>
      <c r="Z433" s="6" t="e">
        <f t="shared" si="89"/>
        <v>#NUM!</v>
      </c>
      <c r="AA433" s="6" t="e">
        <f t="shared" si="90"/>
        <v>#NUM!</v>
      </c>
      <c r="AB433" s="6"/>
    </row>
    <row r="434" spans="2:28" x14ac:dyDescent="0.4">
      <c r="B434" s="7">
        <v>377</v>
      </c>
      <c r="C434" s="59" t="e">
        <f t="shared" si="81"/>
        <v>#NUM!</v>
      </c>
      <c r="D434" s="6" t="e">
        <f t="shared" si="82"/>
        <v>#NUM!</v>
      </c>
      <c r="E434" s="6" t="e">
        <f t="shared" si="83"/>
        <v>#NUM!</v>
      </c>
      <c r="F434" s="6" t="e">
        <f t="shared" si="84"/>
        <v>#NUM!</v>
      </c>
      <c r="G434" s="6" t="e">
        <f t="shared" si="85"/>
        <v>#NUM!</v>
      </c>
      <c r="H434" s="6"/>
      <c r="I434" s="6"/>
      <c r="V434" s="7">
        <v>377</v>
      </c>
      <c r="W434" s="59" t="e">
        <f t="shared" si="86"/>
        <v>#NUM!</v>
      </c>
      <c r="X434" s="6" t="e">
        <f t="shared" si="87"/>
        <v>#NUM!</v>
      </c>
      <c r="Y434" s="6" t="e">
        <f t="shared" si="88"/>
        <v>#NUM!</v>
      </c>
      <c r="Z434" s="6" t="e">
        <f t="shared" si="89"/>
        <v>#NUM!</v>
      </c>
      <c r="AA434" s="6" t="e">
        <f t="shared" si="90"/>
        <v>#NUM!</v>
      </c>
      <c r="AB434" s="6"/>
    </row>
    <row r="435" spans="2:28" x14ac:dyDescent="0.4">
      <c r="B435" s="7">
        <v>378</v>
      </c>
      <c r="C435" s="59" t="e">
        <f t="shared" si="81"/>
        <v>#NUM!</v>
      </c>
      <c r="D435" s="6" t="e">
        <f t="shared" si="82"/>
        <v>#NUM!</v>
      </c>
      <c r="E435" s="6" t="e">
        <f t="shared" si="83"/>
        <v>#NUM!</v>
      </c>
      <c r="F435" s="6" t="e">
        <f t="shared" si="84"/>
        <v>#NUM!</v>
      </c>
      <c r="G435" s="6" t="e">
        <f t="shared" si="85"/>
        <v>#NUM!</v>
      </c>
      <c r="H435" s="6"/>
      <c r="I435" s="6"/>
      <c r="V435" s="7">
        <v>378</v>
      </c>
      <c r="W435" s="59" t="e">
        <f t="shared" si="86"/>
        <v>#NUM!</v>
      </c>
      <c r="X435" s="6" t="e">
        <f t="shared" si="87"/>
        <v>#NUM!</v>
      </c>
      <c r="Y435" s="6" t="e">
        <f t="shared" si="88"/>
        <v>#NUM!</v>
      </c>
      <c r="Z435" s="6" t="e">
        <f t="shared" si="89"/>
        <v>#NUM!</v>
      </c>
      <c r="AA435" s="6" t="e">
        <f t="shared" si="90"/>
        <v>#NUM!</v>
      </c>
      <c r="AB435" s="6"/>
    </row>
    <row r="436" spans="2:28" x14ac:dyDescent="0.4">
      <c r="B436" s="7">
        <v>379</v>
      </c>
      <c r="C436" s="59" t="e">
        <f t="shared" si="81"/>
        <v>#NUM!</v>
      </c>
      <c r="D436" s="6" t="e">
        <f t="shared" si="82"/>
        <v>#NUM!</v>
      </c>
      <c r="E436" s="6" t="e">
        <f t="shared" si="83"/>
        <v>#NUM!</v>
      </c>
      <c r="F436" s="6" t="e">
        <f t="shared" si="84"/>
        <v>#NUM!</v>
      </c>
      <c r="G436" s="6" t="e">
        <f t="shared" si="85"/>
        <v>#NUM!</v>
      </c>
      <c r="H436" s="6"/>
      <c r="I436" s="6"/>
      <c r="V436" s="7">
        <v>379</v>
      </c>
      <c r="W436" s="59" t="e">
        <f t="shared" si="86"/>
        <v>#NUM!</v>
      </c>
      <c r="X436" s="6" t="e">
        <f t="shared" si="87"/>
        <v>#NUM!</v>
      </c>
      <c r="Y436" s="6" t="e">
        <f t="shared" si="88"/>
        <v>#NUM!</v>
      </c>
      <c r="Z436" s="6" t="e">
        <f t="shared" si="89"/>
        <v>#NUM!</v>
      </c>
      <c r="AA436" s="6" t="e">
        <f t="shared" si="90"/>
        <v>#NUM!</v>
      </c>
      <c r="AB436" s="6"/>
    </row>
    <row r="437" spans="2:28" x14ac:dyDescent="0.4">
      <c r="B437" s="7">
        <v>380</v>
      </c>
      <c r="C437" s="59" t="e">
        <f t="shared" si="81"/>
        <v>#NUM!</v>
      </c>
      <c r="D437" s="6" t="e">
        <f t="shared" si="82"/>
        <v>#NUM!</v>
      </c>
      <c r="E437" s="6" t="e">
        <f t="shared" si="83"/>
        <v>#NUM!</v>
      </c>
      <c r="F437" s="6" t="e">
        <f t="shared" si="84"/>
        <v>#NUM!</v>
      </c>
      <c r="G437" s="6" t="e">
        <f t="shared" si="85"/>
        <v>#NUM!</v>
      </c>
      <c r="H437" s="6"/>
      <c r="I437" s="6"/>
      <c r="V437" s="7">
        <v>380</v>
      </c>
      <c r="W437" s="59" t="e">
        <f t="shared" si="86"/>
        <v>#NUM!</v>
      </c>
      <c r="X437" s="6" t="e">
        <f t="shared" si="87"/>
        <v>#NUM!</v>
      </c>
      <c r="Y437" s="6" t="e">
        <f t="shared" si="88"/>
        <v>#NUM!</v>
      </c>
      <c r="Z437" s="6" t="e">
        <f t="shared" si="89"/>
        <v>#NUM!</v>
      </c>
      <c r="AA437" s="6" t="e">
        <f t="shared" si="90"/>
        <v>#NUM!</v>
      </c>
      <c r="AB437" s="6"/>
    </row>
    <row r="438" spans="2:28" x14ac:dyDescent="0.4">
      <c r="B438" s="7">
        <v>381</v>
      </c>
      <c r="C438" s="59" t="e">
        <f t="shared" si="81"/>
        <v>#NUM!</v>
      </c>
      <c r="D438" s="6" t="e">
        <f t="shared" si="82"/>
        <v>#NUM!</v>
      </c>
      <c r="E438" s="6" t="e">
        <f t="shared" si="83"/>
        <v>#NUM!</v>
      </c>
      <c r="F438" s="6" t="e">
        <f t="shared" si="84"/>
        <v>#NUM!</v>
      </c>
      <c r="G438" s="6" t="e">
        <f t="shared" si="85"/>
        <v>#NUM!</v>
      </c>
      <c r="H438" s="6"/>
      <c r="I438" s="6"/>
      <c r="V438" s="7">
        <v>381</v>
      </c>
      <c r="W438" s="59" t="e">
        <f t="shared" si="86"/>
        <v>#NUM!</v>
      </c>
      <c r="X438" s="6" t="e">
        <f t="shared" si="87"/>
        <v>#NUM!</v>
      </c>
      <c r="Y438" s="6" t="e">
        <f t="shared" si="88"/>
        <v>#NUM!</v>
      </c>
      <c r="Z438" s="6" t="e">
        <f t="shared" si="89"/>
        <v>#NUM!</v>
      </c>
      <c r="AA438" s="6" t="e">
        <f t="shared" si="90"/>
        <v>#NUM!</v>
      </c>
      <c r="AB438" s="6"/>
    </row>
    <row r="439" spans="2:28" x14ac:dyDescent="0.4">
      <c r="B439" s="7">
        <v>382</v>
      </c>
      <c r="C439" s="59" t="e">
        <f t="shared" si="81"/>
        <v>#NUM!</v>
      </c>
      <c r="D439" s="6" t="e">
        <f t="shared" si="82"/>
        <v>#NUM!</v>
      </c>
      <c r="E439" s="6" t="e">
        <f t="shared" si="83"/>
        <v>#NUM!</v>
      </c>
      <c r="F439" s="6" t="e">
        <f t="shared" si="84"/>
        <v>#NUM!</v>
      </c>
      <c r="G439" s="6" t="e">
        <f t="shared" si="85"/>
        <v>#NUM!</v>
      </c>
      <c r="H439" s="6"/>
      <c r="I439" s="6"/>
      <c r="V439" s="7">
        <v>382</v>
      </c>
      <c r="W439" s="59" t="e">
        <f t="shared" si="86"/>
        <v>#NUM!</v>
      </c>
      <c r="X439" s="6" t="e">
        <f t="shared" si="87"/>
        <v>#NUM!</v>
      </c>
      <c r="Y439" s="6" t="e">
        <f t="shared" si="88"/>
        <v>#NUM!</v>
      </c>
      <c r="Z439" s="6" t="e">
        <f t="shared" si="89"/>
        <v>#NUM!</v>
      </c>
      <c r="AA439" s="6" t="e">
        <f t="shared" si="90"/>
        <v>#NUM!</v>
      </c>
      <c r="AB439" s="6"/>
    </row>
    <row r="440" spans="2:28" x14ac:dyDescent="0.4">
      <c r="B440" s="7">
        <v>383</v>
      </c>
      <c r="C440" s="59" t="e">
        <f t="shared" si="81"/>
        <v>#NUM!</v>
      </c>
      <c r="D440" s="6" t="e">
        <f t="shared" si="82"/>
        <v>#NUM!</v>
      </c>
      <c r="E440" s="6" t="e">
        <f t="shared" si="83"/>
        <v>#NUM!</v>
      </c>
      <c r="F440" s="6" t="e">
        <f t="shared" si="84"/>
        <v>#NUM!</v>
      </c>
      <c r="G440" s="6" t="e">
        <f t="shared" si="85"/>
        <v>#NUM!</v>
      </c>
      <c r="H440" s="6"/>
      <c r="I440" s="6"/>
      <c r="V440" s="7">
        <v>383</v>
      </c>
      <c r="W440" s="59" t="e">
        <f t="shared" si="86"/>
        <v>#NUM!</v>
      </c>
      <c r="X440" s="6" t="e">
        <f t="shared" si="87"/>
        <v>#NUM!</v>
      </c>
      <c r="Y440" s="6" t="e">
        <f t="shared" si="88"/>
        <v>#NUM!</v>
      </c>
      <c r="Z440" s="6" t="e">
        <f t="shared" si="89"/>
        <v>#NUM!</v>
      </c>
      <c r="AA440" s="6" t="e">
        <f t="shared" si="90"/>
        <v>#NUM!</v>
      </c>
      <c r="AB440" s="6"/>
    </row>
    <row r="441" spans="2:28" x14ac:dyDescent="0.4">
      <c r="B441" s="7">
        <v>384</v>
      </c>
      <c r="C441" s="59" t="e">
        <f t="shared" si="81"/>
        <v>#NUM!</v>
      </c>
      <c r="D441" s="6" t="e">
        <f t="shared" si="82"/>
        <v>#NUM!</v>
      </c>
      <c r="E441" s="6" t="e">
        <f t="shared" si="83"/>
        <v>#NUM!</v>
      </c>
      <c r="F441" s="6" t="e">
        <f t="shared" si="84"/>
        <v>#NUM!</v>
      </c>
      <c r="G441" s="6" t="e">
        <f t="shared" si="85"/>
        <v>#NUM!</v>
      </c>
      <c r="H441" s="6"/>
      <c r="I441" s="6"/>
      <c r="V441" s="7">
        <v>384</v>
      </c>
      <c r="W441" s="59" t="e">
        <f t="shared" si="86"/>
        <v>#NUM!</v>
      </c>
      <c r="X441" s="6" t="e">
        <f t="shared" si="87"/>
        <v>#NUM!</v>
      </c>
      <c r="Y441" s="6" t="e">
        <f t="shared" si="88"/>
        <v>#NUM!</v>
      </c>
      <c r="Z441" s="6" t="e">
        <f t="shared" si="89"/>
        <v>#NUM!</v>
      </c>
      <c r="AA441" s="6" t="e">
        <f t="shared" si="90"/>
        <v>#NUM!</v>
      </c>
      <c r="AB441" s="6"/>
    </row>
    <row r="442" spans="2:28" x14ac:dyDescent="0.4">
      <c r="B442" s="7">
        <v>385</v>
      </c>
      <c r="C442" s="59" t="e">
        <f t="shared" si="81"/>
        <v>#NUM!</v>
      </c>
      <c r="D442" s="6" t="e">
        <f t="shared" si="82"/>
        <v>#NUM!</v>
      </c>
      <c r="E442" s="6" t="e">
        <f t="shared" si="83"/>
        <v>#NUM!</v>
      </c>
      <c r="F442" s="6" t="e">
        <f t="shared" si="84"/>
        <v>#NUM!</v>
      </c>
      <c r="G442" s="6" t="e">
        <f t="shared" si="85"/>
        <v>#NUM!</v>
      </c>
      <c r="H442" s="6"/>
      <c r="I442" s="6"/>
      <c r="V442" s="7">
        <v>385</v>
      </c>
      <c r="W442" s="59" t="e">
        <f t="shared" si="86"/>
        <v>#NUM!</v>
      </c>
      <c r="X442" s="6" t="e">
        <f t="shared" si="87"/>
        <v>#NUM!</v>
      </c>
      <c r="Y442" s="6" t="e">
        <f t="shared" si="88"/>
        <v>#NUM!</v>
      </c>
      <c r="Z442" s="6" t="e">
        <f t="shared" si="89"/>
        <v>#NUM!</v>
      </c>
      <c r="AA442" s="6" t="e">
        <f t="shared" si="90"/>
        <v>#NUM!</v>
      </c>
      <c r="AB442" s="6"/>
    </row>
    <row r="443" spans="2:28" x14ac:dyDescent="0.4">
      <c r="B443" s="7">
        <v>386</v>
      </c>
      <c r="C443" s="59" t="e">
        <f t="shared" ref="C443:C506" si="91">G442</f>
        <v>#NUM!</v>
      </c>
      <c r="D443" s="6" t="e">
        <f t="shared" ref="D443:D506" si="92">-PMT($D$7/12,$D$9*12,$D$6,,)</f>
        <v>#NUM!</v>
      </c>
      <c r="E443" s="6" t="e">
        <f t="shared" ref="E443:E506" si="93">C443*$D$7/12</f>
        <v>#NUM!</v>
      </c>
      <c r="F443" s="6" t="e">
        <f t="shared" ref="F443:F506" si="94">D443-E443</f>
        <v>#NUM!</v>
      </c>
      <c r="G443" s="6" t="e">
        <f t="shared" ref="G443:G506" si="95">C443-F443</f>
        <v>#NUM!</v>
      </c>
      <c r="H443" s="6"/>
      <c r="I443" s="6"/>
      <c r="V443" s="7">
        <v>386</v>
      </c>
      <c r="W443" s="59" t="e">
        <f t="shared" ref="W443:W506" si="96">AA442</f>
        <v>#NUM!</v>
      </c>
      <c r="X443" s="6" t="e">
        <f t="shared" ref="X443:X506" si="97">-PMT($X$7/12,$X$9*12,$X$6,,)</f>
        <v>#NUM!</v>
      </c>
      <c r="Y443" s="6" t="e">
        <f t="shared" ref="Y443:Y506" si="98">W443*$X$7/12</f>
        <v>#NUM!</v>
      </c>
      <c r="Z443" s="6" t="e">
        <f t="shared" ref="Z443:Z506" si="99">X443-Y443</f>
        <v>#NUM!</v>
      </c>
      <c r="AA443" s="6" t="e">
        <f t="shared" ref="AA443:AA506" si="100">W443-Z443</f>
        <v>#NUM!</v>
      </c>
      <c r="AB443" s="6"/>
    </row>
    <row r="444" spans="2:28" x14ac:dyDescent="0.4">
      <c r="B444" s="7">
        <v>387</v>
      </c>
      <c r="C444" s="59" t="e">
        <f t="shared" si="91"/>
        <v>#NUM!</v>
      </c>
      <c r="D444" s="6" t="e">
        <f t="shared" si="92"/>
        <v>#NUM!</v>
      </c>
      <c r="E444" s="6" t="e">
        <f t="shared" si="93"/>
        <v>#NUM!</v>
      </c>
      <c r="F444" s="6" t="e">
        <f t="shared" si="94"/>
        <v>#NUM!</v>
      </c>
      <c r="G444" s="6" t="e">
        <f t="shared" si="95"/>
        <v>#NUM!</v>
      </c>
      <c r="H444" s="6"/>
      <c r="I444" s="6"/>
      <c r="V444" s="7">
        <v>387</v>
      </c>
      <c r="W444" s="59" t="e">
        <f t="shared" si="96"/>
        <v>#NUM!</v>
      </c>
      <c r="X444" s="6" t="e">
        <f t="shared" si="97"/>
        <v>#NUM!</v>
      </c>
      <c r="Y444" s="6" t="e">
        <f t="shared" si="98"/>
        <v>#NUM!</v>
      </c>
      <c r="Z444" s="6" t="e">
        <f t="shared" si="99"/>
        <v>#NUM!</v>
      </c>
      <c r="AA444" s="6" t="e">
        <f t="shared" si="100"/>
        <v>#NUM!</v>
      </c>
      <c r="AB444" s="6"/>
    </row>
    <row r="445" spans="2:28" x14ac:dyDescent="0.4">
      <c r="B445" s="7">
        <v>388</v>
      </c>
      <c r="C445" s="59" t="e">
        <f t="shared" si="91"/>
        <v>#NUM!</v>
      </c>
      <c r="D445" s="6" t="e">
        <f t="shared" si="92"/>
        <v>#NUM!</v>
      </c>
      <c r="E445" s="6" t="e">
        <f t="shared" si="93"/>
        <v>#NUM!</v>
      </c>
      <c r="F445" s="6" t="e">
        <f t="shared" si="94"/>
        <v>#NUM!</v>
      </c>
      <c r="G445" s="6" t="e">
        <f t="shared" si="95"/>
        <v>#NUM!</v>
      </c>
      <c r="H445" s="6"/>
      <c r="I445" s="6"/>
      <c r="V445" s="7">
        <v>388</v>
      </c>
      <c r="W445" s="59" t="e">
        <f t="shared" si="96"/>
        <v>#NUM!</v>
      </c>
      <c r="X445" s="6" t="e">
        <f t="shared" si="97"/>
        <v>#NUM!</v>
      </c>
      <c r="Y445" s="6" t="e">
        <f t="shared" si="98"/>
        <v>#NUM!</v>
      </c>
      <c r="Z445" s="6" t="e">
        <f t="shared" si="99"/>
        <v>#NUM!</v>
      </c>
      <c r="AA445" s="6" t="e">
        <f t="shared" si="100"/>
        <v>#NUM!</v>
      </c>
      <c r="AB445" s="6"/>
    </row>
    <row r="446" spans="2:28" x14ac:dyDescent="0.4">
      <c r="B446" s="7">
        <v>389</v>
      </c>
      <c r="C446" s="59" t="e">
        <f t="shared" si="91"/>
        <v>#NUM!</v>
      </c>
      <c r="D446" s="6" t="e">
        <f t="shared" si="92"/>
        <v>#NUM!</v>
      </c>
      <c r="E446" s="6" t="e">
        <f t="shared" si="93"/>
        <v>#NUM!</v>
      </c>
      <c r="F446" s="6" t="e">
        <f t="shared" si="94"/>
        <v>#NUM!</v>
      </c>
      <c r="G446" s="6" t="e">
        <f t="shared" si="95"/>
        <v>#NUM!</v>
      </c>
      <c r="H446" s="6"/>
      <c r="I446" s="6"/>
      <c r="V446" s="7">
        <v>389</v>
      </c>
      <c r="W446" s="59" t="e">
        <f t="shared" si="96"/>
        <v>#NUM!</v>
      </c>
      <c r="X446" s="6" t="e">
        <f t="shared" si="97"/>
        <v>#NUM!</v>
      </c>
      <c r="Y446" s="6" t="e">
        <f t="shared" si="98"/>
        <v>#NUM!</v>
      </c>
      <c r="Z446" s="6" t="e">
        <f t="shared" si="99"/>
        <v>#NUM!</v>
      </c>
      <c r="AA446" s="6" t="e">
        <f t="shared" si="100"/>
        <v>#NUM!</v>
      </c>
      <c r="AB446" s="6"/>
    </row>
    <row r="447" spans="2:28" x14ac:dyDescent="0.4">
      <c r="B447" s="7">
        <v>390</v>
      </c>
      <c r="C447" s="59" t="e">
        <f t="shared" si="91"/>
        <v>#NUM!</v>
      </c>
      <c r="D447" s="6" t="e">
        <f t="shared" si="92"/>
        <v>#NUM!</v>
      </c>
      <c r="E447" s="6" t="e">
        <f t="shared" si="93"/>
        <v>#NUM!</v>
      </c>
      <c r="F447" s="6" t="e">
        <f t="shared" si="94"/>
        <v>#NUM!</v>
      </c>
      <c r="G447" s="6" t="e">
        <f t="shared" si="95"/>
        <v>#NUM!</v>
      </c>
      <c r="H447" s="6"/>
      <c r="I447" s="6"/>
      <c r="V447" s="7">
        <v>390</v>
      </c>
      <c r="W447" s="59" t="e">
        <f t="shared" si="96"/>
        <v>#NUM!</v>
      </c>
      <c r="X447" s="6" t="e">
        <f t="shared" si="97"/>
        <v>#NUM!</v>
      </c>
      <c r="Y447" s="6" t="e">
        <f t="shared" si="98"/>
        <v>#NUM!</v>
      </c>
      <c r="Z447" s="6" t="e">
        <f t="shared" si="99"/>
        <v>#NUM!</v>
      </c>
      <c r="AA447" s="6" t="e">
        <f t="shared" si="100"/>
        <v>#NUM!</v>
      </c>
      <c r="AB447" s="6"/>
    </row>
    <row r="448" spans="2:28" x14ac:dyDescent="0.4">
      <c r="B448" s="7">
        <v>391</v>
      </c>
      <c r="C448" s="59" t="e">
        <f t="shared" si="91"/>
        <v>#NUM!</v>
      </c>
      <c r="D448" s="6" t="e">
        <f t="shared" si="92"/>
        <v>#NUM!</v>
      </c>
      <c r="E448" s="6" t="e">
        <f t="shared" si="93"/>
        <v>#NUM!</v>
      </c>
      <c r="F448" s="6" t="e">
        <f t="shared" si="94"/>
        <v>#NUM!</v>
      </c>
      <c r="G448" s="6" t="e">
        <f t="shared" si="95"/>
        <v>#NUM!</v>
      </c>
      <c r="H448" s="6"/>
      <c r="I448" s="6"/>
      <c r="V448" s="7">
        <v>391</v>
      </c>
      <c r="W448" s="59" t="e">
        <f t="shared" si="96"/>
        <v>#NUM!</v>
      </c>
      <c r="X448" s="6" t="e">
        <f t="shared" si="97"/>
        <v>#NUM!</v>
      </c>
      <c r="Y448" s="6" t="e">
        <f t="shared" si="98"/>
        <v>#NUM!</v>
      </c>
      <c r="Z448" s="6" t="e">
        <f t="shared" si="99"/>
        <v>#NUM!</v>
      </c>
      <c r="AA448" s="6" t="e">
        <f t="shared" si="100"/>
        <v>#NUM!</v>
      </c>
      <c r="AB448" s="6"/>
    </row>
    <row r="449" spans="2:28" x14ac:dyDescent="0.4">
      <c r="B449" s="7">
        <v>392</v>
      </c>
      <c r="C449" s="59" t="e">
        <f t="shared" si="91"/>
        <v>#NUM!</v>
      </c>
      <c r="D449" s="6" t="e">
        <f t="shared" si="92"/>
        <v>#NUM!</v>
      </c>
      <c r="E449" s="6" t="e">
        <f t="shared" si="93"/>
        <v>#NUM!</v>
      </c>
      <c r="F449" s="6" t="e">
        <f t="shared" si="94"/>
        <v>#NUM!</v>
      </c>
      <c r="G449" s="6" t="e">
        <f t="shared" si="95"/>
        <v>#NUM!</v>
      </c>
      <c r="H449" s="6"/>
      <c r="I449" s="6"/>
      <c r="V449" s="7">
        <v>392</v>
      </c>
      <c r="W449" s="59" t="e">
        <f t="shared" si="96"/>
        <v>#NUM!</v>
      </c>
      <c r="X449" s="6" t="e">
        <f t="shared" si="97"/>
        <v>#NUM!</v>
      </c>
      <c r="Y449" s="6" t="e">
        <f t="shared" si="98"/>
        <v>#NUM!</v>
      </c>
      <c r="Z449" s="6" t="e">
        <f t="shared" si="99"/>
        <v>#NUM!</v>
      </c>
      <c r="AA449" s="6" t="e">
        <f t="shared" si="100"/>
        <v>#NUM!</v>
      </c>
      <c r="AB449" s="6"/>
    </row>
    <row r="450" spans="2:28" x14ac:dyDescent="0.4">
      <c r="B450" s="7">
        <v>393</v>
      </c>
      <c r="C450" s="59" t="e">
        <f t="shared" si="91"/>
        <v>#NUM!</v>
      </c>
      <c r="D450" s="6" t="e">
        <f t="shared" si="92"/>
        <v>#NUM!</v>
      </c>
      <c r="E450" s="6" t="e">
        <f t="shared" si="93"/>
        <v>#NUM!</v>
      </c>
      <c r="F450" s="6" t="e">
        <f t="shared" si="94"/>
        <v>#NUM!</v>
      </c>
      <c r="G450" s="6" t="e">
        <f t="shared" si="95"/>
        <v>#NUM!</v>
      </c>
      <c r="H450" s="6"/>
      <c r="I450" s="6"/>
      <c r="V450" s="7">
        <v>393</v>
      </c>
      <c r="W450" s="59" t="e">
        <f t="shared" si="96"/>
        <v>#NUM!</v>
      </c>
      <c r="X450" s="6" t="e">
        <f t="shared" si="97"/>
        <v>#NUM!</v>
      </c>
      <c r="Y450" s="6" t="e">
        <f t="shared" si="98"/>
        <v>#NUM!</v>
      </c>
      <c r="Z450" s="6" t="e">
        <f t="shared" si="99"/>
        <v>#NUM!</v>
      </c>
      <c r="AA450" s="6" t="e">
        <f t="shared" si="100"/>
        <v>#NUM!</v>
      </c>
      <c r="AB450" s="6"/>
    </row>
    <row r="451" spans="2:28" x14ac:dyDescent="0.4">
      <c r="B451" s="7">
        <v>394</v>
      </c>
      <c r="C451" s="59" t="e">
        <f t="shared" si="91"/>
        <v>#NUM!</v>
      </c>
      <c r="D451" s="6" t="e">
        <f t="shared" si="92"/>
        <v>#NUM!</v>
      </c>
      <c r="E451" s="6" t="e">
        <f t="shared" si="93"/>
        <v>#NUM!</v>
      </c>
      <c r="F451" s="6" t="e">
        <f t="shared" si="94"/>
        <v>#NUM!</v>
      </c>
      <c r="G451" s="6" t="e">
        <f t="shared" si="95"/>
        <v>#NUM!</v>
      </c>
      <c r="H451" s="6"/>
      <c r="I451" s="6"/>
      <c r="V451" s="7">
        <v>394</v>
      </c>
      <c r="W451" s="59" t="e">
        <f t="shared" si="96"/>
        <v>#NUM!</v>
      </c>
      <c r="X451" s="6" t="e">
        <f t="shared" si="97"/>
        <v>#NUM!</v>
      </c>
      <c r="Y451" s="6" t="e">
        <f t="shared" si="98"/>
        <v>#NUM!</v>
      </c>
      <c r="Z451" s="6" t="e">
        <f t="shared" si="99"/>
        <v>#NUM!</v>
      </c>
      <c r="AA451" s="6" t="e">
        <f t="shared" si="100"/>
        <v>#NUM!</v>
      </c>
      <c r="AB451" s="6"/>
    </row>
    <row r="452" spans="2:28" x14ac:dyDescent="0.4">
      <c r="B452" s="7">
        <v>395</v>
      </c>
      <c r="C452" s="59" t="e">
        <f t="shared" si="91"/>
        <v>#NUM!</v>
      </c>
      <c r="D452" s="6" t="e">
        <f t="shared" si="92"/>
        <v>#NUM!</v>
      </c>
      <c r="E452" s="6" t="e">
        <f t="shared" si="93"/>
        <v>#NUM!</v>
      </c>
      <c r="F452" s="6" t="e">
        <f t="shared" si="94"/>
        <v>#NUM!</v>
      </c>
      <c r="G452" s="6" t="e">
        <f t="shared" si="95"/>
        <v>#NUM!</v>
      </c>
      <c r="H452" s="6"/>
      <c r="I452" s="6"/>
      <c r="V452" s="7">
        <v>395</v>
      </c>
      <c r="W452" s="59" t="e">
        <f t="shared" si="96"/>
        <v>#NUM!</v>
      </c>
      <c r="X452" s="6" t="e">
        <f t="shared" si="97"/>
        <v>#NUM!</v>
      </c>
      <c r="Y452" s="6" t="e">
        <f t="shared" si="98"/>
        <v>#NUM!</v>
      </c>
      <c r="Z452" s="6" t="e">
        <f t="shared" si="99"/>
        <v>#NUM!</v>
      </c>
      <c r="AA452" s="6" t="e">
        <f t="shared" si="100"/>
        <v>#NUM!</v>
      </c>
      <c r="AB452" s="6"/>
    </row>
    <row r="453" spans="2:28" x14ac:dyDescent="0.4">
      <c r="B453" s="7">
        <v>396</v>
      </c>
      <c r="C453" s="59" t="e">
        <f t="shared" si="91"/>
        <v>#NUM!</v>
      </c>
      <c r="D453" s="6" t="e">
        <f t="shared" si="92"/>
        <v>#NUM!</v>
      </c>
      <c r="E453" s="6" t="e">
        <f t="shared" si="93"/>
        <v>#NUM!</v>
      </c>
      <c r="F453" s="6" t="e">
        <f t="shared" si="94"/>
        <v>#NUM!</v>
      </c>
      <c r="G453" s="6" t="e">
        <f t="shared" si="95"/>
        <v>#NUM!</v>
      </c>
      <c r="H453" s="6"/>
      <c r="I453" s="6"/>
      <c r="V453" s="7">
        <v>396</v>
      </c>
      <c r="W453" s="59" t="e">
        <f t="shared" si="96"/>
        <v>#NUM!</v>
      </c>
      <c r="X453" s="6" t="e">
        <f t="shared" si="97"/>
        <v>#NUM!</v>
      </c>
      <c r="Y453" s="6" t="e">
        <f t="shared" si="98"/>
        <v>#NUM!</v>
      </c>
      <c r="Z453" s="6" t="e">
        <f t="shared" si="99"/>
        <v>#NUM!</v>
      </c>
      <c r="AA453" s="6" t="e">
        <f t="shared" si="100"/>
        <v>#NUM!</v>
      </c>
      <c r="AB453" s="6"/>
    </row>
    <row r="454" spans="2:28" x14ac:dyDescent="0.4">
      <c r="B454" s="7">
        <v>397</v>
      </c>
      <c r="C454" s="59" t="e">
        <f t="shared" si="91"/>
        <v>#NUM!</v>
      </c>
      <c r="D454" s="6" t="e">
        <f t="shared" si="92"/>
        <v>#NUM!</v>
      </c>
      <c r="E454" s="6" t="e">
        <f t="shared" si="93"/>
        <v>#NUM!</v>
      </c>
      <c r="F454" s="6" t="e">
        <f t="shared" si="94"/>
        <v>#NUM!</v>
      </c>
      <c r="G454" s="6" t="e">
        <f t="shared" si="95"/>
        <v>#NUM!</v>
      </c>
      <c r="H454" s="6"/>
      <c r="I454" s="6"/>
      <c r="V454" s="7">
        <v>397</v>
      </c>
      <c r="W454" s="59" t="e">
        <f t="shared" si="96"/>
        <v>#NUM!</v>
      </c>
      <c r="X454" s="6" t="e">
        <f t="shared" si="97"/>
        <v>#NUM!</v>
      </c>
      <c r="Y454" s="6" t="e">
        <f t="shared" si="98"/>
        <v>#NUM!</v>
      </c>
      <c r="Z454" s="6" t="e">
        <f t="shared" si="99"/>
        <v>#NUM!</v>
      </c>
      <c r="AA454" s="6" t="e">
        <f t="shared" si="100"/>
        <v>#NUM!</v>
      </c>
      <c r="AB454" s="6"/>
    </row>
    <row r="455" spans="2:28" x14ac:dyDescent="0.4">
      <c r="B455" s="7">
        <v>398</v>
      </c>
      <c r="C455" s="59" t="e">
        <f t="shared" si="91"/>
        <v>#NUM!</v>
      </c>
      <c r="D455" s="6" t="e">
        <f t="shared" si="92"/>
        <v>#NUM!</v>
      </c>
      <c r="E455" s="6" t="e">
        <f t="shared" si="93"/>
        <v>#NUM!</v>
      </c>
      <c r="F455" s="6" t="e">
        <f t="shared" si="94"/>
        <v>#NUM!</v>
      </c>
      <c r="G455" s="6" t="e">
        <f t="shared" si="95"/>
        <v>#NUM!</v>
      </c>
      <c r="H455" s="6"/>
      <c r="I455" s="6"/>
      <c r="V455" s="7">
        <v>398</v>
      </c>
      <c r="W455" s="59" t="e">
        <f t="shared" si="96"/>
        <v>#NUM!</v>
      </c>
      <c r="X455" s="6" t="e">
        <f t="shared" si="97"/>
        <v>#NUM!</v>
      </c>
      <c r="Y455" s="6" t="e">
        <f t="shared" si="98"/>
        <v>#NUM!</v>
      </c>
      <c r="Z455" s="6" t="e">
        <f t="shared" si="99"/>
        <v>#NUM!</v>
      </c>
      <c r="AA455" s="6" t="e">
        <f t="shared" si="100"/>
        <v>#NUM!</v>
      </c>
      <c r="AB455" s="6"/>
    </row>
    <row r="456" spans="2:28" x14ac:dyDescent="0.4">
      <c r="B456" s="7">
        <v>399</v>
      </c>
      <c r="C456" s="59" t="e">
        <f t="shared" si="91"/>
        <v>#NUM!</v>
      </c>
      <c r="D456" s="6" t="e">
        <f t="shared" si="92"/>
        <v>#NUM!</v>
      </c>
      <c r="E456" s="6" t="e">
        <f t="shared" si="93"/>
        <v>#NUM!</v>
      </c>
      <c r="F456" s="6" t="e">
        <f t="shared" si="94"/>
        <v>#NUM!</v>
      </c>
      <c r="G456" s="6" t="e">
        <f t="shared" si="95"/>
        <v>#NUM!</v>
      </c>
      <c r="H456" s="6"/>
      <c r="I456" s="6"/>
      <c r="V456" s="7">
        <v>399</v>
      </c>
      <c r="W456" s="59" t="e">
        <f t="shared" si="96"/>
        <v>#NUM!</v>
      </c>
      <c r="X456" s="6" t="e">
        <f t="shared" si="97"/>
        <v>#NUM!</v>
      </c>
      <c r="Y456" s="6" t="e">
        <f t="shared" si="98"/>
        <v>#NUM!</v>
      </c>
      <c r="Z456" s="6" t="e">
        <f t="shared" si="99"/>
        <v>#NUM!</v>
      </c>
      <c r="AA456" s="6" t="e">
        <f t="shared" si="100"/>
        <v>#NUM!</v>
      </c>
      <c r="AB456" s="6"/>
    </row>
    <row r="457" spans="2:28" x14ac:dyDescent="0.4">
      <c r="B457" s="7">
        <v>400</v>
      </c>
      <c r="C457" s="59" t="e">
        <f t="shared" si="91"/>
        <v>#NUM!</v>
      </c>
      <c r="D457" s="6" t="e">
        <f t="shared" si="92"/>
        <v>#NUM!</v>
      </c>
      <c r="E457" s="6" t="e">
        <f t="shared" si="93"/>
        <v>#NUM!</v>
      </c>
      <c r="F457" s="6" t="e">
        <f t="shared" si="94"/>
        <v>#NUM!</v>
      </c>
      <c r="G457" s="6" t="e">
        <f t="shared" si="95"/>
        <v>#NUM!</v>
      </c>
      <c r="H457" s="6"/>
      <c r="I457" s="6"/>
      <c r="V457" s="7">
        <v>400</v>
      </c>
      <c r="W457" s="59" t="e">
        <f t="shared" si="96"/>
        <v>#NUM!</v>
      </c>
      <c r="X457" s="6" t="e">
        <f t="shared" si="97"/>
        <v>#NUM!</v>
      </c>
      <c r="Y457" s="6" t="e">
        <f t="shared" si="98"/>
        <v>#NUM!</v>
      </c>
      <c r="Z457" s="6" t="e">
        <f t="shared" si="99"/>
        <v>#NUM!</v>
      </c>
      <c r="AA457" s="6" t="e">
        <f t="shared" si="100"/>
        <v>#NUM!</v>
      </c>
      <c r="AB457" s="6"/>
    </row>
    <row r="458" spans="2:28" x14ac:dyDescent="0.4">
      <c r="B458" s="7">
        <v>401</v>
      </c>
      <c r="C458" s="59" t="e">
        <f t="shared" si="91"/>
        <v>#NUM!</v>
      </c>
      <c r="D458" s="6" t="e">
        <f t="shared" si="92"/>
        <v>#NUM!</v>
      </c>
      <c r="E458" s="6" t="e">
        <f t="shared" si="93"/>
        <v>#NUM!</v>
      </c>
      <c r="F458" s="6" t="e">
        <f t="shared" si="94"/>
        <v>#NUM!</v>
      </c>
      <c r="G458" s="6" t="e">
        <f t="shared" si="95"/>
        <v>#NUM!</v>
      </c>
      <c r="H458" s="6"/>
      <c r="I458" s="6"/>
      <c r="V458" s="7">
        <v>401</v>
      </c>
      <c r="W458" s="59" t="e">
        <f t="shared" si="96"/>
        <v>#NUM!</v>
      </c>
      <c r="X458" s="6" t="e">
        <f t="shared" si="97"/>
        <v>#NUM!</v>
      </c>
      <c r="Y458" s="6" t="e">
        <f t="shared" si="98"/>
        <v>#NUM!</v>
      </c>
      <c r="Z458" s="6" t="e">
        <f t="shared" si="99"/>
        <v>#NUM!</v>
      </c>
      <c r="AA458" s="6" t="e">
        <f t="shared" si="100"/>
        <v>#NUM!</v>
      </c>
      <c r="AB458" s="6"/>
    </row>
    <row r="459" spans="2:28" x14ac:dyDescent="0.4">
      <c r="B459" s="7">
        <v>402</v>
      </c>
      <c r="C459" s="59" t="e">
        <f t="shared" si="91"/>
        <v>#NUM!</v>
      </c>
      <c r="D459" s="6" t="e">
        <f t="shared" si="92"/>
        <v>#NUM!</v>
      </c>
      <c r="E459" s="6" t="e">
        <f t="shared" si="93"/>
        <v>#NUM!</v>
      </c>
      <c r="F459" s="6" t="e">
        <f t="shared" si="94"/>
        <v>#NUM!</v>
      </c>
      <c r="G459" s="6" t="e">
        <f t="shared" si="95"/>
        <v>#NUM!</v>
      </c>
      <c r="H459" s="6"/>
      <c r="I459" s="6"/>
      <c r="V459" s="7">
        <v>402</v>
      </c>
      <c r="W459" s="59" t="e">
        <f t="shared" si="96"/>
        <v>#NUM!</v>
      </c>
      <c r="X459" s="6" t="e">
        <f t="shared" si="97"/>
        <v>#NUM!</v>
      </c>
      <c r="Y459" s="6" t="e">
        <f t="shared" si="98"/>
        <v>#NUM!</v>
      </c>
      <c r="Z459" s="6" t="e">
        <f t="shared" si="99"/>
        <v>#NUM!</v>
      </c>
      <c r="AA459" s="6" t="e">
        <f t="shared" si="100"/>
        <v>#NUM!</v>
      </c>
      <c r="AB459" s="6"/>
    </row>
    <row r="460" spans="2:28" x14ac:dyDescent="0.4">
      <c r="B460" s="7">
        <v>403</v>
      </c>
      <c r="C460" s="59" t="e">
        <f t="shared" si="91"/>
        <v>#NUM!</v>
      </c>
      <c r="D460" s="6" t="e">
        <f t="shared" si="92"/>
        <v>#NUM!</v>
      </c>
      <c r="E460" s="6" t="e">
        <f t="shared" si="93"/>
        <v>#NUM!</v>
      </c>
      <c r="F460" s="6" t="e">
        <f t="shared" si="94"/>
        <v>#NUM!</v>
      </c>
      <c r="G460" s="6" t="e">
        <f t="shared" si="95"/>
        <v>#NUM!</v>
      </c>
      <c r="H460" s="6"/>
      <c r="I460" s="6"/>
      <c r="V460" s="7">
        <v>403</v>
      </c>
      <c r="W460" s="59" t="e">
        <f t="shared" si="96"/>
        <v>#NUM!</v>
      </c>
      <c r="X460" s="6" t="e">
        <f t="shared" si="97"/>
        <v>#NUM!</v>
      </c>
      <c r="Y460" s="6" t="e">
        <f t="shared" si="98"/>
        <v>#NUM!</v>
      </c>
      <c r="Z460" s="6" t="e">
        <f t="shared" si="99"/>
        <v>#NUM!</v>
      </c>
      <c r="AA460" s="6" t="e">
        <f t="shared" si="100"/>
        <v>#NUM!</v>
      </c>
      <c r="AB460" s="6"/>
    </row>
    <row r="461" spans="2:28" x14ac:dyDescent="0.4">
      <c r="B461" s="7">
        <v>404</v>
      </c>
      <c r="C461" s="59" t="e">
        <f t="shared" si="91"/>
        <v>#NUM!</v>
      </c>
      <c r="D461" s="6" t="e">
        <f t="shared" si="92"/>
        <v>#NUM!</v>
      </c>
      <c r="E461" s="6" t="e">
        <f t="shared" si="93"/>
        <v>#NUM!</v>
      </c>
      <c r="F461" s="6" t="e">
        <f t="shared" si="94"/>
        <v>#NUM!</v>
      </c>
      <c r="G461" s="6" t="e">
        <f t="shared" si="95"/>
        <v>#NUM!</v>
      </c>
      <c r="H461" s="6"/>
      <c r="I461" s="6"/>
      <c r="V461" s="7">
        <v>404</v>
      </c>
      <c r="W461" s="59" t="e">
        <f t="shared" si="96"/>
        <v>#NUM!</v>
      </c>
      <c r="X461" s="6" t="e">
        <f t="shared" si="97"/>
        <v>#NUM!</v>
      </c>
      <c r="Y461" s="6" t="e">
        <f t="shared" si="98"/>
        <v>#NUM!</v>
      </c>
      <c r="Z461" s="6" t="e">
        <f t="shared" si="99"/>
        <v>#NUM!</v>
      </c>
      <c r="AA461" s="6" t="e">
        <f t="shared" si="100"/>
        <v>#NUM!</v>
      </c>
      <c r="AB461" s="6"/>
    </row>
    <row r="462" spans="2:28" x14ac:dyDescent="0.4">
      <c r="B462" s="7">
        <v>405</v>
      </c>
      <c r="C462" s="59" t="e">
        <f t="shared" si="91"/>
        <v>#NUM!</v>
      </c>
      <c r="D462" s="6" t="e">
        <f t="shared" si="92"/>
        <v>#NUM!</v>
      </c>
      <c r="E462" s="6" t="e">
        <f t="shared" si="93"/>
        <v>#NUM!</v>
      </c>
      <c r="F462" s="6" t="e">
        <f t="shared" si="94"/>
        <v>#NUM!</v>
      </c>
      <c r="G462" s="6" t="e">
        <f t="shared" si="95"/>
        <v>#NUM!</v>
      </c>
      <c r="H462" s="6"/>
      <c r="I462" s="6"/>
      <c r="V462" s="7">
        <v>405</v>
      </c>
      <c r="W462" s="59" t="e">
        <f t="shared" si="96"/>
        <v>#NUM!</v>
      </c>
      <c r="X462" s="6" t="e">
        <f t="shared" si="97"/>
        <v>#NUM!</v>
      </c>
      <c r="Y462" s="6" t="e">
        <f t="shared" si="98"/>
        <v>#NUM!</v>
      </c>
      <c r="Z462" s="6" t="e">
        <f t="shared" si="99"/>
        <v>#NUM!</v>
      </c>
      <c r="AA462" s="6" t="e">
        <f t="shared" si="100"/>
        <v>#NUM!</v>
      </c>
      <c r="AB462" s="6"/>
    </row>
    <row r="463" spans="2:28" x14ac:dyDescent="0.4">
      <c r="B463" s="7">
        <v>406</v>
      </c>
      <c r="C463" s="59" t="e">
        <f t="shared" si="91"/>
        <v>#NUM!</v>
      </c>
      <c r="D463" s="6" t="e">
        <f t="shared" si="92"/>
        <v>#NUM!</v>
      </c>
      <c r="E463" s="6" t="e">
        <f t="shared" si="93"/>
        <v>#NUM!</v>
      </c>
      <c r="F463" s="6" t="e">
        <f t="shared" si="94"/>
        <v>#NUM!</v>
      </c>
      <c r="G463" s="6" t="e">
        <f t="shared" si="95"/>
        <v>#NUM!</v>
      </c>
      <c r="H463" s="6"/>
      <c r="I463" s="6"/>
      <c r="V463" s="7">
        <v>406</v>
      </c>
      <c r="W463" s="59" t="e">
        <f t="shared" si="96"/>
        <v>#NUM!</v>
      </c>
      <c r="X463" s="6" t="e">
        <f t="shared" si="97"/>
        <v>#NUM!</v>
      </c>
      <c r="Y463" s="6" t="e">
        <f t="shared" si="98"/>
        <v>#NUM!</v>
      </c>
      <c r="Z463" s="6" t="e">
        <f t="shared" si="99"/>
        <v>#NUM!</v>
      </c>
      <c r="AA463" s="6" t="e">
        <f t="shared" si="100"/>
        <v>#NUM!</v>
      </c>
      <c r="AB463" s="6"/>
    </row>
    <row r="464" spans="2:28" x14ac:dyDescent="0.4">
      <c r="B464" s="7">
        <v>407</v>
      </c>
      <c r="C464" s="59" t="e">
        <f t="shared" si="91"/>
        <v>#NUM!</v>
      </c>
      <c r="D464" s="6" t="e">
        <f t="shared" si="92"/>
        <v>#NUM!</v>
      </c>
      <c r="E464" s="6" t="e">
        <f t="shared" si="93"/>
        <v>#NUM!</v>
      </c>
      <c r="F464" s="6" t="e">
        <f t="shared" si="94"/>
        <v>#NUM!</v>
      </c>
      <c r="G464" s="6" t="e">
        <f t="shared" si="95"/>
        <v>#NUM!</v>
      </c>
      <c r="H464" s="6"/>
      <c r="I464" s="6"/>
      <c r="V464" s="7">
        <v>407</v>
      </c>
      <c r="W464" s="59" t="e">
        <f t="shared" si="96"/>
        <v>#NUM!</v>
      </c>
      <c r="X464" s="6" t="e">
        <f t="shared" si="97"/>
        <v>#NUM!</v>
      </c>
      <c r="Y464" s="6" t="e">
        <f t="shared" si="98"/>
        <v>#NUM!</v>
      </c>
      <c r="Z464" s="6" t="e">
        <f t="shared" si="99"/>
        <v>#NUM!</v>
      </c>
      <c r="AA464" s="6" t="e">
        <f t="shared" si="100"/>
        <v>#NUM!</v>
      </c>
      <c r="AB464" s="6"/>
    </row>
    <row r="465" spans="2:28" x14ac:dyDescent="0.4">
      <c r="B465" s="7">
        <v>408</v>
      </c>
      <c r="C465" s="59" t="e">
        <f t="shared" si="91"/>
        <v>#NUM!</v>
      </c>
      <c r="D465" s="6" t="e">
        <f t="shared" si="92"/>
        <v>#NUM!</v>
      </c>
      <c r="E465" s="6" t="e">
        <f t="shared" si="93"/>
        <v>#NUM!</v>
      </c>
      <c r="F465" s="6" t="e">
        <f t="shared" si="94"/>
        <v>#NUM!</v>
      </c>
      <c r="G465" s="6" t="e">
        <f t="shared" si="95"/>
        <v>#NUM!</v>
      </c>
      <c r="H465" s="6"/>
      <c r="I465" s="6"/>
      <c r="V465" s="7">
        <v>408</v>
      </c>
      <c r="W465" s="59" t="e">
        <f t="shared" si="96"/>
        <v>#NUM!</v>
      </c>
      <c r="X465" s="6" t="e">
        <f t="shared" si="97"/>
        <v>#NUM!</v>
      </c>
      <c r="Y465" s="6" t="e">
        <f t="shared" si="98"/>
        <v>#NUM!</v>
      </c>
      <c r="Z465" s="6" t="e">
        <f t="shared" si="99"/>
        <v>#NUM!</v>
      </c>
      <c r="AA465" s="6" t="e">
        <f t="shared" si="100"/>
        <v>#NUM!</v>
      </c>
      <c r="AB465" s="6"/>
    </row>
    <row r="466" spans="2:28" x14ac:dyDescent="0.4">
      <c r="B466" s="7">
        <v>409</v>
      </c>
      <c r="C466" s="59" t="e">
        <f t="shared" si="91"/>
        <v>#NUM!</v>
      </c>
      <c r="D466" s="6" t="e">
        <f t="shared" si="92"/>
        <v>#NUM!</v>
      </c>
      <c r="E466" s="6" t="e">
        <f t="shared" si="93"/>
        <v>#NUM!</v>
      </c>
      <c r="F466" s="6" t="e">
        <f t="shared" si="94"/>
        <v>#NUM!</v>
      </c>
      <c r="G466" s="6" t="e">
        <f t="shared" si="95"/>
        <v>#NUM!</v>
      </c>
      <c r="H466" s="6"/>
      <c r="I466" s="6"/>
      <c r="V466" s="7">
        <v>409</v>
      </c>
      <c r="W466" s="59" t="e">
        <f t="shared" si="96"/>
        <v>#NUM!</v>
      </c>
      <c r="X466" s="6" t="e">
        <f t="shared" si="97"/>
        <v>#NUM!</v>
      </c>
      <c r="Y466" s="6" t="e">
        <f t="shared" si="98"/>
        <v>#NUM!</v>
      </c>
      <c r="Z466" s="6" t="e">
        <f t="shared" si="99"/>
        <v>#NUM!</v>
      </c>
      <c r="AA466" s="6" t="e">
        <f t="shared" si="100"/>
        <v>#NUM!</v>
      </c>
      <c r="AB466" s="6"/>
    </row>
    <row r="467" spans="2:28" x14ac:dyDescent="0.4">
      <c r="B467" s="7">
        <v>410</v>
      </c>
      <c r="C467" s="59" t="e">
        <f t="shared" si="91"/>
        <v>#NUM!</v>
      </c>
      <c r="D467" s="6" t="e">
        <f t="shared" si="92"/>
        <v>#NUM!</v>
      </c>
      <c r="E467" s="6" t="e">
        <f t="shared" si="93"/>
        <v>#NUM!</v>
      </c>
      <c r="F467" s="6" t="e">
        <f t="shared" si="94"/>
        <v>#NUM!</v>
      </c>
      <c r="G467" s="6" t="e">
        <f t="shared" si="95"/>
        <v>#NUM!</v>
      </c>
      <c r="H467" s="6"/>
      <c r="I467" s="6"/>
      <c r="V467" s="7">
        <v>410</v>
      </c>
      <c r="W467" s="59" t="e">
        <f t="shared" si="96"/>
        <v>#NUM!</v>
      </c>
      <c r="X467" s="6" t="e">
        <f t="shared" si="97"/>
        <v>#NUM!</v>
      </c>
      <c r="Y467" s="6" t="e">
        <f t="shared" si="98"/>
        <v>#NUM!</v>
      </c>
      <c r="Z467" s="6" t="e">
        <f t="shared" si="99"/>
        <v>#NUM!</v>
      </c>
      <c r="AA467" s="6" t="e">
        <f t="shared" si="100"/>
        <v>#NUM!</v>
      </c>
      <c r="AB467" s="6"/>
    </row>
    <row r="468" spans="2:28" x14ac:dyDescent="0.4">
      <c r="B468" s="7">
        <v>411</v>
      </c>
      <c r="C468" s="59" t="e">
        <f t="shared" si="91"/>
        <v>#NUM!</v>
      </c>
      <c r="D468" s="6" t="e">
        <f t="shared" si="92"/>
        <v>#NUM!</v>
      </c>
      <c r="E468" s="6" t="e">
        <f t="shared" si="93"/>
        <v>#NUM!</v>
      </c>
      <c r="F468" s="6" t="e">
        <f t="shared" si="94"/>
        <v>#NUM!</v>
      </c>
      <c r="G468" s="6" t="e">
        <f t="shared" si="95"/>
        <v>#NUM!</v>
      </c>
      <c r="H468" s="6"/>
      <c r="I468" s="6"/>
      <c r="V468" s="7">
        <v>411</v>
      </c>
      <c r="W468" s="59" t="e">
        <f t="shared" si="96"/>
        <v>#NUM!</v>
      </c>
      <c r="X468" s="6" t="e">
        <f t="shared" si="97"/>
        <v>#NUM!</v>
      </c>
      <c r="Y468" s="6" t="e">
        <f t="shared" si="98"/>
        <v>#NUM!</v>
      </c>
      <c r="Z468" s="6" t="e">
        <f t="shared" si="99"/>
        <v>#NUM!</v>
      </c>
      <c r="AA468" s="6" t="e">
        <f t="shared" si="100"/>
        <v>#NUM!</v>
      </c>
      <c r="AB468" s="6"/>
    </row>
    <row r="469" spans="2:28" x14ac:dyDescent="0.4">
      <c r="B469" s="7">
        <v>412</v>
      </c>
      <c r="C469" s="59" t="e">
        <f t="shared" si="91"/>
        <v>#NUM!</v>
      </c>
      <c r="D469" s="6" t="e">
        <f t="shared" si="92"/>
        <v>#NUM!</v>
      </c>
      <c r="E469" s="6" t="e">
        <f t="shared" si="93"/>
        <v>#NUM!</v>
      </c>
      <c r="F469" s="6" t="e">
        <f t="shared" si="94"/>
        <v>#NUM!</v>
      </c>
      <c r="G469" s="6" t="e">
        <f t="shared" si="95"/>
        <v>#NUM!</v>
      </c>
      <c r="H469" s="6"/>
      <c r="I469" s="6"/>
      <c r="V469" s="7">
        <v>412</v>
      </c>
      <c r="W469" s="59" t="e">
        <f t="shared" si="96"/>
        <v>#NUM!</v>
      </c>
      <c r="X469" s="6" t="e">
        <f t="shared" si="97"/>
        <v>#NUM!</v>
      </c>
      <c r="Y469" s="6" t="e">
        <f t="shared" si="98"/>
        <v>#NUM!</v>
      </c>
      <c r="Z469" s="6" t="e">
        <f t="shared" si="99"/>
        <v>#NUM!</v>
      </c>
      <c r="AA469" s="6" t="e">
        <f t="shared" si="100"/>
        <v>#NUM!</v>
      </c>
      <c r="AB469" s="6"/>
    </row>
    <row r="470" spans="2:28" x14ac:dyDescent="0.4">
      <c r="B470" s="7">
        <v>413</v>
      </c>
      <c r="C470" s="59" t="e">
        <f t="shared" si="91"/>
        <v>#NUM!</v>
      </c>
      <c r="D470" s="6" t="e">
        <f t="shared" si="92"/>
        <v>#NUM!</v>
      </c>
      <c r="E470" s="6" t="e">
        <f t="shared" si="93"/>
        <v>#NUM!</v>
      </c>
      <c r="F470" s="6" t="e">
        <f t="shared" si="94"/>
        <v>#NUM!</v>
      </c>
      <c r="G470" s="6" t="e">
        <f t="shared" si="95"/>
        <v>#NUM!</v>
      </c>
      <c r="H470" s="6"/>
      <c r="I470" s="6"/>
      <c r="V470" s="7">
        <v>413</v>
      </c>
      <c r="W470" s="59" t="e">
        <f t="shared" si="96"/>
        <v>#NUM!</v>
      </c>
      <c r="X470" s="6" t="e">
        <f t="shared" si="97"/>
        <v>#NUM!</v>
      </c>
      <c r="Y470" s="6" t="e">
        <f t="shared" si="98"/>
        <v>#NUM!</v>
      </c>
      <c r="Z470" s="6" t="e">
        <f t="shared" si="99"/>
        <v>#NUM!</v>
      </c>
      <c r="AA470" s="6" t="e">
        <f t="shared" si="100"/>
        <v>#NUM!</v>
      </c>
      <c r="AB470" s="6"/>
    </row>
    <row r="471" spans="2:28" x14ac:dyDescent="0.4">
      <c r="B471" s="7">
        <v>414</v>
      </c>
      <c r="C471" s="59" t="e">
        <f t="shared" si="91"/>
        <v>#NUM!</v>
      </c>
      <c r="D471" s="6" t="e">
        <f t="shared" si="92"/>
        <v>#NUM!</v>
      </c>
      <c r="E471" s="6" t="e">
        <f t="shared" si="93"/>
        <v>#NUM!</v>
      </c>
      <c r="F471" s="6" t="e">
        <f t="shared" si="94"/>
        <v>#NUM!</v>
      </c>
      <c r="G471" s="6" t="e">
        <f t="shared" si="95"/>
        <v>#NUM!</v>
      </c>
      <c r="H471" s="6"/>
      <c r="I471" s="6"/>
      <c r="V471" s="7">
        <v>414</v>
      </c>
      <c r="W471" s="59" t="e">
        <f t="shared" si="96"/>
        <v>#NUM!</v>
      </c>
      <c r="X471" s="6" t="e">
        <f t="shared" si="97"/>
        <v>#NUM!</v>
      </c>
      <c r="Y471" s="6" t="e">
        <f t="shared" si="98"/>
        <v>#NUM!</v>
      </c>
      <c r="Z471" s="6" t="e">
        <f t="shared" si="99"/>
        <v>#NUM!</v>
      </c>
      <c r="AA471" s="6" t="e">
        <f t="shared" si="100"/>
        <v>#NUM!</v>
      </c>
      <c r="AB471" s="6"/>
    </row>
    <row r="472" spans="2:28" x14ac:dyDescent="0.4">
      <c r="B472" s="7">
        <v>415</v>
      </c>
      <c r="C472" s="59" t="e">
        <f t="shared" si="91"/>
        <v>#NUM!</v>
      </c>
      <c r="D472" s="6" t="e">
        <f t="shared" si="92"/>
        <v>#NUM!</v>
      </c>
      <c r="E472" s="6" t="e">
        <f t="shared" si="93"/>
        <v>#NUM!</v>
      </c>
      <c r="F472" s="6" t="e">
        <f t="shared" si="94"/>
        <v>#NUM!</v>
      </c>
      <c r="G472" s="6" t="e">
        <f t="shared" si="95"/>
        <v>#NUM!</v>
      </c>
      <c r="H472" s="6"/>
      <c r="I472" s="6"/>
      <c r="V472" s="7">
        <v>415</v>
      </c>
      <c r="W472" s="59" t="e">
        <f t="shared" si="96"/>
        <v>#NUM!</v>
      </c>
      <c r="X472" s="6" t="e">
        <f t="shared" si="97"/>
        <v>#NUM!</v>
      </c>
      <c r="Y472" s="6" t="e">
        <f t="shared" si="98"/>
        <v>#NUM!</v>
      </c>
      <c r="Z472" s="6" t="e">
        <f t="shared" si="99"/>
        <v>#NUM!</v>
      </c>
      <c r="AA472" s="6" t="e">
        <f t="shared" si="100"/>
        <v>#NUM!</v>
      </c>
      <c r="AB472" s="6"/>
    </row>
    <row r="473" spans="2:28" x14ac:dyDescent="0.4">
      <c r="B473" s="7">
        <v>416</v>
      </c>
      <c r="C473" s="59" t="e">
        <f t="shared" si="91"/>
        <v>#NUM!</v>
      </c>
      <c r="D473" s="6" t="e">
        <f t="shared" si="92"/>
        <v>#NUM!</v>
      </c>
      <c r="E473" s="6" t="e">
        <f t="shared" si="93"/>
        <v>#NUM!</v>
      </c>
      <c r="F473" s="6" t="e">
        <f t="shared" si="94"/>
        <v>#NUM!</v>
      </c>
      <c r="G473" s="6" t="e">
        <f t="shared" si="95"/>
        <v>#NUM!</v>
      </c>
      <c r="H473" s="6"/>
      <c r="I473" s="6"/>
      <c r="V473" s="7">
        <v>416</v>
      </c>
      <c r="W473" s="59" t="e">
        <f t="shared" si="96"/>
        <v>#NUM!</v>
      </c>
      <c r="X473" s="6" t="e">
        <f t="shared" si="97"/>
        <v>#NUM!</v>
      </c>
      <c r="Y473" s="6" t="e">
        <f t="shared" si="98"/>
        <v>#NUM!</v>
      </c>
      <c r="Z473" s="6" t="e">
        <f t="shared" si="99"/>
        <v>#NUM!</v>
      </c>
      <c r="AA473" s="6" t="e">
        <f t="shared" si="100"/>
        <v>#NUM!</v>
      </c>
      <c r="AB473" s="6"/>
    </row>
    <row r="474" spans="2:28" x14ac:dyDescent="0.4">
      <c r="B474" s="7">
        <v>417</v>
      </c>
      <c r="C474" s="59" t="e">
        <f t="shared" si="91"/>
        <v>#NUM!</v>
      </c>
      <c r="D474" s="6" t="e">
        <f t="shared" si="92"/>
        <v>#NUM!</v>
      </c>
      <c r="E474" s="6" t="e">
        <f t="shared" si="93"/>
        <v>#NUM!</v>
      </c>
      <c r="F474" s="6" t="e">
        <f t="shared" si="94"/>
        <v>#NUM!</v>
      </c>
      <c r="G474" s="6" t="e">
        <f t="shared" si="95"/>
        <v>#NUM!</v>
      </c>
      <c r="H474" s="6"/>
      <c r="I474" s="6"/>
      <c r="V474" s="7">
        <v>417</v>
      </c>
      <c r="W474" s="59" t="e">
        <f t="shared" si="96"/>
        <v>#NUM!</v>
      </c>
      <c r="X474" s="6" t="e">
        <f t="shared" si="97"/>
        <v>#NUM!</v>
      </c>
      <c r="Y474" s="6" t="e">
        <f t="shared" si="98"/>
        <v>#NUM!</v>
      </c>
      <c r="Z474" s="6" t="e">
        <f t="shared" si="99"/>
        <v>#NUM!</v>
      </c>
      <c r="AA474" s="6" t="e">
        <f t="shared" si="100"/>
        <v>#NUM!</v>
      </c>
      <c r="AB474" s="6"/>
    </row>
    <row r="475" spans="2:28" x14ac:dyDescent="0.4">
      <c r="B475" s="7">
        <v>418</v>
      </c>
      <c r="C475" s="59" t="e">
        <f t="shared" si="91"/>
        <v>#NUM!</v>
      </c>
      <c r="D475" s="6" t="e">
        <f t="shared" si="92"/>
        <v>#NUM!</v>
      </c>
      <c r="E475" s="6" t="e">
        <f t="shared" si="93"/>
        <v>#NUM!</v>
      </c>
      <c r="F475" s="6" t="e">
        <f t="shared" si="94"/>
        <v>#NUM!</v>
      </c>
      <c r="G475" s="6" t="e">
        <f t="shared" si="95"/>
        <v>#NUM!</v>
      </c>
      <c r="H475" s="6"/>
      <c r="I475" s="6"/>
      <c r="V475" s="7">
        <v>418</v>
      </c>
      <c r="W475" s="59" t="e">
        <f t="shared" si="96"/>
        <v>#NUM!</v>
      </c>
      <c r="X475" s="6" t="e">
        <f t="shared" si="97"/>
        <v>#NUM!</v>
      </c>
      <c r="Y475" s="6" t="e">
        <f t="shared" si="98"/>
        <v>#NUM!</v>
      </c>
      <c r="Z475" s="6" t="e">
        <f t="shared" si="99"/>
        <v>#NUM!</v>
      </c>
      <c r="AA475" s="6" t="e">
        <f t="shared" si="100"/>
        <v>#NUM!</v>
      </c>
      <c r="AB475" s="6"/>
    </row>
    <row r="476" spans="2:28" x14ac:dyDescent="0.4">
      <c r="B476" s="7">
        <v>419</v>
      </c>
      <c r="C476" s="59" t="e">
        <f t="shared" si="91"/>
        <v>#NUM!</v>
      </c>
      <c r="D476" s="6" t="e">
        <f t="shared" si="92"/>
        <v>#NUM!</v>
      </c>
      <c r="E476" s="6" t="e">
        <f t="shared" si="93"/>
        <v>#NUM!</v>
      </c>
      <c r="F476" s="6" t="e">
        <f t="shared" si="94"/>
        <v>#NUM!</v>
      </c>
      <c r="G476" s="6" t="e">
        <f t="shared" si="95"/>
        <v>#NUM!</v>
      </c>
      <c r="H476" s="6"/>
      <c r="I476" s="6"/>
      <c r="V476" s="7">
        <v>419</v>
      </c>
      <c r="W476" s="59" t="e">
        <f t="shared" si="96"/>
        <v>#NUM!</v>
      </c>
      <c r="X476" s="6" t="e">
        <f t="shared" si="97"/>
        <v>#NUM!</v>
      </c>
      <c r="Y476" s="6" t="e">
        <f t="shared" si="98"/>
        <v>#NUM!</v>
      </c>
      <c r="Z476" s="6" t="e">
        <f t="shared" si="99"/>
        <v>#NUM!</v>
      </c>
      <c r="AA476" s="6" t="e">
        <f t="shared" si="100"/>
        <v>#NUM!</v>
      </c>
      <c r="AB476" s="6"/>
    </row>
    <row r="477" spans="2:28" x14ac:dyDescent="0.4">
      <c r="B477" s="7">
        <v>420</v>
      </c>
      <c r="C477" s="59" t="e">
        <f t="shared" si="91"/>
        <v>#NUM!</v>
      </c>
      <c r="D477" s="6" t="e">
        <f t="shared" si="92"/>
        <v>#NUM!</v>
      </c>
      <c r="E477" s="6" t="e">
        <f t="shared" si="93"/>
        <v>#NUM!</v>
      </c>
      <c r="F477" s="6" t="e">
        <f t="shared" si="94"/>
        <v>#NUM!</v>
      </c>
      <c r="G477" s="6" t="e">
        <f t="shared" si="95"/>
        <v>#NUM!</v>
      </c>
      <c r="H477" s="6"/>
      <c r="I477" s="6"/>
      <c r="V477" s="7">
        <v>420</v>
      </c>
      <c r="W477" s="59" t="e">
        <f t="shared" si="96"/>
        <v>#NUM!</v>
      </c>
      <c r="X477" s="6" t="e">
        <f t="shared" si="97"/>
        <v>#NUM!</v>
      </c>
      <c r="Y477" s="6" t="e">
        <f t="shared" si="98"/>
        <v>#NUM!</v>
      </c>
      <c r="Z477" s="6" t="e">
        <f t="shared" si="99"/>
        <v>#NUM!</v>
      </c>
      <c r="AA477" s="6" t="e">
        <f t="shared" si="100"/>
        <v>#NUM!</v>
      </c>
      <c r="AB477" s="6"/>
    </row>
    <row r="478" spans="2:28" x14ac:dyDescent="0.4">
      <c r="B478" s="7">
        <v>421</v>
      </c>
      <c r="C478" s="59" t="e">
        <f t="shared" si="91"/>
        <v>#NUM!</v>
      </c>
      <c r="D478" s="6" t="e">
        <f t="shared" si="92"/>
        <v>#NUM!</v>
      </c>
      <c r="E478" s="6" t="e">
        <f t="shared" si="93"/>
        <v>#NUM!</v>
      </c>
      <c r="F478" s="6" t="e">
        <f t="shared" si="94"/>
        <v>#NUM!</v>
      </c>
      <c r="G478" s="6" t="e">
        <f t="shared" si="95"/>
        <v>#NUM!</v>
      </c>
      <c r="H478" s="6"/>
      <c r="I478" s="6"/>
      <c r="V478" s="7">
        <v>421</v>
      </c>
      <c r="W478" s="59" t="e">
        <f t="shared" si="96"/>
        <v>#NUM!</v>
      </c>
      <c r="X478" s="6" t="e">
        <f t="shared" si="97"/>
        <v>#NUM!</v>
      </c>
      <c r="Y478" s="6" t="e">
        <f t="shared" si="98"/>
        <v>#NUM!</v>
      </c>
      <c r="Z478" s="6" t="e">
        <f t="shared" si="99"/>
        <v>#NUM!</v>
      </c>
      <c r="AA478" s="6" t="e">
        <f t="shared" si="100"/>
        <v>#NUM!</v>
      </c>
      <c r="AB478" s="6"/>
    </row>
    <row r="479" spans="2:28" x14ac:dyDescent="0.4">
      <c r="B479" s="7">
        <v>422</v>
      </c>
      <c r="C479" s="59" t="e">
        <f t="shared" si="91"/>
        <v>#NUM!</v>
      </c>
      <c r="D479" s="6" t="e">
        <f t="shared" si="92"/>
        <v>#NUM!</v>
      </c>
      <c r="E479" s="6" t="e">
        <f t="shared" si="93"/>
        <v>#NUM!</v>
      </c>
      <c r="F479" s="6" t="e">
        <f t="shared" si="94"/>
        <v>#NUM!</v>
      </c>
      <c r="G479" s="6" t="e">
        <f t="shared" si="95"/>
        <v>#NUM!</v>
      </c>
      <c r="H479" s="6"/>
      <c r="I479" s="6"/>
      <c r="V479" s="7">
        <v>422</v>
      </c>
      <c r="W479" s="59" t="e">
        <f t="shared" si="96"/>
        <v>#NUM!</v>
      </c>
      <c r="X479" s="6" t="e">
        <f t="shared" si="97"/>
        <v>#NUM!</v>
      </c>
      <c r="Y479" s="6" t="e">
        <f t="shared" si="98"/>
        <v>#NUM!</v>
      </c>
      <c r="Z479" s="6" t="e">
        <f t="shared" si="99"/>
        <v>#NUM!</v>
      </c>
      <c r="AA479" s="6" t="e">
        <f t="shared" si="100"/>
        <v>#NUM!</v>
      </c>
      <c r="AB479" s="6"/>
    </row>
    <row r="480" spans="2:28" x14ac:dyDescent="0.4">
      <c r="B480" s="7">
        <v>423</v>
      </c>
      <c r="C480" s="59" t="e">
        <f t="shared" si="91"/>
        <v>#NUM!</v>
      </c>
      <c r="D480" s="6" t="e">
        <f t="shared" si="92"/>
        <v>#NUM!</v>
      </c>
      <c r="E480" s="6" t="e">
        <f t="shared" si="93"/>
        <v>#NUM!</v>
      </c>
      <c r="F480" s="6" t="e">
        <f t="shared" si="94"/>
        <v>#NUM!</v>
      </c>
      <c r="G480" s="6" t="e">
        <f t="shared" si="95"/>
        <v>#NUM!</v>
      </c>
      <c r="H480" s="6"/>
      <c r="I480" s="6"/>
      <c r="V480" s="7">
        <v>423</v>
      </c>
      <c r="W480" s="59" t="e">
        <f t="shared" si="96"/>
        <v>#NUM!</v>
      </c>
      <c r="X480" s="6" t="e">
        <f t="shared" si="97"/>
        <v>#NUM!</v>
      </c>
      <c r="Y480" s="6" t="e">
        <f t="shared" si="98"/>
        <v>#NUM!</v>
      </c>
      <c r="Z480" s="6" t="e">
        <f t="shared" si="99"/>
        <v>#NUM!</v>
      </c>
      <c r="AA480" s="6" t="e">
        <f t="shared" si="100"/>
        <v>#NUM!</v>
      </c>
      <c r="AB480" s="6"/>
    </row>
    <row r="481" spans="2:28" x14ac:dyDescent="0.4">
      <c r="B481" s="7">
        <v>424</v>
      </c>
      <c r="C481" s="59" t="e">
        <f t="shared" si="91"/>
        <v>#NUM!</v>
      </c>
      <c r="D481" s="6" t="e">
        <f t="shared" si="92"/>
        <v>#NUM!</v>
      </c>
      <c r="E481" s="6" t="e">
        <f t="shared" si="93"/>
        <v>#NUM!</v>
      </c>
      <c r="F481" s="6" t="e">
        <f t="shared" si="94"/>
        <v>#NUM!</v>
      </c>
      <c r="G481" s="6" t="e">
        <f t="shared" si="95"/>
        <v>#NUM!</v>
      </c>
      <c r="H481" s="6"/>
      <c r="I481" s="6"/>
      <c r="V481" s="7">
        <v>424</v>
      </c>
      <c r="W481" s="59" t="e">
        <f t="shared" si="96"/>
        <v>#NUM!</v>
      </c>
      <c r="X481" s="6" t="e">
        <f t="shared" si="97"/>
        <v>#NUM!</v>
      </c>
      <c r="Y481" s="6" t="e">
        <f t="shared" si="98"/>
        <v>#NUM!</v>
      </c>
      <c r="Z481" s="6" t="e">
        <f t="shared" si="99"/>
        <v>#NUM!</v>
      </c>
      <c r="AA481" s="6" t="e">
        <f t="shared" si="100"/>
        <v>#NUM!</v>
      </c>
      <c r="AB481" s="6"/>
    </row>
    <row r="482" spans="2:28" x14ac:dyDescent="0.4">
      <c r="B482" s="7">
        <v>425</v>
      </c>
      <c r="C482" s="59" t="e">
        <f t="shared" si="91"/>
        <v>#NUM!</v>
      </c>
      <c r="D482" s="6" t="e">
        <f t="shared" si="92"/>
        <v>#NUM!</v>
      </c>
      <c r="E482" s="6" t="e">
        <f t="shared" si="93"/>
        <v>#NUM!</v>
      </c>
      <c r="F482" s="6" t="e">
        <f t="shared" si="94"/>
        <v>#NUM!</v>
      </c>
      <c r="G482" s="6" t="e">
        <f t="shared" si="95"/>
        <v>#NUM!</v>
      </c>
      <c r="H482" s="6"/>
      <c r="I482" s="6"/>
      <c r="V482" s="7">
        <v>425</v>
      </c>
      <c r="W482" s="59" t="e">
        <f t="shared" si="96"/>
        <v>#NUM!</v>
      </c>
      <c r="X482" s="6" t="e">
        <f t="shared" si="97"/>
        <v>#NUM!</v>
      </c>
      <c r="Y482" s="6" t="e">
        <f t="shared" si="98"/>
        <v>#NUM!</v>
      </c>
      <c r="Z482" s="6" t="e">
        <f t="shared" si="99"/>
        <v>#NUM!</v>
      </c>
      <c r="AA482" s="6" t="e">
        <f t="shared" si="100"/>
        <v>#NUM!</v>
      </c>
      <c r="AB482" s="6"/>
    </row>
    <row r="483" spans="2:28" x14ac:dyDescent="0.4">
      <c r="B483" s="7">
        <v>426</v>
      </c>
      <c r="C483" s="59" t="e">
        <f t="shared" si="91"/>
        <v>#NUM!</v>
      </c>
      <c r="D483" s="6" t="e">
        <f t="shared" si="92"/>
        <v>#NUM!</v>
      </c>
      <c r="E483" s="6" t="e">
        <f t="shared" si="93"/>
        <v>#NUM!</v>
      </c>
      <c r="F483" s="6" t="e">
        <f t="shared" si="94"/>
        <v>#NUM!</v>
      </c>
      <c r="G483" s="6" t="e">
        <f t="shared" si="95"/>
        <v>#NUM!</v>
      </c>
      <c r="H483" s="6"/>
      <c r="I483" s="6"/>
      <c r="V483" s="7">
        <v>426</v>
      </c>
      <c r="W483" s="59" t="e">
        <f t="shared" si="96"/>
        <v>#NUM!</v>
      </c>
      <c r="X483" s="6" t="e">
        <f t="shared" si="97"/>
        <v>#NUM!</v>
      </c>
      <c r="Y483" s="6" t="e">
        <f t="shared" si="98"/>
        <v>#NUM!</v>
      </c>
      <c r="Z483" s="6" t="e">
        <f t="shared" si="99"/>
        <v>#NUM!</v>
      </c>
      <c r="AA483" s="6" t="e">
        <f t="shared" si="100"/>
        <v>#NUM!</v>
      </c>
      <c r="AB483" s="6"/>
    </row>
    <row r="484" spans="2:28" x14ac:dyDescent="0.4">
      <c r="B484" s="7">
        <v>427</v>
      </c>
      <c r="C484" s="59" t="e">
        <f t="shared" si="91"/>
        <v>#NUM!</v>
      </c>
      <c r="D484" s="6" t="e">
        <f t="shared" si="92"/>
        <v>#NUM!</v>
      </c>
      <c r="E484" s="6" t="e">
        <f t="shared" si="93"/>
        <v>#NUM!</v>
      </c>
      <c r="F484" s="6" t="e">
        <f t="shared" si="94"/>
        <v>#NUM!</v>
      </c>
      <c r="G484" s="6" t="e">
        <f t="shared" si="95"/>
        <v>#NUM!</v>
      </c>
      <c r="H484" s="6"/>
      <c r="I484" s="6"/>
      <c r="V484" s="7">
        <v>427</v>
      </c>
      <c r="W484" s="59" t="e">
        <f t="shared" si="96"/>
        <v>#NUM!</v>
      </c>
      <c r="X484" s="6" t="e">
        <f t="shared" si="97"/>
        <v>#NUM!</v>
      </c>
      <c r="Y484" s="6" t="e">
        <f t="shared" si="98"/>
        <v>#NUM!</v>
      </c>
      <c r="Z484" s="6" t="e">
        <f t="shared" si="99"/>
        <v>#NUM!</v>
      </c>
      <c r="AA484" s="6" t="e">
        <f t="shared" si="100"/>
        <v>#NUM!</v>
      </c>
      <c r="AB484" s="6"/>
    </row>
    <row r="485" spans="2:28" x14ac:dyDescent="0.4">
      <c r="B485" s="7">
        <v>428</v>
      </c>
      <c r="C485" s="59" t="e">
        <f t="shared" si="91"/>
        <v>#NUM!</v>
      </c>
      <c r="D485" s="6" t="e">
        <f t="shared" si="92"/>
        <v>#NUM!</v>
      </c>
      <c r="E485" s="6" t="e">
        <f t="shared" si="93"/>
        <v>#NUM!</v>
      </c>
      <c r="F485" s="6" t="e">
        <f t="shared" si="94"/>
        <v>#NUM!</v>
      </c>
      <c r="G485" s="6" t="e">
        <f t="shared" si="95"/>
        <v>#NUM!</v>
      </c>
      <c r="H485" s="6"/>
      <c r="I485" s="6"/>
      <c r="V485" s="7">
        <v>428</v>
      </c>
      <c r="W485" s="59" t="e">
        <f t="shared" si="96"/>
        <v>#NUM!</v>
      </c>
      <c r="X485" s="6" t="e">
        <f t="shared" si="97"/>
        <v>#NUM!</v>
      </c>
      <c r="Y485" s="6" t="e">
        <f t="shared" si="98"/>
        <v>#NUM!</v>
      </c>
      <c r="Z485" s="6" t="e">
        <f t="shared" si="99"/>
        <v>#NUM!</v>
      </c>
      <c r="AA485" s="6" t="e">
        <f t="shared" si="100"/>
        <v>#NUM!</v>
      </c>
      <c r="AB485" s="6"/>
    </row>
    <row r="486" spans="2:28" x14ac:dyDescent="0.4">
      <c r="B486" s="7">
        <v>429</v>
      </c>
      <c r="C486" s="59" t="e">
        <f t="shared" si="91"/>
        <v>#NUM!</v>
      </c>
      <c r="D486" s="6" t="e">
        <f t="shared" si="92"/>
        <v>#NUM!</v>
      </c>
      <c r="E486" s="6" t="e">
        <f t="shared" si="93"/>
        <v>#NUM!</v>
      </c>
      <c r="F486" s="6" t="e">
        <f t="shared" si="94"/>
        <v>#NUM!</v>
      </c>
      <c r="G486" s="6" t="e">
        <f t="shared" si="95"/>
        <v>#NUM!</v>
      </c>
      <c r="H486" s="6"/>
      <c r="I486" s="6"/>
      <c r="V486" s="7">
        <v>429</v>
      </c>
      <c r="W486" s="59" t="e">
        <f t="shared" si="96"/>
        <v>#NUM!</v>
      </c>
      <c r="X486" s="6" t="e">
        <f t="shared" si="97"/>
        <v>#NUM!</v>
      </c>
      <c r="Y486" s="6" t="e">
        <f t="shared" si="98"/>
        <v>#NUM!</v>
      </c>
      <c r="Z486" s="6" t="e">
        <f t="shared" si="99"/>
        <v>#NUM!</v>
      </c>
      <c r="AA486" s="6" t="e">
        <f t="shared" si="100"/>
        <v>#NUM!</v>
      </c>
      <c r="AB486" s="6"/>
    </row>
    <row r="487" spans="2:28" x14ac:dyDescent="0.4">
      <c r="B487" s="7">
        <v>430</v>
      </c>
      <c r="C487" s="59" t="e">
        <f t="shared" si="91"/>
        <v>#NUM!</v>
      </c>
      <c r="D487" s="6" t="e">
        <f t="shared" si="92"/>
        <v>#NUM!</v>
      </c>
      <c r="E487" s="6" t="e">
        <f t="shared" si="93"/>
        <v>#NUM!</v>
      </c>
      <c r="F487" s="6" t="e">
        <f t="shared" si="94"/>
        <v>#NUM!</v>
      </c>
      <c r="G487" s="6" t="e">
        <f t="shared" si="95"/>
        <v>#NUM!</v>
      </c>
      <c r="H487" s="6"/>
      <c r="I487" s="6"/>
      <c r="V487" s="7">
        <v>430</v>
      </c>
      <c r="W487" s="59" t="e">
        <f t="shared" si="96"/>
        <v>#NUM!</v>
      </c>
      <c r="X487" s="6" t="e">
        <f t="shared" si="97"/>
        <v>#NUM!</v>
      </c>
      <c r="Y487" s="6" t="e">
        <f t="shared" si="98"/>
        <v>#NUM!</v>
      </c>
      <c r="Z487" s="6" t="e">
        <f t="shared" si="99"/>
        <v>#NUM!</v>
      </c>
      <c r="AA487" s="6" t="e">
        <f t="shared" si="100"/>
        <v>#NUM!</v>
      </c>
      <c r="AB487" s="6"/>
    </row>
    <row r="488" spans="2:28" x14ac:dyDescent="0.4">
      <c r="B488" s="7">
        <v>431</v>
      </c>
      <c r="C488" s="59" t="e">
        <f t="shared" si="91"/>
        <v>#NUM!</v>
      </c>
      <c r="D488" s="6" t="e">
        <f t="shared" si="92"/>
        <v>#NUM!</v>
      </c>
      <c r="E488" s="6" t="e">
        <f t="shared" si="93"/>
        <v>#NUM!</v>
      </c>
      <c r="F488" s="6" t="e">
        <f t="shared" si="94"/>
        <v>#NUM!</v>
      </c>
      <c r="G488" s="6" t="e">
        <f t="shared" si="95"/>
        <v>#NUM!</v>
      </c>
      <c r="H488" s="6"/>
      <c r="I488" s="6"/>
      <c r="V488" s="7">
        <v>431</v>
      </c>
      <c r="W488" s="59" t="e">
        <f t="shared" si="96"/>
        <v>#NUM!</v>
      </c>
      <c r="X488" s="6" t="e">
        <f t="shared" si="97"/>
        <v>#NUM!</v>
      </c>
      <c r="Y488" s="6" t="e">
        <f t="shared" si="98"/>
        <v>#NUM!</v>
      </c>
      <c r="Z488" s="6" t="e">
        <f t="shared" si="99"/>
        <v>#NUM!</v>
      </c>
      <c r="AA488" s="6" t="e">
        <f t="shared" si="100"/>
        <v>#NUM!</v>
      </c>
      <c r="AB488" s="6"/>
    </row>
    <row r="489" spans="2:28" x14ac:dyDescent="0.4">
      <c r="B489" s="7">
        <v>432</v>
      </c>
      <c r="C489" s="59" t="e">
        <f t="shared" si="91"/>
        <v>#NUM!</v>
      </c>
      <c r="D489" s="6" t="e">
        <f t="shared" si="92"/>
        <v>#NUM!</v>
      </c>
      <c r="E489" s="6" t="e">
        <f t="shared" si="93"/>
        <v>#NUM!</v>
      </c>
      <c r="F489" s="6" t="e">
        <f t="shared" si="94"/>
        <v>#NUM!</v>
      </c>
      <c r="G489" s="6" t="e">
        <f t="shared" si="95"/>
        <v>#NUM!</v>
      </c>
      <c r="H489" s="6"/>
      <c r="I489" s="6"/>
      <c r="V489" s="7">
        <v>432</v>
      </c>
      <c r="W489" s="59" t="e">
        <f t="shared" si="96"/>
        <v>#NUM!</v>
      </c>
      <c r="X489" s="6" t="e">
        <f t="shared" si="97"/>
        <v>#NUM!</v>
      </c>
      <c r="Y489" s="6" t="e">
        <f t="shared" si="98"/>
        <v>#NUM!</v>
      </c>
      <c r="Z489" s="6" t="e">
        <f t="shared" si="99"/>
        <v>#NUM!</v>
      </c>
      <c r="AA489" s="6" t="e">
        <f t="shared" si="100"/>
        <v>#NUM!</v>
      </c>
      <c r="AB489" s="6"/>
    </row>
    <row r="490" spans="2:28" x14ac:dyDescent="0.4">
      <c r="B490" s="7">
        <v>433</v>
      </c>
      <c r="C490" s="59" t="e">
        <f t="shared" si="91"/>
        <v>#NUM!</v>
      </c>
      <c r="D490" s="6" t="e">
        <f t="shared" si="92"/>
        <v>#NUM!</v>
      </c>
      <c r="E490" s="6" t="e">
        <f t="shared" si="93"/>
        <v>#NUM!</v>
      </c>
      <c r="F490" s="6" t="e">
        <f t="shared" si="94"/>
        <v>#NUM!</v>
      </c>
      <c r="G490" s="6" t="e">
        <f t="shared" si="95"/>
        <v>#NUM!</v>
      </c>
      <c r="H490" s="6"/>
      <c r="I490" s="6"/>
      <c r="V490" s="7">
        <v>433</v>
      </c>
      <c r="W490" s="59" t="e">
        <f t="shared" si="96"/>
        <v>#NUM!</v>
      </c>
      <c r="X490" s="6" t="e">
        <f t="shared" si="97"/>
        <v>#NUM!</v>
      </c>
      <c r="Y490" s="6" t="e">
        <f t="shared" si="98"/>
        <v>#NUM!</v>
      </c>
      <c r="Z490" s="6" t="e">
        <f t="shared" si="99"/>
        <v>#NUM!</v>
      </c>
      <c r="AA490" s="6" t="e">
        <f t="shared" si="100"/>
        <v>#NUM!</v>
      </c>
      <c r="AB490" s="6"/>
    </row>
    <row r="491" spans="2:28" x14ac:dyDescent="0.4">
      <c r="B491" s="7">
        <v>434</v>
      </c>
      <c r="C491" s="59" t="e">
        <f t="shared" si="91"/>
        <v>#NUM!</v>
      </c>
      <c r="D491" s="6" t="e">
        <f t="shared" si="92"/>
        <v>#NUM!</v>
      </c>
      <c r="E491" s="6" t="e">
        <f t="shared" si="93"/>
        <v>#NUM!</v>
      </c>
      <c r="F491" s="6" t="e">
        <f t="shared" si="94"/>
        <v>#NUM!</v>
      </c>
      <c r="G491" s="6" t="e">
        <f t="shared" si="95"/>
        <v>#NUM!</v>
      </c>
      <c r="H491" s="6"/>
      <c r="I491" s="6"/>
      <c r="V491" s="7">
        <v>434</v>
      </c>
      <c r="W491" s="59" t="e">
        <f t="shared" si="96"/>
        <v>#NUM!</v>
      </c>
      <c r="X491" s="6" t="e">
        <f t="shared" si="97"/>
        <v>#NUM!</v>
      </c>
      <c r="Y491" s="6" t="e">
        <f t="shared" si="98"/>
        <v>#NUM!</v>
      </c>
      <c r="Z491" s="6" t="e">
        <f t="shared" si="99"/>
        <v>#NUM!</v>
      </c>
      <c r="AA491" s="6" t="e">
        <f t="shared" si="100"/>
        <v>#NUM!</v>
      </c>
      <c r="AB491" s="6"/>
    </row>
    <row r="492" spans="2:28" x14ac:dyDescent="0.4">
      <c r="B492" s="7">
        <v>435</v>
      </c>
      <c r="C492" s="59" t="e">
        <f t="shared" si="91"/>
        <v>#NUM!</v>
      </c>
      <c r="D492" s="6" t="e">
        <f t="shared" si="92"/>
        <v>#NUM!</v>
      </c>
      <c r="E492" s="6" t="e">
        <f t="shared" si="93"/>
        <v>#NUM!</v>
      </c>
      <c r="F492" s="6" t="e">
        <f t="shared" si="94"/>
        <v>#NUM!</v>
      </c>
      <c r="G492" s="6" t="e">
        <f t="shared" si="95"/>
        <v>#NUM!</v>
      </c>
      <c r="H492" s="6"/>
      <c r="I492" s="6"/>
      <c r="V492" s="7">
        <v>435</v>
      </c>
      <c r="W492" s="59" t="e">
        <f t="shared" si="96"/>
        <v>#NUM!</v>
      </c>
      <c r="X492" s="6" t="e">
        <f t="shared" si="97"/>
        <v>#NUM!</v>
      </c>
      <c r="Y492" s="6" t="e">
        <f t="shared" si="98"/>
        <v>#NUM!</v>
      </c>
      <c r="Z492" s="6" t="e">
        <f t="shared" si="99"/>
        <v>#NUM!</v>
      </c>
      <c r="AA492" s="6" t="e">
        <f t="shared" si="100"/>
        <v>#NUM!</v>
      </c>
      <c r="AB492" s="6"/>
    </row>
    <row r="493" spans="2:28" x14ac:dyDescent="0.4">
      <c r="B493" s="7">
        <v>436</v>
      </c>
      <c r="C493" s="59" t="e">
        <f t="shared" si="91"/>
        <v>#NUM!</v>
      </c>
      <c r="D493" s="6" t="e">
        <f t="shared" si="92"/>
        <v>#NUM!</v>
      </c>
      <c r="E493" s="6" t="e">
        <f t="shared" si="93"/>
        <v>#NUM!</v>
      </c>
      <c r="F493" s="6" t="e">
        <f t="shared" si="94"/>
        <v>#NUM!</v>
      </c>
      <c r="G493" s="6" t="e">
        <f t="shared" si="95"/>
        <v>#NUM!</v>
      </c>
      <c r="H493" s="6"/>
      <c r="I493" s="6"/>
      <c r="V493" s="7">
        <v>436</v>
      </c>
      <c r="W493" s="59" t="e">
        <f t="shared" si="96"/>
        <v>#NUM!</v>
      </c>
      <c r="X493" s="6" t="e">
        <f t="shared" si="97"/>
        <v>#NUM!</v>
      </c>
      <c r="Y493" s="6" t="e">
        <f t="shared" si="98"/>
        <v>#NUM!</v>
      </c>
      <c r="Z493" s="6" t="e">
        <f t="shared" si="99"/>
        <v>#NUM!</v>
      </c>
      <c r="AA493" s="6" t="e">
        <f t="shared" si="100"/>
        <v>#NUM!</v>
      </c>
      <c r="AB493" s="6"/>
    </row>
    <row r="494" spans="2:28" x14ac:dyDescent="0.4">
      <c r="B494" s="7">
        <v>437</v>
      </c>
      <c r="C494" s="59" t="e">
        <f t="shared" si="91"/>
        <v>#NUM!</v>
      </c>
      <c r="D494" s="6" t="e">
        <f t="shared" si="92"/>
        <v>#NUM!</v>
      </c>
      <c r="E494" s="6" t="e">
        <f t="shared" si="93"/>
        <v>#NUM!</v>
      </c>
      <c r="F494" s="6" t="e">
        <f t="shared" si="94"/>
        <v>#NUM!</v>
      </c>
      <c r="G494" s="6" t="e">
        <f t="shared" si="95"/>
        <v>#NUM!</v>
      </c>
      <c r="H494" s="6"/>
      <c r="I494" s="6"/>
      <c r="V494" s="7">
        <v>437</v>
      </c>
      <c r="W494" s="59" t="e">
        <f t="shared" si="96"/>
        <v>#NUM!</v>
      </c>
      <c r="X494" s="6" t="e">
        <f t="shared" si="97"/>
        <v>#NUM!</v>
      </c>
      <c r="Y494" s="6" t="e">
        <f t="shared" si="98"/>
        <v>#NUM!</v>
      </c>
      <c r="Z494" s="6" t="e">
        <f t="shared" si="99"/>
        <v>#NUM!</v>
      </c>
      <c r="AA494" s="6" t="e">
        <f t="shared" si="100"/>
        <v>#NUM!</v>
      </c>
      <c r="AB494" s="6"/>
    </row>
    <row r="495" spans="2:28" x14ac:dyDescent="0.4">
      <c r="B495" s="7">
        <v>438</v>
      </c>
      <c r="C495" s="59" t="e">
        <f t="shared" si="91"/>
        <v>#NUM!</v>
      </c>
      <c r="D495" s="6" t="e">
        <f t="shared" si="92"/>
        <v>#NUM!</v>
      </c>
      <c r="E495" s="6" t="e">
        <f t="shared" si="93"/>
        <v>#NUM!</v>
      </c>
      <c r="F495" s="6" t="e">
        <f t="shared" si="94"/>
        <v>#NUM!</v>
      </c>
      <c r="G495" s="6" t="e">
        <f t="shared" si="95"/>
        <v>#NUM!</v>
      </c>
      <c r="H495" s="6"/>
      <c r="I495" s="6"/>
      <c r="V495" s="7">
        <v>438</v>
      </c>
      <c r="W495" s="59" t="e">
        <f t="shared" si="96"/>
        <v>#NUM!</v>
      </c>
      <c r="X495" s="6" t="e">
        <f t="shared" si="97"/>
        <v>#NUM!</v>
      </c>
      <c r="Y495" s="6" t="e">
        <f t="shared" si="98"/>
        <v>#NUM!</v>
      </c>
      <c r="Z495" s="6" t="e">
        <f t="shared" si="99"/>
        <v>#NUM!</v>
      </c>
      <c r="AA495" s="6" t="e">
        <f t="shared" si="100"/>
        <v>#NUM!</v>
      </c>
      <c r="AB495" s="6"/>
    </row>
    <row r="496" spans="2:28" x14ac:dyDescent="0.4">
      <c r="B496" s="7">
        <v>439</v>
      </c>
      <c r="C496" s="59" t="e">
        <f t="shared" si="91"/>
        <v>#NUM!</v>
      </c>
      <c r="D496" s="6" t="e">
        <f t="shared" si="92"/>
        <v>#NUM!</v>
      </c>
      <c r="E496" s="6" t="e">
        <f t="shared" si="93"/>
        <v>#NUM!</v>
      </c>
      <c r="F496" s="6" t="e">
        <f t="shared" si="94"/>
        <v>#NUM!</v>
      </c>
      <c r="G496" s="6" t="e">
        <f t="shared" si="95"/>
        <v>#NUM!</v>
      </c>
      <c r="H496" s="6"/>
      <c r="I496" s="6"/>
      <c r="V496" s="7">
        <v>439</v>
      </c>
      <c r="W496" s="59" t="e">
        <f t="shared" si="96"/>
        <v>#NUM!</v>
      </c>
      <c r="X496" s="6" t="e">
        <f t="shared" si="97"/>
        <v>#NUM!</v>
      </c>
      <c r="Y496" s="6" t="e">
        <f t="shared" si="98"/>
        <v>#NUM!</v>
      </c>
      <c r="Z496" s="6" t="e">
        <f t="shared" si="99"/>
        <v>#NUM!</v>
      </c>
      <c r="AA496" s="6" t="e">
        <f t="shared" si="100"/>
        <v>#NUM!</v>
      </c>
      <c r="AB496" s="6"/>
    </row>
    <row r="497" spans="2:28" x14ac:dyDescent="0.4">
      <c r="B497" s="7">
        <v>440</v>
      </c>
      <c r="C497" s="59" t="e">
        <f t="shared" si="91"/>
        <v>#NUM!</v>
      </c>
      <c r="D497" s="6" t="e">
        <f t="shared" si="92"/>
        <v>#NUM!</v>
      </c>
      <c r="E497" s="6" t="e">
        <f t="shared" si="93"/>
        <v>#NUM!</v>
      </c>
      <c r="F497" s="6" t="e">
        <f t="shared" si="94"/>
        <v>#NUM!</v>
      </c>
      <c r="G497" s="6" t="e">
        <f t="shared" si="95"/>
        <v>#NUM!</v>
      </c>
      <c r="H497" s="6"/>
      <c r="I497" s="6"/>
      <c r="V497" s="7">
        <v>440</v>
      </c>
      <c r="W497" s="59" t="e">
        <f t="shared" si="96"/>
        <v>#NUM!</v>
      </c>
      <c r="X497" s="6" t="e">
        <f t="shared" si="97"/>
        <v>#NUM!</v>
      </c>
      <c r="Y497" s="6" t="e">
        <f t="shared" si="98"/>
        <v>#NUM!</v>
      </c>
      <c r="Z497" s="6" t="e">
        <f t="shared" si="99"/>
        <v>#NUM!</v>
      </c>
      <c r="AA497" s="6" t="e">
        <f t="shared" si="100"/>
        <v>#NUM!</v>
      </c>
      <c r="AB497" s="6"/>
    </row>
    <row r="498" spans="2:28" x14ac:dyDescent="0.4">
      <c r="B498" s="7">
        <v>441</v>
      </c>
      <c r="C498" s="59" t="e">
        <f t="shared" si="91"/>
        <v>#NUM!</v>
      </c>
      <c r="D498" s="6" t="e">
        <f t="shared" si="92"/>
        <v>#NUM!</v>
      </c>
      <c r="E498" s="6" t="e">
        <f t="shared" si="93"/>
        <v>#NUM!</v>
      </c>
      <c r="F498" s="6" t="e">
        <f t="shared" si="94"/>
        <v>#NUM!</v>
      </c>
      <c r="G498" s="6" t="e">
        <f t="shared" si="95"/>
        <v>#NUM!</v>
      </c>
      <c r="H498" s="6"/>
      <c r="I498" s="6"/>
      <c r="V498" s="7">
        <v>441</v>
      </c>
      <c r="W498" s="59" t="e">
        <f t="shared" si="96"/>
        <v>#NUM!</v>
      </c>
      <c r="X498" s="6" t="e">
        <f t="shared" si="97"/>
        <v>#NUM!</v>
      </c>
      <c r="Y498" s="6" t="e">
        <f t="shared" si="98"/>
        <v>#NUM!</v>
      </c>
      <c r="Z498" s="6" t="e">
        <f t="shared" si="99"/>
        <v>#NUM!</v>
      </c>
      <c r="AA498" s="6" t="e">
        <f t="shared" si="100"/>
        <v>#NUM!</v>
      </c>
      <c r="AB498" s="6"/>
    </row>
    <row r="499" spans="2:28" x14ac:dyDescent="0.4">
      <c r="B499" s="7">
        <v>442</v>
      </c>
      <c r="C499" s="59" t="e">
        <f t="shared" si="91"/>
        <v>#NUM!</v>
      </c>
      <c r="D499" s="6" t="e">
        <f t="shared" si="92"/>
        <v>#NUM!</v>
      </c>
      <c r="E499" s="6" t="e">
        <f t="shared" si="93"/>
        <v>#NUM!</v>
      </c>
      <c r="F499" s="6" t="e">
        <f t="shared" si="94"/>
        <v>#NUM!</v>
      </c>
      <c r="G499" s="6" t="e">
        <f t="shared" si="95"/>
        <v>#NUM!</v>
      </c>
      <c r="H499" s="6"/>
      <c r="I499" s="6"/>
      <c r="V499" s="7">
        <v>442</v>
      </c>
      <c r="W499" s="59" t="e">
        <f t="shared" si="96"/>
        <v>#NUM!</v>
      </c>
      <c r="X499" s="6" t="e">
        <f t="shared" si="97"/>
        <v>#NUM!</v>
      </c>
      <c r="Y499" s="6" t="e">
        <f t="shared" si="98"/>
        <v>#NUM!</v>
      </c>
      <c r="Z499" s="6" t="e">
        <f t="shared" si="99"/>
        <v>#NUM!</v>
      </c>
      <c r="AA499" s="6" t="e">
        <f t="shared" si="100"/>
        <v>#NUM!</v>
      </c>
      <c r="AB499" s="6"/>
    </row>
    <row r="500" spans="2:28" x14ac:dyDescent="0.4">
      <c r="B500" s="7">
        <v>443</v>
      </c>
      <c r="C500" s="59" t="e">
        <f t="shared" si="91"/>
        <v>#NUM!</v>
      </c>
      <c r="D500" s="6" t="e">
        <f t="shared" si="92"/>
        <v>#NUM!</v>
      </c>
      <c r="E500" s="6" t="e">
        <f t="shared" si="93"/>
        <v>#NUM!</v>
      </c>
      <c r="F500" s="6" t="e">
        <f t="shared" si="94"/>
        <v>#NUM!</v>
      </c>
      <c r="G500" s="6" t="e">
        <f t="shared" si="95"/>
        <v>#NUM!</v>
      </c>
      <c r="H500" s="6"/>
      <c r="I500" s="6"/>
      <c r="V500" s="7">
        <v>443</v>
      </c>
      <c r="W500" s="59" t="e">
        <f t="shared" si="96"/>
        <v>#NUM!</v>
      </c>
      <c r="X500" s="6" t="e">
        <f t="shared" si="97"/>
        <v>#NUM!</v>
      </c>
      <c r="Y500" s="6" t="e">
        <f t="shared" si="98"/>
        <v>#NUM!</v>
      </c>
      <c r="Z500" s="6" t="e">
        <f t="shared" si="99"/>
        <v>#NUM!</v>
      </c>
      <c r="AA500" s="6" t="e">
        <f t="shared" si="100"/>
        <v>#NUM!</v>
      </c>
      <c r="AB500" s="6"/>
    </row>
    <row r="501" spans="2:28" x14ac:dyDescent="0.4">
      <c r="B501" s="7">
        <v>444</v>
      </c>
      <c r="C501" s="59" t="e">
        <f t="shared" si="91"/>
        <v>#NUM!</v>
      </c>
      <c r="D501" s="6" t="e">
        <f t="shared" si="92"/>
        <v>#NUM!</v>
      </c>
      <c r="E501" s="6" t="e">
        <f t="shared" si="93"/>
        <v>#NUM!</v>
      </c>
      <c r="F501" s="6" t="e">
        <f t="shared" si="94"/>
        <v>#NUM!</v>
      </c>
      <c r="G501" s="6" t="e">
        <f t="shared" si="95"/>
        <v>#NUM!</v>
      </c>
      <c r="H501" s="6"/>
      <c r="I501" s="6"/>
      <c r="V501" s="7">
        <v>444</v>
      </c>
      <c r="W501" s="59" t="e">
        <f t="shared" si="96"/>
        <v>#NUM!</v>
      </c>
      <c r="X501" s="6" t="e">
        <f t="shared" si="97"/>
        <v>#NUM!</v>
      </c>
      <c r="Y501" s="6" t="e">
        <f t="shared" si="98"/>
        <v>#NUM!</v>
      </c>
      <c r="Z501" s="6" t="e">
        <f t="shared" si="99"/>
        <v>#NUM!</v>
      </c>
      <c r="AA501" s="6" t="e">
        <f t="shared" si="100"/>
        <v>#NUM!</v>
      </c>
      <c r="AB501" s="6"/>
    </row>
    <row r="502" spans="2:28" x14ac:dyDescent="0.4">
      <c r="B502" s="7">
        <v>445</v>
      </c>
      <c r="C502" s="59" t="e">
        <f t="shared" si="91"/>
        <v>#NUM!</v>
      </c>
      <c r="D502" s="6" t="e">
        <f t="shared" si="92"/>
        <v>#NUM!</v>
      </c>
      <c r="E502" s="6" t="e">
        <f t="shared" si="93"/>
        <v>#NUM!</v>
      </c>
      <c r="F502" s="6" t="e">
        <f t="shared" si="94"/>
        <v>#NUM!</v>
      </c>
      <c r="G502" s="6" t="e">
        <f t="shared" si="95"/>
        <v>#NUM!</v>
      </c>
      <c r="H502" s="6"/>
      <c r="I502" s="6"/>
      <c r="V502" s="7">
        <v>445</v>
      </c>
      <c r="W502" s="59" t="e">
        <f t="shared" si="96"/>
        <v>#NUM!</v>
      </c>
      <c r="X502" s="6" t="e">
        <f t="shared" si="97"/>
        <v>#NUM!</v>
      </c>
      <c r="Y502" s="6" t="e">
        <f t="shared" si="98"/>
        <v>#NUM!</v>
      </c>
      <c r="Z502" s="6" t="e">
        <f t="shared" si="99"/>
        <v>#NUM!</v>
      </c>
      <c r="AA502" s="6" t="e">
        <f t="shared" si="100"/>
        <v>#NUM!</v>
      </c>
      <c r="AB502" s="6"/>
    </row>
    <row r="503" spans="2:28" x14ac:dyDescent="0.4">
      <c r="B503" s="7">
        <v>446</v>
      </c>
      <c r="C503" s="59" t="e">
        <f t="shared" si="91"/>
        <v>#NUM!</v>
      </c>
      <c r="D503" s="6" t="e">
        <f t="shared" si="92"/>
        <v>#NUM!</v>
      </c>
      <c r="E503" s="6" t="e">
        <f t="shared" si="93"/>
        <v>#NUM!</v>
      </c>
      <c r="F503" s="6" t="e">
        <f t="shared" si="94"/>
        <v>#NUM!</v>
      </c>
      <c r="G503" s="6" t="e">
        <f t="shared" si="95"/>
        <v>#NUM!</v>
      </c>
      <c r="H503" s="6"/>
      <c r="I503" s="6"/>
      <c r="V503" s="7">
        <v>446</v>
      </c>
      <c r="W503" s="59" t="e">
        <f t="shared" si="96"/>
        <v>#NUM!</v>
      </c>
      <c r="X503" s="6" t="e">
        <f t="shared" si="97"/>
        <v>#NUM!</v>
      </c>
      <c r="Y503" s="6" t="e">
        <f t="shared" si="98"/>
        <v>#NUM!</v>
      </c>
      <c r="Z503" s="6" t="e">
        <f t="shared" si="99"/>
        <v>#NUM!</v>
      </c>
      <c r="AA503" s="6" t="e">
        <f t="shared" si="100"/>
        <v>#NUM!</v>
      </c>
      <c r="AB503" s="6"/>
    </row>
    <row r="504" spans="2:28" x14ac:dyDescent="0.4">
      <c r="B504" s="7">
        <v>447</v>
      </c>
      <c r="C504" s="59" t="e">
        <f t="shared" si="91"/>
        <v>#NUM!</v>
      </c>
      <c r="D504" s="6" t="e">
        <f t="shared" si="92"/>
        <v>#NUM!</v>
      </c>
      <c r="E504" s="6" t="e">
        <f t="shared" si="93"/>
        <v>#NUM!</v>
      </c>
      <c r="F504" s="6" t="e">
        <f t="shared" si="94"/>
        <v>#NUM!</v>
      </c>
      <c r="G504" s="6" t="e">
        <f t="shared" si="95"/>
        <v>#NUM!</v>
      </c>
      <c r="H504" s="6"/>
      <c r="I504" s="6"/>
      <c r="V504" s="7">
        <v>447</v>
      </c>
      <c r="W504" s="59" t="e">
        <f t="shared" si="96"/>
        <v>#NUM!</v>
      </c>
      <c r="X504" s="6" t="e">
        <f t="shared" si="97"/>
        <v>#NUM!</v>
      </c>
      <c r="Y504" s="6" t="e">
        <f t="shared" si="98"/>
        <v>#NUM!</v>
      </c>
      <c r="Z504" s="6" t="e">
        <f t="shared" si="99"/>
        <v>#NUM!</v>
      </c>
      <c r="AA504" s="6" t="e">
        <f t="shared" si="100"/>
        <v>#NUM!</v>
      </c>
      <c r="AB504" s="6"/>
    </row>
    <row r="505" spans="2:28" x14ac:dyDescent="0.4">
      <c r="B505" s="7">
        <v>448</v>
      </c>
      <c r="C505" s="59" t="e">
        <f t="shared" si="91"/>
        <v>#NUM!</v>
      </c>
      <c r="D505" s="6" t="e">
        <f t="shared" si="92"/>
        <v>#NUM!</v>
      </c>
      <c r="E505" s="6" t="e">
        <f t="shared" si="93"/>
        <v>#NUM!</v>
      </c>
      <c r="F505" s="6" t="e">
        <f t="shared" si="94"/>
        <v>#NUM!</v>
      </c>
      <c r="G505" s="6" t="e">
        <f t="shared" si="95"/>
        <v>#NUM!</v>
      </c>
      <c r="H505" s="6"/>
      <c r="I505" s="6"/>
      <c r="V505" s="7">
        <v>448</v>
      </c>
      <c r="W505" s="59" t="e">
        <f t="shared" si="96"/>
        <v>#NUM!</v>
      </c>
      <c r="X505" s="6" t="e">
        <f t="shared" si="97"/>
        <v>#NUM!</v>
      </c>
      <c r="Y505" s="6" t="e">
        <f t="shared" si="98"/>
        <v>#NUM!</v>
      </c>
      <c r="Z505" s="6" t="e">
        <f t="shared" si="99"/>
        <v>#NUM!</v>
      </c>
      <c r="AA505" s="6" t="e">
        <f t="shared" si="100"/>
        <v>#NUM!</v>
      </c>
      <c r="AB505" s="6"/>
    </row>
    <row r="506" spans="2:28" x14ac:dyDescent="0.4">
      <c r="B506" s="7">
        <v>449</v>
      </c>
      <c r="C506" s="59" t="e">
        <f t="shared" si="91"/>
        <v>#NUM!</v>
      </c>
      <c r="D506" s="6" t="e">
        <f t="shared" si="92"/>
        <v>#NUM!</v>
      </c>
      <c r="E506" s="6" t="e">
        <f t="shared" si="93"/>
        <v>#NUM!</v>
      </c>
      <c r="F506" s="6" t="e">
        <f t="shared" si="94"/>
        <v>#NUM!</v>
      </c>
      <c r="G506" s="6" t="e">
        <f t="shared" si="95"/>
        <v>#NUM!</v>
      </c>
      <c r="H506" s="6"/>
      <c r="I506" s="6"/>
      <c r="V506" s="7">
        <v>449</v>
      </c>
      <c r="W506" s="59" t="e">
        <f t="shared" si="96"/>
        <v>#NUM!</v>
      </c>
      <c r="X506" s="6" t="e">
        <f t="shared" si="97"/>
        <v>#NUM!</v>
      </c>
      <c r="Y506" s="6" t="e">
        <f t="shared" si="98"/>
        <v>#NUM!</v>
      </c>
      <c r="Z506" s="6" t="e">
        <f t="shared" si="99"/>
        <v>#NUM!</v>
      </c>
      <c r="AA506" s="6" t="e">
        <f t="shared" si="100"/>
        <v>#NUM!</v>
      </c>
      <c r="AB506" s="6"/>
    </row>
    <row r="507" spans="2:28" x14ac:dyDescent="0.4">
      <c r="B507" s="7">
        <v>450</v>
      </c>
      <c r="C507" s="59" t="e">
        <f t="shared" ref="C507:C537" si="101">G506</f>
        <v>#NUM!</v>
      </c>
      <c r="D507" s="6" t="e">
        <f t="shared" ref="D507:D537" si="102">-PMT($D$7/12,$D$9*12,$D$6,,)</f>
        <v>#NUM!</v>
      </c>
      <c r="E507" s="6" t="e">
        <f t="shared" ref="E507:E537" si="103">C507*$D$7/12</f>
        <v>#NUM!</v>
      </c>
      <c r="F507" s="6" t="e">
        <f t="shared" ref="F507:F537" si="104">D507-E507</f>
        <v>#NUM!</v>
      </c>
      <c r="G507" s="6" t="e">
        <f t="shared" ref="G507:G537" si="105">C507-F507</f>
        <v>#NUM!</v>
      </c>
      <c r="H507" s="6"/>
      <c r="I507" s="6"/>
      <c r="V507" s="7">
        <v>450</v>
      </c>
      <c r="W507" s="59" t="e">
        <f t="shared" ref="W507:W537" si="106">AA506</f>
        <v>#NUM!</v>
      </c>
      <c r="X507" s="6" t="e">
        <f t="shared" ref="X507:X537" si="107">-PMT($X$7/12,$X$9*12,$X$6,,)</f>
        <v>#NUM!</v>
      </c>
      <c r="Y507" s="6" t="e">
        <f t="shared" ref="Y507:Y537" si="108">W507*$X$7/12</f>
        <v>#NUM!</v>
      </c>
      <c r="Z507" s="6" t="e">
        <f t="shared" ref="Z507:Z537" si="109">X507-Y507</f>
        <v>#NUM!</v>
      </c>
      <c r="AA507" s="6" t="e">
        <f t="shared" ref="AA507:AA537" si="110">W507-Z507</f>
        <v>#NUM!</v>
      </c>
      <c r="AB507" s="6"/>
    </row>
    <row r="508" spans="2:28" x14ac:dyDescent="0.4">
      <c r="B508" s="7">
        <v>451</v>
      </c>
      <c r="C508" s="59" t="e">
        <f t="shared" si="101"/>
        <v>#NUM!</v>
      </c>
      <c r="D508" s="6" t="e">
        <f t="shared" si="102"/>
        <v>#NUM!</v>
      </c>
      <c r="E508" s="6" t="e">
        <f t="shared" si="103"/>
        <v>#NUM!</v>
      </c>
      <c r="F508" s="6" t="e">
        <f t="shared" si="104"/>
        <v>#NUM!</v>
      </c>
      <c r="G508" s="6" t="e">
        <f t="shared" si="105"/>
        <v>#NUM!</v>
      </c>
      <c r="H508" s="6"/>
      <c r="I508" s="6"/>
      <c r="V508" s="7">
        <v>451</v>
      </c>
      <c r="W508" s="59" t="e">
        <f t="shared" si="106"/>
        <v>#NUM!</v>
      </c>
      <c r="X508" s="6" t="e">
        <f t="shared" si="107"/>
        <v>#NUM!</v>
      </c>
      <c r="Y508" s="6" t="e">
        <f t="shared" si="108"/>
        <v>#NUM!</v>
      </c>
      <c r="Z508" s="6" t="e">
        <f t="shared" si="109"/>
        <v>#NUM!</v>
      </c>
      <c r="AA508" s="6" t="e">
        <f t="shared" si="110"/>
        <v>#NUM!</v>
      </c>
      <c r="AB508" s="6"/>
    </row>
    <row r="509" spans="2:28" x14ac:dyDescent="0.4">
      <c r="B509" s="7">
        <v>452</v>
      </c>
      <c r="C509" s="59" t="e">
        <f t="shared" si="101"/>
        <v>#NUM!</v>
      </c>
      <c r="D509" s="6" t="e">
        <f t="shared" si="102"/>
        <v>#NUM!</v>
      </c>
      <c r="E509" s="6" t="e">
        <f t="shared" si="103"/>
        <v>#NUM!</v>
      </c>
      <c r="F509" s="6" t="e">
        <f t="shared" si="104"/>
        <v>#NUM!</v>
      </c>
      <c r="G509" s="6" t="e">
        <f t="shared" si="105"/>
        <v>#NUM!</v>
      </c>
      <c r="H509" s="6"/>
      <c r="I509" s="6"/>
      <c r="V509" s="7">
        <v>452</v>
      </c>
      <c r="W509" s="59" t="e">
        <f t="shared" si="106"/>
        <v>#NUM!</v>
      </c>
      <c r="X509" s="6" t="e">
        <f t="shared" si="107"/>
        <v>#NUM!</v>
      </c>
      <c r="Y509" s="6" t="e">
        <f t="shared" si="108"/>
        <v>#NUM!</v>
      </c>
      <c r="Z509" s="6" t="e">
        <f t="shared" si="109"/>
        <v>#NUM!</v>
      </c>
      <c r="AA509" s="6" t="e">
        <f t="shared" si="110"/>
        <v>#NUM!</v>
      </c>
      <c r="AB509" s="6"/>
    </row>
    <row r="510" spans="2:28" x14ac:dyDescent="0.4">
      <c r="B510" s="7">
        <v>453</v>
      </c>
      <c r="C510" s="59" t="e">
        <f t="shared" si="101"/>
        <v>#NUM!</v>
      </c>
      <c r="D510" s="6" t="e">
        <f t="shared" si="102"/>
        <v>#NUM!</v>
      </c>
      <c r="E510" s="6" t="e">
        <f t="shared" si="103"/>
        <v>#NUM!</v>
      </c>
      <c r="F510" s="6" t="e">
        <f t="shared" si="104"/>
        <v>#NUM!</v>
      </c>
      <c r="G510" s="6" t="e">
        <f t="shared" si="105"/>
        <v>#NUM!</v>
      </c>
      <c r="H510" s="6"/>
      <c r="I510" s="6"/>
      <c r="V510" s="7">
        <v>453</v>
      </c>
      <c r="W510" s="59" t="e">
        <f t="shared" si="106"/>
        <v>#NUM!</v>
      </c>
      <c r="X510" s="6" t="e">
        <f t="shared" si="107"/>
        <v>#NUM!</v>
      </c>
      <c r="Y510" s="6" t="e">
        <f t="shared" si="108"/>
        <v>#NUM!</v>
      </c>
      <c r="Z510" s="6" t="e">
        <f t="shared" si="109"/>
        <v>#NUM!</v>
      </c>
      <c r="AA510" s="6" t="e">
        <f t="shared" si="110"/>
        <v>#NUM!</v>
      </c>
      <c r="AB510" s="6"/>
    </row>
    <row r="511" spans="2:28" x14ac:dyDescent="0.4">
      <c r="B511" s="7">
        <v>454</v>
      </c>
      <c r="C511" s="59" t="e">
        <f t="shared" si="101"/>
        <v>#NUM!</v>
      </c>
      <c r="D511" s="6" t="e">
        <f t="shared" si="102"/>
        <v>#NUM!</v>
      </c>
      <c r="E511" s="6" t="e">
        <f t="shared" si="103"/>
        <v>#NUM!</v>
      </c>
      <c r="F511" s="6" t="e">
        <f t="shared" si="104"/>
        <v>#NUM!</v>
      </c>
      <c r="G511" s="6" t="e">
        <f t="shared" si="105"/>
        <v>#NUM!</v>
      </c>
      <c r="H511" s="6"/>
      <c r="I511" s="6"/>
      <c r="V511" s="7">
        <v>454</v>
      </c>
      <c r="W511" s="59" t="e">
        <f t="shared" si="106"/>
        <v>#NUM!</v>
      </c>
      <c r="X511" s="6" t="e">
        <f t="shared" si="107"/>
        <v>#NUM!</v>
      </c>
      <c r="Y511" s="6" t="e">
        <f t="shared" si="108"/>
        <v>#NUM!</v>
      </c>
      <c r="Z511" s="6" t="e">
        <f t="shared" si="109"/>
        <v>#NUM!</v>
      </c>
      <c r="AA511" s="6" t="e">
        <f t="shared" si="110"/>
        <v>#NUM!</v>
      </c>
      <c r="AB511" s="6"/>
    </row>
    <row r="512" spans="2:28" x14ac:dyDescent="0.4">
      <c r="B512" s="7">
        <v>455</v>
      </c>
      <c r="C512" s="59" t="e">
        <f t="shared" si="101"/>
        <v>#NUM!</v>
      </c>
      <c r="D512" s="6" t="e">
        <f t="shared" si="102"/>
        <v>#NUM!</v>
      </c>
      <c r="E512" s="6" t="e">
        <f t="shared" si="103"/>
        <v>#NUM!</v>
      </c>
      <c r="F512" s="6" t="e">
        <f t="shared" si="104"/>
        <v>#NUM!</v>
      </c>
      <c r="G512" s="6" t="e">
        <f t="shared" si="105"/>
        <v>#NUM!</v>
      </c>
      <c r="H512" s="6"/>
      <c r="I512" s="6"/>
      <c r="V512" s="7">
        <v>455</v>
      </c>
      <c r="W512" s="59" t="e">
        <f t="shared" si="106"/>
        <v>#NUM!</v>
      </c>
      <c r="X512" s="6" t="e">
        <f t="shared" si="107"/>
        <v>#NUM!</v>
      </c>
      <c r="Y512" s="6" t="e">
        <f t="shared" si="108"/>
        <v>#NUM!</v>
      </c>
      <c r="Z512" s="6" t="e">
        <f t="shared" si="109"/>
        <v>#NUM!</v>
      </c>
      <c r="AA512" s="6" t="e">
        <f t="shared" si="110"/>
        <v>#NUM!</v>
      </c>
      <c r="AB512" s="6"/>
    </row>
    <row r="513" spans="2:28" x14ac:dyDescent="0.4">
      <c r="B513" s="7">
        <v>456</v>
      </c>
      <c r="C513" s="59" t="e">
        <f t="shared" si="101"/>
        <v>#NUM!</v>
      </c>
      <c r="D513" s="6" t="e">
        <f t="shared" si="102"/>
        <v>#NUM!</v>
      </c>
      <c r="E513" s="6" t="e">
        <f t="shared" si="103"/>
        <v>#NUM!</v>
      </c>
      <c r="F513" s="6" t="e">
        <f t="shared" si="104"/>
        <v>#NUM!</v>
      </c>
      <c r="G513" s="6" t="e">
        <f t="shared" si="105"/>
        <v>#NUM!</v>
      </c>
      <c r="H513" s="6"/>
      <c r="I513" s="6"/>
      <c r="V513" s="7">
        <v>456</v>
      </c>
      <c r="W513" s="59" t="e">
        <f t="shared" si="106"/>
        <v>#NUM!</v>
      </c>
      <c r="X513" s="6" t="e">
        <f t="shared" si="107"/>
        <v>#NUM!</v>
      </c>
      <c r="Y513" s="6" t="e">
        <f t="shared" si="108"/>
        <v>#NUM!</v>
      </c>
      <c r="Z513" s="6" t="e">
        <f t="shared" si="109"/>
        <v>#NUM!</v>
      </c>
      <c r="AA513" s="6" t="e">
        <f t="shared" si="110"/>
        <v>#NUM!</v>
      </c>
      <c r="AB513" s="6"/>
    </row>
    <row r="514" spans="2:28" x14ac:dyDescent="0.4">
      <c r="B514" s="7">
        <v>457</v>
      </c>
      <c r="C514" s="59" t="e">
        <f t="shared" si="101"/>
        <v>#NUM!</v>
      </c>
      <c r="D514" s="6" t="e">
        <f t="shared" si="102"/>
        <v>#NUM!</v>
      </c>
      <c r="E514" s="6" t="e">
        <f t="shared" si="103"/>
        <v>#NUM!</v>
      </c>
      <c r="F514" s="6" t="e">
        <f t="shared" si="104"/>
        <v>#NUM!</v>
      </c>
      <c r="G514" s="6" t="e">
        <f t="shared" si="105"/>
        <v>#NUM!</v>
      </c>
      <c r="H514" s="6"/>
      <c r="I514" s="6"/>
      <c r="V514" s="7">
        <v>457</v>
      </c>
      <c r="W514" s="59" t="e">
        <f t="shared" si="106"/>
        <v>#NUM!</v>
      </c>
      <c r="X514" s="6" t="e">
        <f t="shared" si="107"/>
        <v>#NUM!</v>
      </c>
      <c r="Y514" s="6" t="e">
        <f t="shared" si="108"/>
        <v>#NUM!</v>
      </c>
      <c r="Z514" s="6" t="e">
        <f t="shared" si="109"/>
        <v>#NUM!</v>
      </c>
      <c r="AA514" s="6" t="e">
        <f t="shared" si="110"/>
        <v>#NUM!</v>
      </c>
      <c r="AB514" s="6"/>
    </row>
    <row r="515" spans="2:28" x14ac:dyDescent="0.4">
      <c r="B515" s="7">
        <v>458</v>
      </c>
      <c r="C515" s="59" t="e">
        <f t="shared" si="101"/>
        <v>#NUM!</v>
      </c>
      <c r="D515" s="6" t="e">
        <f t="shared" si="102"/>
        <v>#NUM!</v>
      </c>
      <c r="E515" s="6" t="e">
        <f t="shared" si="103"/>
        <v>#NUM!</v>
      </c>
      <c r="F515" s="6" t="e">
        <f t="shared" si="104"/>
        <v>#NUM!</v>
      </c>
      <c r="G515" s="6" t="e">
        <f t="shared" si="105"/>
        <v>#NUM!</v>
      </c>
      <c r="H515" s="6"/>
      <c r="I515" s="6"/>
      <c r="V515" s="7">
        <v>458</v>
      </c>
      <c r="W515" s="59" t="e">
        <f t="shared" si="106"/>
        <v>#NUM!</v>
      </c>
      <c r="X515" s="6" t="e">
        <f t="shared" si="107"/>
        <v>#NUM!</v>
      </c>
      <c r="Y515" s="6" t="e">
        <f t="shared" si="108"/>
        <v>#NUM!</v>
      </c>
      <c r="Z515" s="6" t="e">
        <f t="shared" si="109"/>
        <v>#NUM!</v>
      </c>
      <c r="AA515" s="6" t="e">
        <f t="shared" si="110"/>
        <v>#NUM!</v>
      </c>
      <c r="AB515" s="6"/>
    </row>
    <row r="516" spans="2:28" x14ac:dyDescent="0.4">
      <c r="B516" s="7">
        <v>459</v>
      </c>
      <c r="C516" s="59" t="e">
        <f t="shared" si="101"/>
        <v>#NUM!</v>
      </c>
      <c r="D516" s="6" t="e">
        <f t="shared" si="102"/>
        <v>#NUM!</v>
      </c>
      <c r="E516" s="6" t="e">
        <f t="shared" si="103"/>
        <v>#NUM!</v>
      </c>
      <c r="F516" s="6" t="e">
        <f t="shared" si="104"/>
        <v>#NUM!</v>
      </c>
      <c r="G516" s="6" t="e">
        <f t="shared" si="105"/>
        <v>#NUM!</v>
      </c>
      <c r="H516" s="6"/>
      <c r="I516" s="6"/>
      <c r="V516" s="7">
        <v>459</v>
      </c>
      <c r="W516" s="59" t="e">
        <f t="shared" si="106"/>
        <v>#NUM!</v>
      </c>
      <c r="X516" s="6" t="e">
        <f t="shared" si="107"/>
        <v>#NUM!</v>
      </c>
      <c r="Y516" s="6" t="e">
        <f t="shared" si="108"/>
        <v>#NUM!</v>
      </c>
      <c r="Z516" s="6" t="e">
        <f t="shared" si="109"/>
        <v>#NUM!</v>
      </c>
      <c r="AA516" s="6" t="e">
        <f t="shared" si="110"/>
        <v>#NUM!</v>
      </c>
      <c r="AB516" s="6"/>
    </row>
    <row r="517" spans="2:28" x14ac:dyDescent="0.4">
      <c r="B517" s="7">
        <v>460</v>
      </c>
      <c r="C517" s="59" t="e">
        <f t="shared" si="101"/>
        <v>#NUM!</v>
      </c>
      <c r="D517" s="6" t="e">
        <f t="shared" si="102"/>
        <v>#NUM!</v>
      </c>
      <c r="E517" s="6" t="e">
        <f t="shared" si="103"/>
        <v>#NUM!</v>
      </c>
      <c r="F517" s="6" t="e">
        <f t="shared" si="104"/>
        <v>#NUM!</v>
      </c>
      <c r="G517" s="6" t="e">
        <f t="shared" si="105"/>
        <v>#NUM!</v>
      </c>
      <c r="H517" s="6"/>
      <c r="I517" s="6"/>
      <c r="V517" s="7">
        <v>460</v>
      </c>
      <c r="W517" s="59" t="e">
        <f t="shared" si="106"/>
        <v>#NUM!</v>
      </c>
      <c r="X517" s="6" t="e">
        <f t="shared" si="107"/>
        <v>#NUM!</v>
      </c>
      <c r="Y517" s="6" t="e">
        <f t="shared" si="108"/>
        <v>#NUM!</v>
      </c>
      <c r="Z517" s="6" t="e">
        <f t="shared" si="109"/>
        <v>#NUM!</v>
      </c>
      <c r="AA517" s="6" t="e">
        <f t="shared" si="110"/>
        <v>#NUM!</v>
      </c>
      <c r="AB517" s="6"/>
    </row>
    <row r="518" spans="2:28" x14ac:dyDescent="0.4">
      <c r="B518" s="7">
        <v>461</v>
      </c>
      <c r="C518" s="59" t="e">
        <f t="shared" si="101"/>
        <v>#NUM!</v>
      </c>
      <c r="D518" s="6" t="e">
        <f t="shared" si="102"/>
        <v>#NUM!</v>
      </c>
      <c r="E518" s="6" t="e">
        <f t="shared" si="103"/>
        <v>#NUM!</v>
      </c>
      <c r="F518" s="6" t="e">
        <f t="shared" si="104"/>
        <v>#NUM!</v>
      </c>
      <c r="G518" s="6" t="e">
        <f t="shared" si="105"/>
        <v>#NUM!</v>
      </c>
      <c r="H518" s="6"/>
      <c r="I518" s="6"/>
      <c r="V518" s="7">
        <v>461</v>
      </c>
      <c r="W518" s="59" t="e">
        <f t="shared" si="106"/>
        <v>#NUM!</v>
      </c>
      <c r="X518" s="6" t="e">
        <f t="shared" si="107"/>
        <v>#NUM!</v>
      </c>
      <c r="Y518" s="6" t="e">
        <f t="shared" si="108"/>
        <v>#NUM!</v>
      </c>
      <c r="Z518" s="6" t="e">
        <f t="shared" si="109"/>
        <v>#NUM!</v>
      </c>
      <c r="AA518" s="6" t="e">
        <f t="shared" si="110"/>
        <v>#NUM!</v>
      </c>
      <c r="AB518" s="6"/>
    </row>
    <row r="519" spans="2:28" x14ac:dyDescent="0.4">
      <c r="B519" s="7">
        <v>462</v>
      </c>
      <c r="C519" s="59" t="e">
        <f t="shared" si="101"/>
        <v>#NUM!</v>
      </c>
      <c r="D519" s="6" t="e">
        <f t="shared" si="102"/>
        <v>#NUM!</v>
      </c>
      <c r="E519" s="6" t="e">
        <f t="shared" si="103"/>
        <v>#NUM!</v>
      </c>
      <c r="F519" s="6" t="e">
        <f t="shared" si="104"/>
        <v>#NUM!</v>
      </c>
      <c r="G519" s="6" t="e">
        <f t="shared" si="105"/>
        <v>#NUM!</v>
      </c>
      <c r="H519" s="6"/>
      <c r="I519" s="6"/>
      <c r="V519" s="7">
        <v>462</v>
      </c>
      <c r="W519" s="59" t="e">
        <f t="shared" si="106"/>
        <v>#NUM!</v>
      </c>
      <c r="X519" s="6" t="e">
        <f t="shared" si="107"/>
        <v>#NUM!</v>
      </c>
      <c r="Y519" s="6" t="e">
        <f t="shared" si="108"/>
        <v>#NUM!</v>
      </c>
      <c r="Z519" s="6" t="e">
        <f t="shared" si="109"/>
        <v>#NUM!</v>
      </c>
      <c r="AA519" s="6" t="e">
        <f t="shared" si="110"/>
        <v>#NUM!</v>
      </c>
      <c r="AB519" s="6"/>
    </row>
    <row r="520" spans="2:28" x14ac:dyDescent="0.4">
      <c r="B520" s="7">
        <v>463</v>
      </c>
      <c r="C520" s="59" t="e">
        <f t="shared" si="101"/>
        <v>#NUM!</v>
      </c>
      <c r="D520" s="6" t="e">
        <f t="shared" si="102"/>
        <v>#NUM!</v>
      </c>
      <c r="E520" s="6" t="e">
        <f t="shared" si="103"/>
        <v>#NUM!</v>
      </c>
      <c r="F520" s="6" t="e">
        <f t="shared" si="104"/>
        <v>#NUM!</v>
      </c>
      <c r="G520" s="6" t="e">
        <f t="shared" si="105"/>
        <v>#NUM!</v>
      </c>
      <c r="H520" s="6"/>
      <c r="I520" s="6"/>
      <c r="V520" s="7">
        <v>463</v>
      </c>
      <c r="W520" s="59" t="e">
        <f t="shared" si="106"/>
        <v>#NUM!</v>
      </c>
      <c r="X520" s="6" t="e">
        <f t="shared" si="107"/>
        <v>#NUM!</v>
      </c>
      <c r="Y520" s="6" t="e">
        <f t="shared" si="108"/>
        <v>#NUM!</v>
      </c>
      <c r="Z520" s="6" t="e">
        <f t="shared" si="109"/>
        <v>#NUM!</v>
      </c>
      <c r="AA520" s="6" t="e">
        <f t="shared" si="110"/>
        <v>#NUM!</v>
      </c>
      <c r="AB520" s="6"/>
    </row>
    <row r="521" spans="2:28" x14ac:dyDescent="0.4">
      <c r="B521" s="7">
        <v>464</v>
      </c>
      <c r="C521" s="59" t="e">
        <f t="shared" si="101"/>
        <v>#NUM!</v>
      </c>
      <c r="D521" s="6" t="e">
        <f t="shared" si="102"/>
        <v>#NUM!</v>
      </c>
      <c r="E521" s="6" t="e">
        <f t="shared" si="103"/>
        <v>#NUM!</v>
      </c>
      <c r="F521" s="6" t="e">
        <f t="shared" si="104"/>
        <v>#NUM!</v>
      </c>
      <c r="G521" s="6" t="e">
        <f t="shared" si="105"/>
        <v>#NUM!</v>
      </c>
      <c r="H521" s="6"/>
      <c r="I521" s="6"/>
      <c r="V521" s="7">
        <v>464</v>
      </c>
      <c r="W521" s="59" t="e">
        <f t="shared" si="106"/>
        <v>#NUM!</v>
      </c>
      <c r="X521" s="6" t="e">
        <f t="shared" si="107"/>
        <v>#NUM!</v>
      </c>
      <c r="Y521" s="6" t="e">
        <f t="shared" si="108"/>
        <v>#NUM!</v>
      </c>
      <c r="Z521" s="6" t="e">
        <f t="shared" si="109"/>
        <v>#NUM!</v>
      </c>
      <c r="AA521" s="6" t="e">
        <f t="shared" si="110"/>
        <v>#NUM!</v>
      </c>
      <c r="AB521" s="6"/>
    </row>
    <row r="522" spans="2:28" x14ac:dyDescent="0.4">
      <c r="B522" s="7">
        <v>465</v>
      </c>
      <c r="C522" s="59" t="e">
        <f t="shared" si="101"/>
        <v>#NUM!</v>
      </c>
      <c r="D522" s="6" t="e">
        <f t="shared" si="102"/>
        <v>#NUM!</v>
      </c>
      <c r="E522" s="6" t="e">
        <f t="shared" si="103"/>
        <v>#NUM!</v>
      </c>
      <c r="F522" s="6" t="e">
        <f t="shared" si="104"/>
        <v>#NUM!</v>
      </c>
      <c r="G522" s="6" t="e">
        <f t="shared" si="105"/>
        <v>#NUM!</v>
      </c>
      <c r="H522" s="6"/>
      <c r="I522" s="6"/>
      <c r="V522" s="7">
        <v>465</v>
      </c>
      <c r="W522" s="59" t="e">
        <f t="shared" si="106"/>
        <v>#NUM!</v>
      </c>
      <c r="X522" s="6" t="e">
        <f t="shared" si="107"/>
        <v>#NUM!</v>
      </c>
      <c r="Y522" s="6" t="e">
        <f t="shared" si="108"/>
        <v>#NUM!</v>
      </c>
      <c r="Z522" s="6" t="e">
        <f t="shared" si="109"/>
        <v>#NUM!</v>
      </c>
      <c r="AA522" s="6" t="e">
        <f t="shared" si="110"/>
        <v>#NUM!</v>
      </c>
      <c r="AB522" s="6"/>
    </row>
    <row r="523" spans="2:28" x14ac:dyDescent="0.4">
      <c r="B523" s="7">
        <v>466</v>
      </c>
      <c r="C523" s="59" t="e">
        <f t="shared" si="101"/>
        <v>#NUM!</v>
      </c>
      <c r="D523" s="6" t="e">
        <f t="shared" si="102"/>
        <v>#NUM!</v>
      </c>
      <c r="E523" s="6" t="e">
        <f t="shared" si="103"/>
        <v>#NUM!</v>
      </c>
      <c r="F523" s="6" t="e">
        <f t="shared" si="104"/>
        <v>#NUM!</v>
      </c>
      <c r="G523" s="6" t="e">
        <f t="shared" si="105"/>
        <v>#NUM!</v>
      </c>
      <c r="H523" s="6"/>
      <c r="I523" s="6"/>
      <c r="V523" s="7">
        <v>466</v>
      </c>
      <c r="W523" s="59" t="e">
        <f t="shared" si="106"/>
        <v>#NUM!</v>
      </c>
      <c r="X523" s="6" t="e">
        <f t="shared" si="107"/>
        <v>#NUM!</v>
      </c>
      <c r="Y523" s="6" t="e">
        <f t="shared" si="108"/>
        <v>#NUM!</v>
      </c>
      <c r="Z523" s="6" t="e">
        <f t="shared" si="109"/>
        <v>#NUM!</v>
      </c>
      <c r="AA523" s="6" t="e">
        <f t="shared" si="110"/>
        <v>#NUM!</v>
      </c>
      <c r="AB523" s="6"/>
    </row>
    <row r="524" spans="2:28" x14ac:dyDescent="0.4">
      <c r="B524" s="7">
        <v>467</v>
      </c>
      <c r="C524" s="59" t="e">
        <f t="shared" si="101"/>
        <v>#NUM!</v>
      </c>
      <c r="D524" s="6" t="e">
        <f t="shared" si="102"/>
        <v>#NUM!</v>
      </c>
      <c r="E524" s="6" t="e">
        <f t="shared" si="103"/>
        <v>#NUM!</v>
      </c>
      <c r="F524" s="6" t="e">
        <f t="shared" si="104"/>
        <v>#NUM!</v>
      </c>
      <c r="G524" s="6" t="e">
        <f t="shared" si="105"/>
        <v>#NUM!</v>
      </c>
      <c r="H524" s="6"/>
      <c r="I524" s="6"/>
      <c r="V524" s="7">
        <v>467</v>
      </c>
      <c r="W524" s="59" t="e">
        <f t="shared" si="106"/>
        <v>#NUM!</v>
      </c>
      <c r="X524" s="6" t="e">
        <f t="shared" si="107"/>
        <v>#NUM!</v>
      </c>
      <c r="Y524" s="6" t="e">
        <f t="shared" si="108"/>
        <v>#NUM!</v>
      </c>
      <c r="Z524" s="6" t="e">
        <f t="shared" si="109"/>
        <v>#NUM!</v>
      </c>
      <c r="AA524" s="6" t="e">
        <f t="shared" si="110"/>
        <v>#NUM!</v>
      </c>
      <c r="AB524" s="6"/>
    </row>
    <row r="525" spans="2:28" x14ac:dyDescent="0.4">
      <c r="B525" s="7">
        <v>468</v>
      </c>
      <c r="C525" s="59" t="e">
        <f t="shared" si="101"/>
        <v>#NUM!</v>
      </c>
      <c r="D525" s="6" t="e">
        <f t="shared" si="102"/>
        <v>#NUM!</v>
      </c>
      <c r="E525" s="6" t="e">
        <f t="shared" si="103"/>
        <v>#NUM!</v>
      </c>
      <c r="F525" s="6" t="e">
        <f t="shared" si="104"/>
        <v>#NUM!</v>
      </c>
      <c r="G525" s="6" t="e">
        <f t="shared" si="105"/>
        <v>#NUM!</v>
      </c>
      <c r="H525" s="6"/>
      <c r="I525" s="6"/>
      <c r="V525" s="7">
        <v>468</v>
      </c>
      <c r="W525" s="59" t="e">
        <f t="shared" si="106"/>
        <v>#NUM!</v>
      </c>
      <c r="X525" s="6" t="e">
        <f t="shared" si="107"/>
        <v>#NUM!</v>
      </c>
      <c r="Y525" s="6" t="e">
        <f t="shared" si="108"/>
        <v>#NUM!</v>
      </c>
      <c r="Z525" s="6" t="e">
        <f t="shared" si="109"/>
        <v>#NUM!</v>
      </c>
      <c r="AA525" s="6" t="e">
        <f t="shared" si="110"/>
        <v>#NUM!</v>
      </c>
      <c r="AB525" s="6"/>
    </row>
    <row r="526" spans="2:28" x14ac:dyDescent="0.4">
      <c r="B526" s="7">
        <v>469</v>
      </c>
      <c r="C526" s="59" t="e">
        <f t="shared" si="101"/>
        <v>#NUM!</v>
      </c>
      <c r="D526" s="6" t="e">
        <f t="shared" si="102"/>
        <v>#NUM!</v>
      </c>
      <c r="E526" s="6" t="e">
        <f t="shared" si="103"/>
        <v>#NUM!</v>
      </c>
      <c r="F526" s="6" t="e">
        <f t="shared" si="104"/>
        <v>#NUM!</v>
      </c>
      <c r="G526" s="6" t="e">
        <f t="shared" si="105"/>
        <v>#NUM!</v>
      </c>
      <c r="H526" s="6"/>
      <c r="I526" s="6"/>
      <c r="V526" s="7">
        <v>469</v>
      </c>
      <c r="W526" s="59" t="e">
        <f t="shared" si="106"/>
        <v>#NUM!</v>
      </c>
      <c r="X526" s="6" t="e">
        <f t="shared" si="107"/>
        <v>#NUM!</v>
      </c>
      <c r="Y526" s="6" t="e">
        <f t="shared" si="108"/>
        <v>#NUM!</v>
      </c>
      <c r="Z526" s="6" t="e">
        <f t="shared" si="109"/>
        <v>#NUM!</v>
      </c>
      <c r="AA526" s="6" t="e">
        <f t="shared" si="110"/>
        <v>#NUM!</v>
      </c>
      <c r="AB526" s="6"/>
    </row>
    <row r="527" spans="2:28" x14ac:dyDescent="0.4">
      <c r="B527" s="7">
        <v>470</v>
      </c>
      <c r="C527" s="59" t="e">
        <f t="shared" si="101"/>
        <v>#NUM!</v>
      </c>
      <c r="D527" s="6" t="e">
        <f t="shared" si="102"/>
        <v>#NUM!</v>
      </c>
      <c r="E527" s="6" t="e">
        <f t="shared" si="103"/>
        <v>#NUM!</v>
      </c>
      <c r="F527" s="6" t="e">
        <f t="shared" si="104"/>
        <v>#NUM!</v>
      </c>
      <c r="G527" s="6" t="e">
        <f t="shared" si="105"/>
        <v>#NUM!</v>
      </c>
      <c r="H527" s="6"/>
      <c r="I527" s="6"/>
      <c r="V527" s="7">
        <v>470</v>
      </c>
      <c r="W527" s="59" t="e">
        <f t="shared" si="106"/>
        <v>#NUM!</v>
      </c>
      <c r="X527" s="6" t="e">
        <f t="shared" si="107"/>
        <v>#NUM!</v>
      </c>
      <c r="Y527" s="6" t="e">
        <f t="shared" si="108"/>
        <v>#NUM!</v>
      </c>
      <c r="Z527" s="6" t="e">
        <f t="shared" si="109"/>
        <v>#NUM!</v>
      </c>
      <c r="AA527" s="6" t="e">
        <f t="shared" si="110"/>
        <v>#NUM!</v>
      </c>
      <c r="AB527" s="6"/>
    </row>
    <row r="528" spans="2:28" x14ac:dyDescent="0.4">
      <c r="B528" s="7">
        <v>471</v>
      </c>
      <c r="C528" s="59" t="e">
        <f t="shared" si="101"/>
        <v>#NUM!</v>
      </c>
      <c r="D528" s="6" t="e">
        <f t="shared" si="102"/>
        <v>#NUM!</v>
      </c>
      <c r="E528" s="6" t="e">
        <f t="shared" si="103"/>
        <v>#NUM!</v>
      </c>
      <c r="F528" s="6" t="e">
        <f t="shared" si="104"/>
        <v>#NUM!</v>
      </c>
      <c r="G528" s="6" t="e">
        <f t="shared" si="105"/>
        <v>#NUM!</v>
      </c>
      <c r="H528" s="6"/>
      <c r="I528" s="6"/>
      <c r="V528" s="7">
        <v>471</v>
      </c>
      <c r="W528" s="59" t="e">
        <f t="shared" si="106"/>
        <v>#NUM!</v>
      </c>
      <c r="X528" s="6" t="e">
        <f t="shared" si="107"/>
        <v>#NUM!</v>
      </c>
      <c r="Y528" s="6" t="e">
        <f t="shared" si="108"/>
        <v>#NUM!</v>
      </c>
      <c r="Z528" s="6" t="e">
        <f t="shared" si="109"/>
        <v>#NUM!</v>
      </c>
      <c r="AA528" s="6" t="e">
        <f t="shared" si="110"/>
        <v>#NUM!</v>
      </c>
      <c r="AB528" s="6"/>
    </row>
    <row r="529" spans="2:28" x14ac:dyDescent="0.4">
      <c r="B529" s="7">
        <v>472</v>
      </c>
      <c r="C529" s="59" t="e">
        <f t="shared" si="101"/>
        <v>#NUM!</v>
      </c>
      <c r="D529" s="6" t="e">
        <f t="shared" si="102"/>
        <v>#NUM!</v>
      </c>
      <c r="E529" s="6" t="e">
        <f t="shared" si="103"/>
        <v>#NUM!</v>
      </c>
      <c r="F529" s="6" t="e">
        <f t="shared" si="104"/>
        <v>#NUM!</v>
      </c>
      <c r="G529" s="6" t="e">
        <f t="shared" si="105"/>
        <v>#NUM!</v>
      </c>
      <c r="H529" s="6"/>
      <c r="I529" s="6"/>
      <c r="V529" s="7">
        <v>472</v>
      </c>
      <c r="W529" s="59" t="e">
        <f t="shared" si="106"/>
        <v>#NUM!</v>
      </c>
      <c r="X529" s="6" t="e">
        <f t="shared" si="107"/>
        <v>#NUM!</v>
      </c>
      <c r="Y529" s="6" t="e">
        <f t="shared" si="108"/>
        <v>#NUM!</v>
      </c>
      <c r="Z529" s="6" t="e">
        <f t="shared" si="109"/>
        <v>#NUM!</v>
      </c>
      <c r="AA529" s="6" t="e">
        <f t="shared" si="110"/>
        <v>#NUM!</v>
      </c>
      <c r="AB529" s="6"/>
    </row>
    <row r="530" spans="2:28" x14ac:dyDescent="0.4">
      <c r="B530" s="7">
        <v>473</v>
      </c>
      <c r="C530" s="59" t="e">
        <f t="shared" si="101"/>
        <v>#NUM!</v>
      </c>
      <c r="D530" s="6" t="e">
        <f t="shared" si="102"/>
        <v>#NUM!</v>
      </c>
      <c r="E530" s="6" t="e">
        <f t="shared" si="103"/>
        <v>#NUM!</v>
      </c>
      <c r="F530" s="6" t="e">
        <f t="shared" si="104"/>
        <v>#NUM!</v>
      </c>
      <c r="G530" s="6" t="e">
        <f t="shared" si="105"/>
        <v>#NUM!</v>
      </c>
      <c r="H530" s="6"/>
      <c r="I530" s="6"/>
      <c r="V530" s="7">
        <v>473</v>
      </c>
      <c r="W530" s="59" t="e">
        <f t="shared" si="106"/>
        <v>#NUM!</v>
      </c>
      <c r="X530" s="6" t="e">
        <f t="shared" si="107"/>
        <v>#NUM!</v>
      </c>
      <c r="Y530" s="6" t="e">
        <f t="shared" si="108"/>
        <v>#NUM!</v>
      </c>
      <c r="Z530" s="6" t="e">
        <f t="shared" si="109"/>
        <v>#NUM!</v>
      </c>
      <c r="AA530" s="6" t="e">
        <f t="shared" si="110"/>
        <v>#NUM!</v>
      </c>
      <c r="AB530" s="6"/>
    </row>
    <row r="531" spans="2:28" x14ac:dyDescent="0.4">
      <c r="B531" s="7">
        <v>474</v>
      </c>
      <c r="C531" s="59" t="e">
        <f t="shared" si="101"/>
        <v>#NUM!</v>
      </c>
      <c r="D531" s="6" t="e">
        <f t="shared" si="102"/>
        <v>#NUM!</v>
      </c>
      <c r="E531" s="6" t="e">
        <f t="shared" si="103"/>
        <v>#NUM!</v>
      </c>
      <c r="F531" s="6" t="e">
        <f t="shared" si="104"/>
        <v>#NUM!</v>
      </c>
      <c r="G531" s="6" t="e">
        <f t="shared" si="105"/>
        <v>#NUM!</v>
      </c>
      <c r="H531" s="6"/>
      <c r="I531" s="6"/>
      <c r="V531" s="7">
        <v>474</v>
      </c>
      <c r="W531" s="59" t="e">
        <f t="shared" si="106"/>
        <v>#NUM!</v>
      </c>
      <c r="X531" s="6" t="e">
        <f t="shared" si="107"/>
        <v>#NUM!</v>
      </c>
      <c r="Y531" s="6" t="e">
        <f t="shared" si="108"/>
        <v>#NUM!</v>
      </c>
      <c r="Z531" s="6" t="e">
        <f t="shared" si="109"/>
        <v>#NUM!</v>
      </c>
      <c r="AA531" s="6" t="e">
        <f t="shared" si="110"/>
        <v>#NUM!</v>
      </c>
      <c r="AB531" s="6"/>
    </row>
    <row r="532" spans="2:28" x14ac:dyDescent="0.4">
      <c r="B532" s="7">
        <v>475</v>
      </c>
      <c r="C532" s="59" t="e">
        <f t="shared" si="101"/>
        <v>#NUM!</v>
      </c>
      <c r="D532" s="6" t="e">
        <f t="shared" si="102"/>
        <v>#NUM!</v>
      </c>
      <c r="E532" s="6" t="e">
        <f t="shared" si="103"/>
        <v>#NUM!</v>
      </c>
      <c r="F532" s="6" t="e">
        <f t="shared" si="104"/>
        <v>#NUM!</v>
      </c>
      <c r="G532" s="6" t="e">
        <f t="shared" si="105"/>
        <v>#NUM!</v>
      </c>
      <c r="H532" s="6"/>
      <c r="I532" s="6"/>
      <c r="V532" s="7">
        <v>475</v>
      </c>
      <c r="W532" s="59" t="e">
        <f t="shared" si="106"/>
        <v>#NUM!</v>
      </c>
      <c r="X532" s="6" t="e">
        <f t="shared" si="107"/>
        <v>#NUM!</v>
      </c>
      <c r="Y532" s="6" t="e">
        <f t="shared" si="108"/>
        <v>#NUM!</v>
      </c>
      <c r="Z532" s="6" t="e">
        <f t="shared" si="109"/>
        <v>#NUM!</v>
      </c>
      <c r="AA532" s="6" t="e">
        <f t="shared" si="110"/>
        <v>#NUM!</v>
      </c>
      <c r="AB532" s="6"/>
    </row>
    <row r="533" spans="2:28" x14ac:dyDescent="0.4">
      <c r="B533" s="7">
        <v>476</v>
      </c>
      <c r="C533" s="59" t="e">
        <f t="shared" si="101"/>
        <v>#NUM!</v>
      </c>
      <c r="D533" s="6" t="e">
        <f t="shared" si="102"/>
        <v>#NUM!</v>
      </c>
      <c r="E533" s="6" t="e">
        <f t="shared" si="103"/>
        <v>#NUM!</v>
      </c>
      <c r="F533" s="6" t="e">
        <f t="shared" si="104"/>
        <v>#NUM!</v>
      </c>
      <c r="G533" s="6" t="e">
        <f t="shared" si="105"/>
        <v>#NUM!</v>
      </c>
      <c r="H533" s="6"/>
      <c r="I533" s="6"/>
      <c r="V533" s="7">
        <v>476</v>
      </c>
      <c r="W533" s="59" t="e">
        <f t="shared" si="106"/>
        <v>#NUM!</v>
      </c>
      <c r="X533" s="6" t="e">
        <f t="shared" si="107"/>
        <v>#NUM!</v>
      </c>
      <c r="Y533" s="6" t="e">
        <f t="shared" si="108"/>
        <v>#NUM!</v>
      </c>
      <c r="Z533" s="6" t="e">
        <f t="shared" si="109"/>
        <v>#NUM!</v>
      </c>
      <c r="AA533" s="6" t="e">
        <f t="shared" si="110"/>
        <v>#NUM!</v>
      </c>
      <c r="AB533" s="6"/>
    </row>
    <row r="534" spans="2:28" x14ac:dyDescent="0.4">
      <c r="B534" s="7">
        <v>477</v>
      </c>
      <c r="C534" s="59" t="e">
        <f t="shared" si="101"/>
        <v>#NUM!</v>
      </c>
      <c r="D534" s="6" t="e">
        <f t="shared" si="102"/>
        <v>#NUM!</v>
      </c>
      <c r="E534" s="6" t="e">
        <f t="shared" si="103"/>
        <v>#NUM!</v>
      </c>
      <c r="F534" s="6" t="e">
        <f t="shared" si="104"/>
        <v>#NUM!</v>
      </c>
      <c r="G534" s="6" t="e">
        <f t="shared" si="105"/>
        <v>#NUM!</v>
      </c>
      <c r="H534" s="6"/>
      <c r="I534" s="6"/>
      <c r="V534" s="7">
        <v>477</v>
      </c>
      <c r="W534" s="59" t="e">
        <f t="shared" si="106"/>
        <v>#NUM!</v>
      </c>
      <c r="X534" s="6" t="e">
        <f t="shared" si="107"/>
        <v>#NUM!</v>
      </c>
      <c r="Y534" s="6" t="e">
        <f t="shared" si="108"/>
        <v>#NUM!</v>
      </c>
      <c r="Z534" s="6" t="e">
        <f t="shared" si="109"/>
        <v>#NUM!</v>
      </c>
      <c r="AA534" s="6" t="e">
        <f t="shared" si="110"/>
        <v>#NUM!</v>
      </c>
      <c r="AB534" s="6"/>
    </row>
    <row r="535" spans="2:28" x14ac:dyDescent="0.4">
      <c r="B535" s="7">
        <v>478</v>
      </c>
      <c r="C535" s="59" t="e">
        <f t="shared" si="101"/>
        <v>#NUM!</v>
      </c>
      <c r="D535" s="6" t="e">
        <f t="shared" si="102"/>
        <v>#NUM!</v>
      </c>
      <c r="E535" s="6" t="e">
        <f t="shared" si="103"/>
        <v>#NUM!</v>
      </c>
      <c r="F535" s="6" t="e">
        <f t="shared" si="104"/>
        <v>#NUM!</v>
      </c>
      <c r="G535" s="6" t="e">
        <f t="shared" si="105"/>
        <v>#NUM!</v>
      </c>
      <c r="H535" s="6"/>
      <c r="I535" s="6"/>
      <c r="V535" s="7">
        <v>478</v>
      </c>
      <c r="W535" s="59" t="e">
        <f t="shared" si="106"/>
        <v>#NUM!</v>
      </c>
      <c r="X535" s="6" t="e">
        <f t="shared" si="107"/>
        <v>#NUM!</v>
      </c>
      <c r="Y535" s="6" t="e">
        <f t="shared" si="108"/>
        <v>#NUM!</v>
      </c>
      <c r="Z535" s="6" t="e">
        <f t="shared" si="109"/>
        <v>#NUM!</v>
      </c>
      <c r="AA535" s="6" t="e">
        <f t="shared" si="110"/>
        <v>#NUM!</v>
      </c>
      <c r="AB535" s="6"/>
    </row>
    <row r="536" spans="2:28" x14ac:dyDescent="0.4">
      <c r="B536" s="7">
        <v>479</v>
      </c>
      <c r="C536" s="59" t="e">
        <f t="shared" si="101"/>
        <v>#NUM!</v>
      </c>
      <c r="D536" s="6" t="e">
        <f t="shared" si="102"/>
        <v>#NUM!</v>
      </c>
      <c r="E536" s="6" t="e">
        <f t="shared" si="103"/>
        <v>#NUM!</v>
      </c>
      <c r="F536" s="6" t="e">
        <f t="shared" si="104"/>
        <v>#NUM!</v>
      </c>
      <c r="G536" s="6" t="e">
        <f t="shared" si="105"/>
        <v>#NUM!</v>
      </c>
      <c r="H536" s="6"/>
      <c r="I536" s="6"/>
      <c r="V536" s="7">
        <v>479</v>
      </c>
      <c r="W536" s="59" t="e">
        <f t="shared" si="106"/>
        <v>#NUM!</v>
      </c>
      <c r="X536" s="6" t="e">
        <f t="shared" si="107"/>
        <v>#NUM!</v>
      </c>
      <c r="Y536" s="6" t="e">
        <f t="shared" si="108"/>
        <v>#NUM!</v>
      </c>
      <c r="Z536" s="6" t="e">
        <f t="shared" si="109"/>
        <v>#NUM!</v>
      </c>
      <c r="AA536" s="6" t="e">
        <f t="shared" si="110"/>
        <v>#NUM!</v>
      </c>
      <c r="AB536" s="6"/>
    </row>
    <row r="537" spans="2:28" x14ac:dyDescent="0.4">
      <c r="B537" s="7">
        <v>480</v>
      </c>
      <c r="C537" s="59" t="e">
        <f t="shared" si="101"/>
        <v>#NUM!</v>
      </c>
      <c r="D537" s="6" t="e">
        <f t="shared" si="102"/>
        <v>#NUM!</v>
      </c>
      <c r="E537" s="6" t="e">
        <f t="shared" si="103"/>
        <v>#NUM!</v>
      </c>
      <c r="F537" s="6" t="e">
        <f t="shared" si="104"/>
        <v>#NUM!</v>
      </c>
      <c r="G537" s="6" t="e">
        <f t="shared" si="105"/>
        <v>#NUM!</v>
      </c>
      <c r="H537" s="6"/>
      <c r="I537" s="6"/>
      <c r="V537" s="7">
        <v>480</v>
      </c>
      <c r="W537" s="59" t="e">
        <f t="shared" si="106"/>
        <v>#NUM!</v>
      </c>
      <c r="X537" s="6" t="e">
        <f t="shared" si="107"/>
        <v>#NUM!</v>
      </c>
      <c r="Y537" s="6" t="e">
        <f t="shared" si="108"/>
        <v>#NUM!</v>
      </c>
      <c r="Z537" s="6" t="e">
        <f t="shared" si="109"/>
        <v>#NUM!</v>
      </c>
      <c r="AA537" s="6" t="e">
        <f t="shared" si="110"/>
        <v>#NUM!</v>
      </c>
      <c r="AB537" s="6"/>
    </row>
    <row r="538" spans="2:28" x14ac:dyDescent="0.4">
      <c r="C538" s="59"/>
      <c r="D538" s="6"/>
      <c r="E538" s="6"/>
      <c r="F538" s="6"/>
      <c r="G538" s="6"/>
      <c r="H538" s="6"/>
      <c r="I538" s="6"/>
    </row>
    <row r="539" spans="2:28" x14ac:dyDescent="0.4">
      <c r="C539" s="59"/>
      <c r="D539" s="6"/>
      <c r="E539" s="6"/>
      <c r="F539" s="6"/>
      <c r="G539" s="6"/>
      <c r="H539" s="6"/>
      <c r="I539" s="6"/>
    </row>
    <row r="540" spans="2:28" x14ac:dyDescent="0.4">
      <c r="C540" s="59"/>
      <c r="D540" s="6"/>
      <c r="E540" s="6"/>
      <c r="F540" s="6"/>
      <c r="G540" s="6"/>
      <c r="H540" s="6"/>
      <c r="I540" s="6"/>
    </row>
    <row r="541" spans="2:28" x14ac:dyDescent="0.4">
      <c r="C541" s="59"/>
      <c r="D541" s="6"/>
      <c r="E541" s="6"/>
      <c r="F541" s="6"/>
      <c r="G541" s="6"/>
      <c r="H541" s="6"/>
      <c r="I541" s="6"/>
    </row>
    <row r="542" spans="2:28" x14ac:dyDescent="0.4">
      <c r="C542" s="59"/>
      <c r="D542" s="6"/>
      <c r="E542" s="6"/>
      <c r="F542" s="6"/>
      <c r="G542" s="6"/>
      <c r="H542" s="6"/>
      <c r="I542" s="6"/>
    </row>
    <row r="543" spans="2:28" x14ac:dyDescent="0.4">
      <c r="C543" s="59"/>
      <c r="D543" s="6"/>
      <c r="E543" s="6"/>
      <c r="F543" s="6"/>
      <c r="G543" s="6"/>
      <c r="H543" s="6"/>
      <c r="I543" s="6"/>
    </row>
    <row r="544" spans="2:28" x14ac:dyDescent="0.4">
      <c r="C544" s="59"/>
      <c r="D544" s="6"/>
      <c r="E544" s="6"/>
      <c r="F544" s="6"/>
      <c r="G544" s="6"/>
      <c r="H544" s="6"/>
      <c r="I544" s="6"/>
    </row>
    <row r="545" spans="3:9" x14ac:dyDescent="0.4">
      <c r="C545" s="59"/>
      <c r="D545" s="6"/>
      <c r="E545" s="6"/>
      <c r="F545" s="6"/>
      <c r="G545" s="6"/>
      <c r="H545" s="6"/>
      <c r="I545" s="6"/>
    </row>
    <row r="546" spans="3:9" x14ac:dyDescent="0.4">
      <c r="C546" s="59"/>
      <c r="D546" s="6"/>
      <c r="E546" s="6"/>
      <c r="F546" s="6"/>
      <c r="G546" s="6"/>
      <c r="H546" s="6"/>
      <c r="I546" s="6"/>
    </row>
    <row r="547" spans="3:9" x14ac:dyDescent="0.4">
      <c r="C547" s="59"/>
      <c r="D547" s="6"/>
      <c r="E547" s="6"/>
      <c r="F547" s="6"/>
      <c r="G547" s="6"/>
      <c r="H547" s="6"/>
      <c r="I547" s="6"/>
    </row>
    <row r="548" spans="3:9" x14ac:dyDescent="0.4">
      <c r="C548" s="59"/>
      <c r="D548" s="6"/>
      <c r="E548" s="6"/>
      <c r="F548" s="6"/>
      <c r="G548" s="6"/>
      <c r="H548" s="6"/>
      <c r="I548" s="6"/>
    </row>
    <row r="549" spans="3:9" x14ac:dyDescent="0.4">
      <c r="C549" s="59"/>
      <c r="D549" s="6"/>
      <c r="E549" s="6"/>
      <c r="F549" s="6"/>
      <c r="G549" s="6"/>
      <c r="H549" s="6"/>
      <c r="I549" s="6"/>
    </row>
    <row r="550" spans="3:9" x14ac:dyDescent="0.4">
      <c r="C550" s="59"/>
      <c r="D550" s="6"/>
      <c r="E550" s="6"/>
      <c r="F550" s="6"/>
      <c r="G550" s="6"/>
      <c r="H550" s="6"/>
      <c r="I550" s="6"/>
    </row>
    <row r="551" spans="3:9" x14ac:dyDescent="0.4">
      <c r="C551" s="59"/>
      <c r="D551" s="6"/>
      <c r="E551" s="6"/>
      <c r="F551" s="6"/>
      <c r="G551" s="6"/>
      <c r="H551" s="6"/>
      <c r="I551" s="6"/>
    </row>
    <row r="552" spans="3:9" x14ac:dyDescent="0.4">
      <c r="C552" s="59"/>
      <c r="D552" s="6"/>
      <c r="E552" s="6"/>
      <c r="F552" s="6"/>
      <c r="G552" s="6"/>
      <c r="H552" s="6"/>
      <c r="I552" s="6"/>
    </row>
    <row r="553" spans="3:9" x14ac:dyDescent="0.4">
      <c r="C553" s="59"/>
      <c r="D553" s="6"/>
      <c r="E553" s="6"/>
      <c r="F553" s="6"/>
      <c r="G553" s="6"/>
      <c r="H553" s="6"/>
      <c r="I553" s="6"/>
    </row>
    <row r="554" spans="3:9" x14ac:dyDescent="0.4">
      <c r="C554" s="59"/>
      <c r="D554" s="6"/>
      <c r="E554" s="6"/>
      <c r="F554" s="6"/>
      <c r="G554" s="6"/>
      <c r="H554" s="6"/>
      <c r="I554" s="6"/>
    </row>
    <row r="555" spans="3:9" x14ac:dyDescent="0.4">
      <c r="C555" s="59"/>
      <c r="D555" s="6"/>
      <c r="E555" s="6"/>
      <c r="F555" s="6"/>
      <c r="G555" s="6"/>
      <c r="H555" s="6"/>
      <c r="I555" s="6"/>
    </row>
    <row r="556" spans="3:9" x14ac:dyDescent="0.4">
      <c r="C556" s="59"/>
      <c r="D556" s="6"/>
      <c r="E556" s="6"/>
      <c r="F556" s="6"/>
      <c r="G556" s="6"/>
      <c r="H556" s="6"/>
      <c r="I556" s="6"/>
    </row>
    <row r="557" spans="3:9" x14ac:dyDescent="0.4">
      <c r="C557" s="59"/>
      <c r="D557" s="6"/>
      <c r="E557" s="6"/>
      <c r="F557" s="6"/>
      <c r="G557" s="6"/>
      <c r="H557" s="6"/>
      <c r="I557" s="6"/>
    </row>
    <row r="558" spans="3:9" x14ac:dyDescent="0.4">
      <c r="C558" s="59"/>
      <c r="D558" s="6"/>
      <c r="E558" s="6"/>
      <c r="F558" s="6"/>
      <c r="G558" s="6"/>
      <c r="H558" s="6"/>
      <c r="I558" s="6"/>
    </row>
    <row r="559" spans="3:9" x14ac:dyDescent="0.4">
      <c r="C559" s="59"/>
      <c r="D559" s="6"/>
      <c r="E559" s="6"/>
      <c r="F559" s="6"/>
      <c r="G559" s="6"/>
      <c r="H559" s="6"/>
      <c r="I559" s="6"/>
    </row>
    <row r="560" spans="3:9" x14ac:dyDescent="0.4">
      <c r="C560" s="59"/>
      <c r="D560" s="6"/>
      <c r="E560" s="6"/>
      <c r="F560" s="6"/>
      <c r="G560" s="6"/>
      <c r="H560" s="6"/>
      <c r="I560" s="6"/>
    </row>
    <row r="561" spans="3:9" x14ac:dyDescent="0.4">
      <c r="C561" s="59"/>
      <c r="D561" s="6"/>
      <c r="E561" s="6"/>
      <c r="F561" s="6"/>
      <c r="G561" s="6"/>
      <c r="H561" s="6"/>
      <c r="I561" s="6"/>
    </row>
    <row r="562" spans="3:9" x14ac:dyDescent="0.4">
      <c r="C562" s="59"/>
      <c r="D562" s="6"/>
      <c r="E562" s="6"/>
      <c r="F562" s="6"/>
      <c r="G562" s="6"/>
      <c r="H562" s="6"/>
      <c r="I562" s="6"/>
    </row>
    <row r="563" spans="3:9" x14ac:dyDescent="0.4">
      <c r="C563" s="59"/>
      <c r="D563" s="6"/>
      <c r="E563" s="6"/>
      <c r="F563" s="6"/>
      <c r="G563" s="6"/>
      <c r="H563" s="6"/>
      <c r="I563" s="6"/>
    </row>
    <row r="564" spans="3:9" x14ac:dyDescent="0.4">
      <c r="C564" s="59"/>
      <c r="D564" s="6"/>
      <c r="E564" s="6"/>
      <c r="F564" s="6"/>
      <c r="G564" s="6"/>
      <c r="H564" s="6"/>
      <c r="I564" s="6"/>
    </row>
    <row r="565" spans="3:9" x14ac:dyDescent="0.4">
      <c r="C565" s="59"/>
      <c r="D565" s="6"/>
      <c r="E565" s="6"/>
      <c r="F565" s="6"/>
      <c r="G565" s="6"/>
      <c r="H565" s="6"/>
      <c r="I565" s="6"/>
    </row>
    <row r="566" spans="3:9" x14ac:dyDescent="0.4">
      <c r="C566" s="59"/>
      <c r="D566" s="6"/>
      <c r="E566" s="6"/>
      <c r="F566" s="6"/>
      <c r="G566" s="6"/>
      <c r="H566" s="6"/>
      <c r="I566" s="6"/>
    </row>
    <row r="567" spans="3:9" x14ac:dyDescent="0.4">
      <c r="C567" s="59"/>
      <c r="D567" s="6"/>
      <c r="E567" s="6"/>
      <c r="F567" s="6"/>
      <c r="G567" s="6"/>
      <c r="H567" s="6"/>
      <c r="I567" s="6"/>
    </row>
    <row r="568" spans="3:9" x14ac:dyDescent="0.4">
      <c r="C568" s="59"/>
      <c r="D568" s="6"/>
      <c r="E568" s="6"/>
      <c r="F568" s="6"/>
      <c r="G568" s="6"/>
      <c r="H568" s="6"/>
      <c r="I568" s="6"/>
    </row>
    <row r="569" spans="3:9" x14ac:dyDescent="0.4">
      <c r="C569" s="59"/>
      <c r="D569" s="6"/>
      <c r="E569" s="6"/>
      <c r="F569" s="6"/>
      <c r="G569" s="6"/>
      <c r="H569" s="6"/>
      <c r="I569" s="6"/>
    </row>
    <row r="570" spans="3:9" x14ac:dyDescent="0.4">
      <c r="C570" s="59"/>
      <c r="D570" s="6"/>
      <c r="E570" s="6"/>
      <c r="F570" s="6"/>
      <c r="G570" s="6"/>
      <c r="H570" s="6"/>
      <c r="I570" s="6"/>
    </row>
    <row r="571" spans="3:9" x14ac:dyDescent="0.4">
      <c r="C571" s="59"/>
      <c r="D571" s="6"/>
      <c r="E571" s="6"/>
      <c r="F571" s="6"/>
      <c r="G571" s="6"/>
      <c r="H571" s="6"/>
      <c r="I571" s="6"/>
    </row>
    <row r="572" spans="3:9" x14ac:dyDescent="0.4">
      <c r="C572" s="59"/>
      <c r="D572" s="6"/>
      <c r="E572" s="6"/>
      <c r="F572" s="6"/>
      <c r="G572" s="6"/>
      <c r="H572" s="6"/>
      <c r="I572" s="6"/>
    </row>
    <row r="573" spans="3:9" x14ac:dyDescent="0.4">
      <c r="C573" s="59"/>
      <c r="D573" s="6"/>
      <c r="E573" s="6"/>
      <c r="F573" s="6"/>
      <c r="G573" s="6"/>
      <c r="H573" s="6"/>
      <c r="I573" s="6"/>
    </row>
    <row r="574" spans="3:9" x14ac:dyDescent="0.4">
      <c r="C574" s="59"/>
      <c r="D574" s="6"/>
      <c r="E574" s="6"/>
      <c r="F574" s="6"/>
      <c r="G574" s="6"/>
      <c r="H574" s="6"/>
      <c r="I574" s="6"/>
    </row>
    <row r="575" spans="3:9" x14ac:dyDescent="0.4">
      <c r="C575" s="59"/>
      <c r="D575" s="6"/>
      <c r="E575" s="6"/>
      <c r="F575" s="6"/>
      <c r="G575" s="6"/>
      <c r="H575" s="6"/>
      <c r="I575" s="6"/>
    </row>
    <row r="576" spans="3:9" x14ac:dyDescent="0.4">
      <c r="C576" s="59"/>
      <c r="D576" s="6"/>
      <c r="E576" s="6"/>
      <c r="F576" s="6"/>
      <c r="G576" s="6"/>
      <c r="H576" s="6"/>
      <c r="I576" s="6"/>
    </row>
    <row r="577" spans="3:9" x14ac:dyDescent="0.4">
      <c r="C577" s="59"/>
      <c r="D577" s="6"/>
      <c r="E577" s="6"/>
      <c r="F577" s="6"/>
      <c r="G577" s="6"/>
      <c r="H577" s="6"/>
      <c r="I577" s="6"/>
    </row>
    <row r="578" spans="3:9" x14ac:dyDescent="0.4">
      <c r="C578" s="59"/>
      <c r="D578" s="6"/>
      <c r="E578" s="6"/>
      <c r="F578" s="6"/>
      <c r="G578" s="6"/>
      <c r="H578" s="6"/>
      <c r="I578" s="6"/>
    </row>
    <row r="579" spans="3:9" x14ac:dyDescent="0.4">
      <c r="C579" s="59"/>
      <c r="D579" s="6"/>
      <c r="E579" s="6"/>
      <c r="F579" s="6"/>
      <c r="G579" s="6"/>
      <c r="H579" s="6"/>
      <c r="I579" s="6"/>
    </row>
    <row r="580" spans="3:9" x14ac:dyDescent="0.4">
      <c r="C580" s="59"/>
      <c r="D580" s="6"/>
      <c r="E580" s="6"/>
      <c r="F580" s="6"/>
      <c r="G580" s="6"/>
      <c r="H580" s="6"/>
      <c r="I580" s="6"/>
    </row>
    <row r="581" spans="3:9" x14ac:dyDescent="0.4">
      <c r="C581" s="59"/>
      <c r="D581" s="6"/>
      <c r="E581" s="6"/>
      <c r="F581" s="6"/>
      <c r="G581" s="6"/>
      <c r="H581" s="6"/>
      <c r="I581" s="6"/>
    </row>
    <row r="582" spans="3:9" x14ac:dyDescent="0.4">
      <c r="C582" s="59"/>
      <c r="D582" s="6"/>
      <c r="E582" s="6"/>
      <c r="F582" s="6"/>
      <c r="G582" s="6"/>
      <c r="H582" s="6"/>
      <c r="I582" s="6"/>
    </row>
    <row r="583" spans="3:9" x14ac:dyDescent="0.4">
      <c r="C583" s="59"/>
      <c r="D583" s="6"/>
      <c r="E583" s="6"/>
      <c r="F583" s="6"/>
      <c r="G583" s="6"/>
      <c r="H583" s="6"/>
      <c r="I583" s="6"/>
    </row>
    <row r="584" spans="3:9" x14ac:dyDescent="0.4">
      <c r="C584" s="59"/>
      <c r="D584" s="6"/>
      <c r="E584" s="6"/>
      <c r="F584" s="6"/>
      <c r="G584" s="6"/>
      <c r="H584" s="6"/>
      <c r="I584" s="6"/>
    </row>
    <row r="585" spans="3:9" x14ac:dyDescent="0.4">
      <c r="C585" s="59"/>
      <c r="D585" s="6"/>
      <c r="E585" s="6"/>
      <c r="F585" s="6"/>
      <c r="G585" s="6"/>
      <c r="H585" s="6"/>
      <c r="I585" s="6"/>
    </row>
    <row r="586" spans="3:9" x14ac:dyDescent="0.4">
      <c r="C586" s="59"/>
      <c r="D586" s="6"/>
      <c r="E586" s="6"/>
      <c r="F586" s="6"/>
      <c r="G586" s="6"/>
      <c r="H586" s="6"/>
      <c r="I586" s="6"/>
    </row>
    <row r="587" spans="3:9" x14ac:dyDescent="0.4">
      <c r="C587" s="59"/>
      <c r="D587" s="6"/>
      <c r="E587" s="6"/>
      <c r="F587" s="6"/>
      <c r="G587" s="6"/>
      <c r="H587" s="6"/>
      <c r="I587" s="6"/>
    </row>
    <row r="588" spans="3:9" x14ac:dyDescent="0.4">
      <c r="C588" s="59"/>
      <c r="D588" s="6"/>
      <c r="E588" s="6"/>
      <c r="F588" s="6"/>
      <c r="G588" s="6"/>
      <c r="H588" s="6"/>
      <c r="I588" s="6"/>
    </row>
    <row r="589" spans="3:9" x14ac:dyDescent="0.4">
      <c r="C589" s="59"/>
      <c r="D589" s="6"/>
      <c r="E589" s="6"/>
      <c r="F589" s="6"/>
      <c r="G589" s="6"/>
      <c r="H589" s="6"/>
      <c r="I589" s="6"/>
    </row>
    <row r="590" spans="3:9" x14ac:dyDescent="0.4">
      <c r="C590" s="59"/>
      <c r="D590" s="6"/>
      <c r="E590" s="6"/>
      <c r="F590" s="6"/>
      <c r="G590" s="6"/>
      <c r="H590" s="6"/>
      <c r="I590" s="6"/>
    </row>
    <row r="591" spans="3:9" x14ac:dyDescent="0.4">
      <c r="C591" s="59"/>
      <c r="D591" s="6"/>
      <c r="E591" s="6"/>
      <c r="F591" s="6"/>
      <c r="G591" s="6"/>
      <c r="H591" s="6"/>
      <c r="I591" s="6"/>
    </row>
    <row r="592" spans="3:9" x14ac:dyDescent="0.4">
      <c r="C592" s="59"/>
      <c r="D592" s="6"/>
      <c r="E592" s="6"/>
      <c r="F592" s="6"/>
      <c r="G592" s="6"/>
      <c r="H592" s="6"/>
      <c r="I592" s="6"/>
    </row>
    <row r="593" spans="3:9" x14ac:dyDescent="0.4">
      <c r="C593" s="59"/>
      <c r="D593" s="6"/>
      <c r="E593" s="6"/>
      <c r="F593" s="6"/>
      <c r="G593" s="6"/>
      <c r="H593" s="6"/>
      <c r="I593" s="6"/>
    </row>
    <row r="594" spans="3:9" x14ac:dyDescent="0.4">
      <c r="C594" s="59"/>
      <c r="D594" s="6"/>
      <c r="E594" s="6"/>
      <c r="F594" s="6"/>
      <c r="G594" s="6"/>
      <c r="H594" s="6"/>
      <c r="I594" s="6"/>
    </row>
    <row r="595" spans="3:9" x14ac:dyDescent="0.4">
      <c r="C595" s="59"/>
      <c r="D595" s="6"/>
      <c r="E595" s="6"/>
      <c r="F595" s="6"/>
      <c r="G595" s="6"/>
      <c r="H595" s="6"/>
      <c r="I595" s="6"/>
    </row>
    <row r="596" spans="3:9" x14ac:dyDescent="0.4">
      <c r="C596" s="59"/>
      <c r="D596" s="6"/>
      <c r="E596" s="6"/>
      <c r="F596" s="6"/>
      <c r="G596" s="6"/>
      <c r="H596" s="6"/>
      <c r="I596" s="6"/>
    </row>
    <row r="597" spans="3:9" x14ac:dyDescent="0.4">
      <c r="C597" s="59"/>
      <c r="D597" s="6"/>
      <c r="E597" s="6"/>
      <c r="F597" s="6"/>
      <c r="G597" s="6"/>
      <c r="H597" s="6"/>
      <c r="I597" s="6"/>
    </row>
    <row r="598" spans="3:9" x14ac:dyDescent="0.4">
      <c r="C598" s="59"/>
      <c r="D598" s="6"/>
      <c r="E598" s="6"/>
      <c r="F598" s="6"/>
      <c r="G598" s="6"/>
      <c r="H598" s="6"/>
      <c r="I598" s="6"/>
    </row>
    <row r="599" spans="3:9" x14ac:dyDescent="0.4">
      <c r="C599" s="59"/>
      <c r="D599" s="6"/>
      <c r="E599" s="6"/>
      <c r="F599" s="6"/>
      <c r="G599" s="6"/>
      <c r="H599" s="6"/>
      <c r="I599" s="6"/>
    </row>
    <row r="600" spans="3:9" x14ac:dyDescent="0.4">
      <c r="C600" s="59"/>
      <c r="D600" s="6"/>
      <c r="E600" s="6"/>
      <c r="F600" s="6"/>
      <c r="G600" s="6"/>
      <c r="H600" s="6"/>
      <c r="I600" s="6"/>
    </row>
    <row r="601" spans="3:9" x14ac:dyDescent="0.4">
      <c r="C601" s="59"/>
      <c r="D601" s="6"/>
      <c r="E601" s="6"/>
      <c r="F601" s="6"/>
      <c r="G601" s="6"/>
      <c r="H601" s="6"/>
      <c r="I601" s="6"/>
    </row>
    <row r="602" spans="3:9" x14ac:dyDescent="0.4">
      <c r="C602" s="59"/>
      <c r="D602" s="6"/>
      <c r="E602" s="6"/>
      <c r="F602" s="6"/>
      <c r="G602" s="6"/>
      <c r="H602" s="6"/>
      <c r="I602" s="6"/>
    </row>
    <row r="603" spans="3:9" x14ac:dyDescent="0.4">
      <c r="C603" s="59"/>
      <c r="D603" s="6"/>
      <c r="E603" s="6"/>
      <c r="F603" s="6"/>
      <c r="G603" s="6"/>
      <c r="H603" s="6"/>
      <c r="I603" s="6"/>
    </row>
    <row r="604" spans="3:9" x14ac:dyDescent="0.4">
      <c r="C604" s="59"/>
      <c r="D604" s="6"/>
      <c r="E604" s="6"/>
      <c r="F604" s="6"/>
      <c r="G604" s="6"/>
      <c r="H604" s="6"/>
      <c r="I604" s="6"/>
    </row>
    <row r="605" spans="3:9" x14ac:dyDescent="0.4">
      <c r="C605" s="59"/>
      <c r="D605" s="6"/>
      <c r="E605" s="6"/>
      <c r="F605" s="6"/>
      <c r="G605" s="6"/>
      <c r="H605" s="6"/>
      <c r="I605" s="6"/>
    </row>
    <row r="606" spans="3:9" x14ac:dyDescent="0.4">
      <c r="C606" s="59"/>
      <c r="D606" s="6"/>
      <c r="E606" s="6"/>
      <c r="F606" s="6"/>
      <c r="G606" s="6"/>
      <c r="H606" s="6"/>
      <c r="I606" s="6"/>
    </row>
    <row r="607" spans="3:9" x14ac:dyDescent="0.4">
      <c r="C607" s="59"/>
      <c r="D607" s="6"/>
      <c r="E607" s="6"/>
      <c r="F607" s="6"/>
      <c r="G607" s="6"/>
      <c r="H607" s="6"/>
      <c r="I607" s="6"/>
    </row>
    <row r="608" spans="3:9" x14ac:dyDescent="0.4">
      <c r="C608" s="59"/>
      <c r="D608" s="6"/>
      <c r="E608" s="6"/>
      <c r="F608" s="6"/>
      <c r="G608" s="6"/>
      <c r="H608" s="6"/>
      <c r="I608" s="6"/>
    </row>
    <row r="609" spans="3:9" x14ac:dyDescent="0.4">
      <c r="C609" s="59"/>
      <c r="D609" s="6"/>
      <c r="E609" s="6"/>
      <c r="F609" s="6"/>
      <c r="G609" s="6"/>
      <c r="H609" s="6"/>
      <c r="I609" s="6"/>
    </row>
    <row r="610" spans="3:9" x14ac:dyDescent="0.4">
      <c r="C610" s="59"/>
      <c r="D610" s="6"/>
      <c r="E610" s="6"/>
      <c r="F610" s="6"/>
      <c r="G610" s="6"/>
      <c r="H610" s="6"/>
      <c r="I610" s="6"/>
    </row>
    <row r="611" spans="3:9" x14ac:dyDescent="0.4">
      <c r="C611" s="59"/>
      <c r="D611" s="6"/>
      <c r="E611" s="6"/>
      <c r="F611" s="6"/>
      <c r="G611" s="6"/>
      <c r="H611" s="6"/>
      <c r="I611" s="6"/>
    </row>
    <row r="612" spans="3:9" x14ac:dyDescent="0.4">
      <c r="C612" s="59"/>
      <c r="D612" s="6"/>
      <c r="E612" s="6"/>
      <c r="F612" s="6"/>
      <c r="G612" s="6"/>
      <c r="H612" s="6"/>
      <c r="I612" s="6"/>
    </row>
    <row r="613" spans="3:9" x14ac:dyDescent="0.4">
      <c r="C613" s="59"/>
      <c r="D613" s="6"/>
      <c r="E613" s="6"/>
      <c r="F613" s="6"/>
      <c r="G613" s="6"/>
      <c r="H613" s="6"/>
      <c r="I613" s="6"/>
    </row>
    <row r="614" spans="3:9" x14ac:dyDescent="0.4">
      <c r="C614" s="59"/>
      <c r="D614" s="6"/>
      <c r="E614" s="6"/>
      <c r="F614" s="6"/>
      <c r="G614" s="6"/>
      <c r="H614" s="6"/>
      <c r="I614" s="6"/>
    </row>
    <row r="615" spans="3:9" x14ac:dyDescent="0.4">
      <c r="C615" s="59"/>
      <c r="D615" s="6"/>
      <c r="E615" s="6"/>
      <c r="F615" s="6"/>
      <c r="G615" s="6"/>
      <c r="H615" s="6"/>
      <c r="I615" s="6"/>
    </row>
    <row r="616" spans="3:9" x14ac:dyDescent="0.4">
      <c r="C616" s="59"/>
      <c r="D616" s="6"/>
      <c r="E616" s="6"/>
      <c r="F616" s="6"/>
      <c r="G616" s="6"/>
      <c r="H616" s="6"/>
      <c r="I616" s="6"/>
    </row>
    <row r="617" spans="3:9" x14ac:dyDescent="0.4">
      <c r="C617" s="59"/>
      <c r="D617" s="6"/>
      <c r="E617" s="6"/>
      <c r="F617" s="6"/>
      <c r="G617" s="6"/>
      <c r="H617" s="6"/>
      <c r="I617" s="6"/>
    </row>
    <row r="618" spans="3:9" x14ac:dyDescent="0.4">
      <c r="C618" s="59"/>
      <c r="D618" s="6"/>
      <c r="E618" s="6"/>
      <c r="F618" s="6"/>
      <c r="G618" s="6"/>
      <c r="H618" s="6"/>
      <c r="I618" s="6"/>
    </row>
    <row r="619" spans="3:9" x14ac:dyDescent="0.4">
      <c r="C619" s="59"/>
      <c r="D619" s="6"/>
      <c r="E619" s="6"/>
      <c r="F619" s="6"/>
      <c r="G619" s="6"/>
      <c r="H619" s="6"/>
      <c r="I619" s="6"/>
    </row>
    <row r="620" spans="3:9" x14ac:dyDescent="0.4">
      <c r="C620" s="59"/>
      <c r="D620" s="6"/>
      <c r="E620" s="6"/>
      <c r="F620" s="6"/>
      <c r="G620" s="6"/>
      <c r="H620" s="6"/>
      <c r="I620" s="6"/>
    </row>
    <row r="621" spans="3:9" x14ac:dyDescent="0.4">
      <c r="C621" s="59"/>
      <c r="D621" s="6"/>
      <c r="E621" s="6"/>
      <c r="F621" s="6"/>
      <c r="G621" s="6"/>
      <c r="H621" s="6"/>
      <c r="I621" s="6"/>
    </row>
    <row r="622" spans="3:9" x14ac:dyDescent="0.4">
      <c r="C622" s="59"/>
      <c r="D622" s="6"/>
      <c r="E622" s="6"/>
      <c r="F622" s="6"/>
      <c r="G622" s="6"/>
      <c r="H622" s="6"/>
      <c r="I622" s="6"/>
    </row>
    <row r="623" spans="3:9" x14ac:dyDescent="0.4">
      <c r="C623" s="59"/>
      <c r="D623" s="6"/>
      <c r="E623" s="6"/>
      <c r="F623" s="6"/>
      <c r="G623" s="6"/>
      <c r="H623" s="6"/>
      <c r="I623" s="6"/>
    </row>
    <row r="624" spans="3:9" x14ac:dyDescent="0.4">
      <c r="C624" s="59"/>
      <c r="D624" s="6"/>
      <c r="E624" s="6"/>
      <c r="F624" s="6"/>
      <c r="G624" s="6"/>
      <c r="H624" s="6"/>
      <c r="I624" s="6"/>
    </row>
    <row r="625" spans="3:9" x14ac:dyDescent="0.4">
      <c r="C625" s="59"/>
      <c r="D625" s="6"/>
      <c r="E625" s="6"/>
      <c r="F625" s="6"/>
      <c r="G625" s="6"/>
      <c r="H625" s="6"/>
      <c r="I625" s="6"/>
    </row>
    <row r="626" spans="3:9" x14ac:dyDescent="0.4">
      <c r="C626" s="59"/>
      <c r="D626" s="6"/>
      <c r="E626" s="6"/>
      <c r="F626" s="6"/>
      <c r="G626" s="6"/>
      <c r="H626" s="6"/>
      <c r="I626" s="6"/>
    </row>
    <row r="627" spans="3:9" x14ac:dyDescent="0.4">
      <c r="C627" s="59"/>
      <c r="D627" s="6"/>
      <c r="E627" s="6"/>
      <c r="F627" s="6"/>
      <c r="G627" s="6"/>
      <c r="H627" s="6"/>
      <c r="I627" s="6"/>
    </row>
    <row r="628" spans="3:9" x14ac:dyDescent="0.4">
      <c r="C628" s="59"/>
      <c r="D628" s="6"/>
      <c r="E628" s="6"/>
      <c r="F628" s="6"/>
      <c r="G628" s="6"/>
      <c r="H628" s="6"/>
      <c r="I628" s="6"/>
    </row>
    <row r="629" spans="3:9" x14ac:dyDescent="0.4">
      <c r="C629" s="59"/>
      <c r="D629" s="6"/>
      <c r="E629" s="6"/>
      <c r="F629" s="6"/>
      <c r="G629" s="6"/>
      <c r="H629" s="6"/>
      <c r="I629" s="6"/>
    </row>
    <row r="630" spans="3:9" x14ac:dyDescent="0.4">
      <c r="C630" s="59"/>
      <c r="D630" s="6"/>
      <c r="E630" s="6"/>
      <c r="F630" s="6"/>
      <c r="G630" s="6"/>
      <c r="H630" s="6"/>
      <c r="I630" s="6"/>
    </row>
    <row r="631" spans="3:9" x14ac:dyDescent="0.4">
      <c r="C631" s="59"/>
      <c r="D631" s="6"/>
      <c r="E631" s="6"/>
      <c r="F631" s="6"/>
      <c r="G631" s="6"/>
      <c r="H631" s="6"/>
      <c r="I631" s="6"/>
    </row>
    <row r="632" spans="3:9" x14ac:dyDescent="0.4">
      <c r="C632" s="59"/>
      <c r="D632" s="6"/>
      <c r="E632" s="6"/>
      <c r="F632" s="6"/>
      <c r="G632" s="6"/>
      <c r="H632" s="6"/>
      <c r="I632" s="6"/>
    </row>
    <row r="633" spans="3:9" x14ac:dyDescent="0.4">
      <c r="C633" s="59"/>
      <c r="D633" s="6"/>
      <c r="E633" s="6"/>
      <c r="F633" s="6"/>
      <c r="G633" s="6"/>
      <c r="H633" s="6"/>
      <c r="I633" s="6"/>
    </row>
    <row r="634" spans="3:9" x14ac:dyDescent="0.4">
      <c r="C634" s="59"/>
      <c r="D634" s="6"/>
      <c r="E634" s="6"/>
      <c r="F634" s="6"/>
      <c r="G634" s="6"/>
      <c r="H634" s="6"/>
      <c r="I634" s="6"/>
    </row>
    <row r="635" spans="3:9" x14ac:dyDescent="0.4">
      <c r="C635" s="59"/>
      <c r="D635" s="6"/>
      <c r="E635" s="6"/>
      <c r="F635" s="6"/>
      <c r="G635" s="6"/>
      <c r="H635" s="6"/>
      <c r="I635" s="6"/>
    </row>
    <row r="636" spans="3:9" x14ac:dyDescent="0.4">
      <c r="C636" s="59"/>
      <c r="D636" s="6"/>
      <c r="E636" s="6"/>
      <c r="F636" s="6"/>
      <c r="G636" s="6"/>
      <c r="H636" s="6"/>
      <c r="I636" s="6"/>
    </row>
    <row r="637" spans="3:9" x14ac:dyDescent="0.4">
      <c r="C637" s="59"/>
      <c r="D637" s="6"/>
      <c r="E637" s="6"/>
      <c r="F637" s="6"/>
      <c r="G637" s="6"/>
      <c r="H637" s="6"/>
      <c r="I637" s="6"/>
    </row>
    <row r="638" spans="3:9" x14ac:dyDescent="0.4">
      <c r="C638" s="59"/>
      <c r="D638" s="6"/>
      <c r="E638" s="6"/>
      <c r="F638" s="6"/>
      <c r="G638" s="6"/>
      <c r="H638" s="6"/>
      <c r="I638" s="6"/>
    </row>
    <row r="639" spans="3:9" x14ac:dyDescent="0.4">
      <c r="C639" s="59"/>
      <c r="D639" s="6"/>
      <c r="E639" s="6"/>
      <c r="F639" s="6"/>
      <c r="G639" s="6"/>
      <c r="H639" s="6"/>
      <c r="I639" s="6"/>
    </row>
    <row r="640" spans="3:9" x14ac:dyDescent="0.4">
      <c r="C640" s="59"/>
      <c r="D640" s="6"/>
      <c r="E640" s="6"/>
      <c r="F640" s="6"/>
      <c r="G640" s="6"/>
      <c r="H640" s="6"/>
      <c r="I640" s="6"/>
    </row>
    <row r="641" spans="3:9" x14ac:dyDescent="0.4">
      <c r="C641" s="59"/>
      <c r="D641" s="6"/>
      <c r="E641" s="6"/>
      <c r="F641" s="6"/>
      <c r="G641" s="6"/>
      <c r="H641" s="6"/>
      <c r="I641" s="6"/>
    </row>
    <row r="642" spans="3:9" x14ac:dyDescent="0.4">
      <c r="C642" s="59"/>
      <c r="D642" s="6"/>
      <c r="E642" s="6"/>
      <c r="F642" s="6"/>
      <c r="G642" s="6"/>
      <c r="H642" s="6"/>
      <c r="I642" s="6"/>
    </row>
    <row r="643" spans="3:9" x14ac:dyDescent="0.4">
      <c r="C643" s="59"/>
      <c r="D643" s="6"/>
      <c r="E643" s="6"/>
      <c r="F643" s="6"/>
      <c r="G643" s="6"/>
      <c r="H643" s="6"/>
      <c r="I643" s="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A7F0A437-F2E0-40D3-81F3-CA5F2B9614E6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42524A16-C711-41BC-AEF0-C45CC7B78307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Author</vt:lpstr>
      <vt:lpstr>Summary</vt:lpstr>
      <vt:lpstr>Unit Mix</vt:lpstr>
      <vt:lpstr>Financials</vt:lpstr>
      <vt:lpstr>Real Estate Tax</vt:lpstr>
      <vt:lpstr>Valuation</vt:lpstr>
      <vt:lpstr>Debt</vt:lpstr>
      <vt:lpstr>Financials!Print_Area</vt:lpstr>
      <vt:lpstr>'Real Estate Tax'!Print_Area</vt:lpstr>
      <vt:lpstr>Summary!Print_Area</vt:lpstr>
      <vt:lpstr>'Unit Mix'!Print_Area</vt:lpstr>
      <vt:lpstr>Valuation!Print_Area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2020-06-10T14:10:43Z</cp:lastPrinted>
  <dcterms:created xsi:type="dcterms:W3CDTF">2019-03-17T17:49:27Z</dcterms:created>
  <dcterms:modified xsi:type="dcterms:W3CDTF">2024-03-05T12:21:38Z</dcterms:modified>
</cp:coreProperties>
</file>